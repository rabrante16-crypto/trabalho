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01 - Profissionais de Saúde" sheetId="1" state="visible" r:id="rId1"/>
  </sheets>
  <definedNames>
    <definedName name="_xlnm._FilterDatabase" localSheetId="0" hidden="1">'01 - Profissionais de Saúde'!$A$1:$K$2552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olor rgb="FF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0"/>
    <pageSetUpPr/>
  </sheetPr>
  <dimension ref="A1:K2552"/>
  <sheetViews>
    <sheetView tabSelected="1" workbookViewId="0">
      <selection activeCell="K115" sqref="K115"/>
    </sheetView>
  </sheetViews>
  <sheetFormatPr baseColWidth="8" defaultColWidth="10.90625" defaultRowHeight="14.5"/>
  <cols>
    <col width="17.90625" customWidth="1" min="1" max="1"/>
    <col width="12" customWidth="1" min="2" max="10"/>
    <col width="21.453125" bestFit="1" customWidth="1" min="11" max="11"/>
  </cols>
  <sheetData>
    <row r="1">
      <c r="A1" t="inlineStr">
        <is>
          <t>Nome</t>
        </is>
      </c>
      <c r="B1" t="inlineStr">
        <is>
          <t>Nome formatado</t>
        </is>
      </c>
      <c r="C1" t="inlineStr">
        <is>
          <t>Licenças Ativas</t>
        </is>
      </c>
      <c r="D1" t="inlineStr">
        <is>
          <t>Especialidade Eurofarma</t>
        </is>
      </c>
      <c r="E1" t="inlineStr">
        <is>
          <t>Endereço</t>
        </is>
      </c>
      <c r="F1" t="inlineStr">
        <is>
          <t>Bairro</t>
        </is>
      </c>
      <c r="G1" t="inlineStr">
        <is>
          <t>Cidade</t>
        </is>
      </c>
      <c r="H1" t="inlineStr">
        <is>
          <t>Estado</t>
        </is>
      </c>
      <c r="I1" t="inlineStr">
        <is>
          <t>Território</t>
        </is>
      </c>
      <c r="J1" t="inlineStr">
        <is>
          <t>Potencial Mercado</t>
        </is>
      </c>
      <c r="K1" t="inlineStr">
        <is>
          <t>Prescreve EUF (MAT)?</t>
        </is>
      </c>
    </row>
    <row r="2">
      <c r="A2" s="1">
        <f>HYPERLINK("https://eurofarma-latam-crm.veevavault.com/#object/account__v/V4TZ00001914H9T", "Adenilda da Costa")</f>
        <v/>
      </c>
      <c r="B2" s="1">
        <f>HYPERLINK("https://eurofarma-latam-crm.veevavault.com/#object/account__v/V4TZ00001914H9T", "Adenilda Silveira da Costa")</f>
        <v/>
      </c>
      <c r="C2" t="inlineStr">
        <is>
          <t>RJ0520502</t>
        </is>
      </c>
      <c r="D2" t="inlineStr">
        <is>
          <t>CLG / END</t>
        </is>
      </c>
      <c r="E2" t="inlineStr">
        <is>
          <t>Rua Julieta Macedo, 9 - Lote Ar A Qd 9</t>
        </is>
      </c>
      <c r="F2" t="inlineStr">
        <is>
          <t>Centro</t>
        </is>
      </c>
      <c r="G2" t="inlineStr">
        <is>
          <t>Tanguá</t>
        </is>
      </c>
      <c r="H2" t="inlineStr">
        <is>
          <t>RJ</t>
        </is>
      </c>
      <c r="I2" t="n">
        <v>5149</v>
      </c>
      <c r="J2" t="inlineStr">
        <is>
          <t>CAT 4</t>
        </is>
      </c>
      <c r="K2" t="inlineStr">
        <is>
          <t>Sim</t>
        </is>
      </c>
    </row>
    <row r="3">
      <c r="A3" s="1">
        <f>HYPERLINK("https://eurofarma-latam-crm.veevavault.com/#object/account__v/V4TZ000018NYGYX", "Adir Martins")</f>
        <v/>
      </c>
      <c r="B3" s="1">
        <f>HYPERLINK("https://eurofarma-latam-crm.veevavault.com/#object/account__v/V4TZ000018NYGYX", "Adir Jose Martins")</f>
        <v/>
      </c>
      <c r="C3" t="inlineStr">
        <is>
          <t>RJ0377151</t>
        </is>
      </c>
      <c r="D3" t="inlineStr">
        <is>
          <t>CLG</t>
        </is>
      </c>
      <c r="E3" t="inlineStr">
        <is>
          <t>Rua Joaquim Laranjeiras, S/N</t>
        </is>
      </c>
      <c r="F3" t="inlineStr">
        <is>
          <t>Miriambi</t>
        </is>
      </c>
      <c r="G3" t="inlineStr">
        <is>
          <t>São Gonçalo</t>
        </is>
      </c>
      <c r="H3" t="inlineStr">
        <is>
          <t>RJ</t>
        </is>
      </c>
      <c r="I3" t="n">
        <v>5149</v>
      </c>
      <c r="J3" t="inlineStr">
        <is>
          <t>CAT 3</t>
        </is>
      </c>
      <c r="K3" t="inlineStr">
        <is>
          <t>Sim</t>
        </is>
      </c>
    </row>
    <row r="4">
      <c r="A4" s="1">
        <f>HYPERLINK("https://eurofarma-latam-crm.veevavault.com/#object/account__v/V4TZ000018NYEJQ", "Adriana Longo")</f>
        <v/>
      </c>
      <c r="B4" s="1">
        <f>HYPERLINK("https://eurofarma-latam-crm.veevavault.com/#object/account__v/V4TZ000018NYEJQ", "Adriana Hottz Longo")</f>
        <v/>
      </c>
      <c r="C4" t="inlineStr">
        <is>
          <t>RJ0577318</t>
        </is>
      </c>
      <c r="D4" t="inlineStr">
        <is>
          <t>CLG / END</t>
        </is>
      </c>
      <c r="E4" t="inlineStr">
        <is>
          <t>Rua Sílvio Romero, 50 - Loja 4</t>
        </is>
      </c>
      <c r="F4" t="inlineStr">
        <is>
          <t>Alcântara</t>
        </is>
      </c>
      <c r="G4" t="inlineStr">
        <is>
          <t>São Gonçalo</t>
        </is>
      </c>
      <c r="H4" t="inlineStr">
        <is>
          <t>RJ</t>
        </is>
      </c>
      <c r="I4" t="n">
        <v>5149</v>
      </c>
      <c r="J4" t="inlineStr">
        <is>
          <t>CAT 5</t>
        </is>
      </c>
      <c r="K4" t="inlineStr">
        <is>
          <t>N�o</t>
        </is>
      </c>
    </row>
    <row r="5">
      <c r="A5" s="1">
        <f>HYPERLINK("https://eurofarma-latam-crm.veevavault.com/#object/account__v/V4TZ0000191NA1B", "Adriano Souza")</f>
        <v/>
      </c>
      <c r="B5" s="1">
        <f>HYPERLINK("https://eurofarma-latam-crm.veevavault.com/#object/account__v/V4TZ0000191NA1B", "Adriano Lima Souza")</f>
        <v/>
      </c>
      <c r="C5" t="inlineStr">
        <is>
          <t>BA0030988,RJ1268422</t>
        </is>
      </c>
      <c r="D5" t="inlineStr">
        <is>
          <t>PED</t>
        </is>
      </c>
      <c r="E5" t="inlineStr">
        <is>
          <t>Rodovia BR-493, S/N</t>
        </is>
      </c>
      <c r="F5" t="inlineStr">
        <is>
          <t>Centro (Manilha)</t>
        </is>
      </c>
      <c r="G5" t="inlineStr">
        <is>
          <t>Itaboraí</t>
        </is>
      </c>
      <c r="H5" t="inlineStr">
        <is>
          <t>RJ</t>
        </is>
      </c>
      <c r="I5" t="n">
        <v>5149</v>
      </c>
      <c r="J5" t="inlineStr">
        <is>
          <t>CAT 5</t>
        </is>
      </c>
      <c r="K5" t="inlineStr">
        <is>
          <t>N�o</t>
        </is>
      </c>
    </row>
    <row r="6">
      <c r="A6" s="1">
        <f>HYPERLINK("https://eurofarma-latam-crm.veevavault.com/#object/account__v/V4T00000001I002", "Aecio de Andrade")</f>
        <v/>
      </c>
      <c r="B6" s="1">
        <f>HYPERLINK("https://eurofarma-latam-crm.veevavault.com/#object/account__v/V4T00000001I002", "Aecio Garcia de Andrade")</f>
        <v/>
      </c>
      <c r="C6" t="inlineStr">
        <is>
          <t>RJ1416882</t>
        </is>
      </c>
      <c r="D6" t="inlineStr">
        <is>
          <t>ORT</t>
        </is>
      </c>
      <c r="E6" t="inlineStr">
        <is>
          <t>Rua Osório Costa, S/N</t>
        </is>
      </c>
      <c r="F6" t="inlineStr">
        <is>
          <t>Colubande</t>
        </is>
      </c>
      <c r="G6" t="inlineStr">
        <is>
          <t>São Gonçalo</t>
        </is>
      </c>
      <c r="H6" t="inlineStr">
        <is>
          <t>RJ</t>
        </is>
      </c>
      <c r="I6" t="n">
        <v>5149</v>
      </c>
      <c r="J6" t="inlineStr"/>
      <c r="K6" t="inlineStr"/>
    </row>
    <row r="7">
      <c r="A7" s="1">
        <f>HYPERLINK("https://eurofarma-latam-crm.veevavault.com/#object/account__v/V4TZ025E84KTJ2I", "Alexandre Barreto")</f>
        <v/>
      </c>
      <c r="B7" s="1">
        <f>HYPERLINK("https://eurofarma-latam-crm.veevavault.com/#object/account__v/V4TZ025E84KTJ2I", "Alexandre Caldeira Barreto")</f>
        <v/>
      </c>
      <c r="C7" t="inlineStr">
        <is>
          <t>RJ1006169</t>
        </is>
      </c>
      <c r="D7" t="inlineStr">
        <is>
          <t>CLG / PA</t>
        </is>
      </c>
      <c r="E7" t="inlineStr">
        <is>
          <t>Rua João Caetano, 370</t>
        </is>
      </c>
      <c r="F7" t="inlineStr">
        <is>
          <t>Centro</t>
        </is>
      </c>
      <c r="G7" t="inlineStr">
        <is>
          <t>Itaboraí</t>
        </is>
      </c>
      <c r="H7" t="inlineStr">
        <is>
          <t>RJ</t>
        </is>
      </c>
      <c r="I7" t="n">
        <v>5149</v>
      </c>
      <c r="J7" t="inlineStr">
        <is>
          <t>CAT 5</t>
        </is>
      </c>
      <c r="K7" t="inlineStr">
        <is>
          <t>Sim</t>
        </is>
      </c>
    </row>
    <row r="8">
      <c r="A8" s="1">
        <f>HYPERLINK("https://eurofarma-latam-crm.veevavault.com/#object/account__v/V4TZ025E85J3A9L", "Alexia Ferreira")</f>
        <v/>
      </c>
      <c r="B8" s="1">
        <f>HYPERLINK("https://eurofarma-latam-crm.veevavault.com/#object/account__v/V4TZ025E85J3A9L", "Alexia Porto Ferreira")</f>
        <v/>
      </c>
      <c r="C8" t="inlineStr">
        <is>
          <t>RJ1313959</t>
        </is>
      </c>
      <c r="D8" t="inlineStr">
        <is>
          <t>CLG / PA</t>
        </is>
      </c>
      <c r="E8" t="inlineStr">
        <is>
          <t>Estrada Prefeito Álvaro de Carvalho Júnior, S/N</t>
        </is>
      </c>
      <c r="F8" t="inlineStr">
        <is>
          <t>Nancilândia</t>
        </is>
      </c>
      <c r="G8" t="inlineStr">
        <is>
          <t>Itaboraí</t>
        </is>
      </c>
      <c r="H8" t="inlineStr">
        <is>
          <t>RJ</t>
        </is>
      </c>
      <c r="I8" t="n">
        <v>5149</v>
      </c>
      <c r="J8" t="inlineStr">
        <is>
          <t>CAT 4</t>
        </is>
      </c>
      <c r="K8" t="inlineStr">
        <is>
          <t>N�o</t>
        </is>
      </c>
    </row>
    <row r="9">
      <c r="A9" s="1">
        <f>HYPERLINK("https://eurofarma-latam-crm.veevavault.com/#object/account__v/V4TZ000018NXO8C", "Amauri Ferreira")</f>
        <v/>
      </c>
      <c r="B9" s="1">
        <f>HYPERLINK("https://eurofarma-latam-crm.veevavault.com/#object/account__v/V4TZ000018NXO8C", "Amauri Guimarães Ferreira")</f>
        <v/>
      </c>
      <c r="C9" t="inlineStr">
        <is>
          <t>RJ0332585</t>
        </is>
      </c>
      <c r="D9" t="inlineStr">
        <is>
          <t>CLG / SNC</t>
        </is>
      </c>
      <c r="E9" t="inlineStr">
        <is>
          <t>Rua Doutor Alberto Torres, 2783</t>
        </is>
      </c>
      <c r="F9" t="inlineStr">
        <is>
          <t>Neves (Neves)</t>
        </is>
      </c>
      <c r="G9" t="inlineStr">
        <is>
          <t>São Gonçalo</t>
        </is>
      </c>
      <c r="H9" t="inlineStr">
        <is>
          <t>RJ</t>
        </is>
      </c>
      <c r="I9" t="n">
        <v>5149</v>
      </c>
      <c r="J9" t="inlineStr">
        <is>
          <t>CAT 2</t>
        </is>
      </c>
      <c r="K9" t="inlineStr">
        <is>
          <t>Sim</t>
        </is>
      </c>
    </row>
    <row r="10">
      <c r="A10" s="1">
        <f>HYPERLINK("https://eurofarma-latam-crm.veevavault.com/#object/account__v/V4TZ000018NXTMR", "Ana Andre")</f>
        <v/>
      </c>
      <c r="B10" s="1">
        <f>HYPERLINK("https://eurofarma-latam-crm.veevavault.com/#object/account__v/V4TZ000018NXTMR", "Ana Maria da Silva Diaz Andre")</f>
        <v/>
      </c>
      <c r="C10" t="inlineStr">
        <is>
          <t>RJ0565479</t>
        </is>
      </c>
      <c r="D10" t="inlineStr">
        <is>
          <t>CLG / END</t>
        </is>
      </c>
      <c r="E10" t="inlineStr">
        <is>
          <t>Avenida Luiz Fernando de Oliveira Nanci, S/N - Lote 3 Quadra 10</t>
        </is>
      </c>
      <c r="F10" t="inlineStr">
        <is>
          <t>Nancilândia</t>
        </is>
      </c>
      <c r="G10" t="inlineStr">
        <is>
          <t>Itaboraí</t>
        </is>
      </c>
      <c r="H10" t="inlineStr">
        <is>
          <t>RJ</t>
        </is>
      </c>
      <c r="I10" t="n">
        <v>5149</v>
      </c>
      <c r="J10" t="inlineStr">
        <is>
          <t>CAT 5</t>
        </is>
      </c>
      <c r="K10" t="inlineStr">
        <is>
          <t>N�o</t>
        </is>
      </c>
    </row>
    <row r="11">
      <c r="A11" s="1">
        <f>HYPERLINK("https://eurofarma-latam-crm.veevavault.com/#object/account__v/V4TZ04ASGMT0ZXN", "Ana Beatriz Muniz")</f>
        <v/>
      </c>
      <c r="B11" s="1">
        <f>HYPERLINK("https://eurofarma-latam-crm.veevavault.com/#object/account__v/V4TZ04ASGMT0ZXN", "Ana Beatriz do Carmo Muniz")</f>
        <v/>
      </c>
      <c r="C11" t="inlineStr">
        <is>
          <t>BA0047289,RJ1403016</t>
        </is>
      </c>
      <c r="D11" t="inlineStr">
        <is>
          <t>CLG / PA</t>
        </is>
      </c>
      <c r="E11" t="inlineStr">
        <is>
          <t>Rua da Gamboa, 303</t>
        </is>
      </c>
      <c r="F11" t="inlineStr">
        <is>
          <t>Gamboa</t>
        </is>
      </c>
      <c r="G11" t="inlineStr">
        <is>
          <t>Rio de Janeiro</t>
        </is>
      </c>
      <c r="H11" t="inlineStr">
        <is>
          <t>RJ</t>
        </is>
      </c>
      <c r="I11" t="n">
        <v>5149</v>
      </c>
      <c r="J11" t="inlineStr">
        <is>
          <t>CAT 5</t>
        </is>
      </c>
      <c r="K11" t="inlineStr">
        <is>
          <t>N�o</t>
        </is>
      </c>
    </row>
    <row r="12">
      <c r="A12" s="1">
        <f>HYPERLINK("https://eurofarma-latam-crm.veevavault.com/#object/account__v/V4TZ00001915XHS", "Ana Cavalcanti")</f>
        <v/>
      </c>
      <c r="B12" s="1">
        <f>HYPERLINK("https://eurofarma-latam-crm.veevavault.com/#object/account__v/V4TZ00001915XHS", "Ana Rita D'avila Lins Cavalcanti")</f>
        <v/>
      </c>
      <c r="C12" t="inlineStr">
        <is>
          <t>RJ0280635</t>
        </is>
      </c>
      <c r="D12" t="inlineStr">
        <is>
          <t>PSQ</t>
        </is>
      </c>
      <c r="E12" t="inlineStr">
        <is>
          <t>Rua Professor Heitor Carrilho, S/N</t>
        </is>
      </c>
      <c r="F12" t="inlineStr">
        <is>
          <t>Centro</t>
        </is>
      </c>
      <c r="G12" t="inlineStr">
        <is>
          <t>Niterói</t>
        </is>
      </c>
      <c r="H12" t="inlineStr">
        <is>
          <t>RJ</t>
        </is>
      </c>
      <c r="I12" t="n">
        <v>5149</v>
      </c>
      <c r="J12" t="inlineStr">
        <is>
          <t>CAT 4</t>
        </is>
      </c>
      <c r="K12" t="inlineStr">
        <is>
          <t>Sim</t>
        </is>
      </c>
    </row>
    <row r="13">
      <c r="A13" s="1">
        <f>HYPERLINK("https://eurofarma-latam-crm.veevavault.com/#object/account__v/V4TZ025E893DQ2Q", "Ana Clara Garritano")</f>
        <v/>
      </c>
      <c r="B13" s="1">
        <f>HYPERLINK("https://eurofarma-latam-crm.veevavault.com/#object/account__v/V4TZ025E893DQ2Q", "Ana Clara de Oliveira Garritano")</f>
        <v/>
      </c>
      <c r="C13" t="inlineStr">
        <is>
          <t>RJ1328301</t>
        </is>
      </c>
      <c r="D13" t="inlineStr">
        <is>
          <t>PED</t>
        </is>
      </c>
      <c r="E13" t="inlineStr">
        <is>
          <t>Rua Sá Barreto, 107</t>
        </is>
      </c>
      <c r="F13" t="inlineStr">
        <is>
          <t>Fonseca</t>
        </is>
      </c>
      <c r="G13" t="inlineStr">
        <is>
          <t>Niterói</t>
        </is>
      </c>
      <c r="H13" t="inlineStr">
        <is>
          <t>RJ</t>
        </is>
      </c>
      <c r="I13" t="n">
        <v>5149</v>
      </c>
      <c r="J13" t="inlineStr">
        <is>
          <t>CAT 5</t>
        </is>
      </c>
      <c r="K13" t="inlineStr">
        <is>
          <t>Sim</t>
        </is>
      </c>
    </row>
    <row r="14">
      <c r="A14" s="1">
        <f>HYPERLINK("https://eurofarma-latam-crm.veevavault.com/#object/account__v/V4TZ00001913BXA", "Ana Cormack")</f>
        <v/>
      </c>
      <c r="B14" s="1">
        <f>HYPERLINK("https://eurofarma-latam-crm.veevavault.com/#object/account__v/V4TZ00001913BXA", "Ana Lucia Furtado Cormack")</f>
        <v/>
      </c>
      <c r="C14" t="inlineStr">
        <is>
          <t>RJ0491772</t>
        </is>
      </c>
      <c r="D14" t="inlineStr">
        <is>
          <t>PED</t>
        </is>
      </c>
      <c r="E14" t="inlineStr">
        <is>
          <t>Rua João Caetano, 83 - Sala 103</t>
        </is>
      </c>
      <c r="F14" t="inlineStr">
        <is>
          <t>Alcântara</t>
        </is>
      </c>
      <c r="G14" t="inlineStr">
        <is>
          <t>São Gonçalo</t>
        </is>
      </c>
      <c r="H14" t="inlineStr">
        <is>
          <t>RJ</t>
        </is>
      </c>
      <c r="I14" t="n">
        <v>5149</v>
      </c>
      <c r="J14" t="inlineStr">
        <is>
          <t>CAT 5</t>
        </is>
      </c>
      <c r="K14" t="inlineStr">
        <is>
          <t>Sim</t>
        </is>
      </c>
    </row>
    <row r="15">
      <c r="A15" s="1">
        <f>HYPERLINK("https://eurofarma-latam-crm.veevavault.com/#object/account__v/V4TZ00001913PX0", "Ana Galhardo")</f>
        <v/>
      </c>
      <c r="B15" s="1">
        <f>HYPERLINK("https://eurofarma-latam-crm.veevavault.com/#object/account__v/V4TZ00001913PX0", "Ana Izabel dos Santos Galhardo")</f>
        <v/>
      </c>
      <c r="C15" t="inlineStr">
        <is>
          <t>RJ0471953</t>
        </is>
      </c>
      <c r="D15" t="inlineStr">
        <is>
          <t>PED</t>
        </is>
      </c>
      <c r="E15" t="inlineStr">
        <is>
          <t>Rua Manuel João Gonçalves, S/N</t>
        </is>
      </c>
      <c r="F15" t="inlineStr">
        <is>
          <t>Alcântara</t>
        </is>
      </c>
      <c r="G15" t="inlineStr">
        <is>
          <t>São Gonçalo</t>
        </is>
      </c>
      <c r="H15" t="inlineStr">
        <is>
          <t>RJ</t>
        </is>
      </c>
      <c r="I15" t="n">
        <v>5149</v>
      </c>
      <c r="J15" t="inlineStr">
        <is>
          <t>CAT 5</t>
        </is>
      </c>
      <c r="K15" t="inlineStr">
        <is>
          <t>Sim</t>
        </is>
      </c>
    </row>
    <row r="16">
      <c r="A16" s="1">
        <f>HYPERLINK("https://eurofarma-latam-crm.veevavault.com/#object/account__v/V4TZ0000191FTNC", "Ana Luiza Martins")</f>
        <v/>
      </c>
      <c r="B16" s="1">
        <f>HYPERLINK("https://eurofarma-latam-crm.veevavault.com/#object/account__v/V4TZ0000191FTNC", "Ana Luiza Linhares Martins")</f>
        <v/>
      </c>
      <c r="C16" t="inlineStr">
        <is>
          <t>RJ1235834</t>
        </is>
      </c>
      <c r="D16" t="inlineStr">
        <is>
          <t>CLG / PA</t>
        </is>
      </c>
      <c r="E16" t="inlineStr">
        <is>
          <t>Praça Estefania de Carvalho, 26</t>
        </is>
      </c>
      <c r="F16" t="inlineStr">
        <is>
          <t>Zé Garoto</t>
        </is>
      </c>
      <c r="G16" t="inlineStr">
        <is>
          <t>São Gonçalo</t>
        </is>
      </c>
      <c r="H16" t="inlineStr">
        <is>
          <t>RJ</t>
        </is>
      </c>
      <c r="I16" t="n">
        <v>5149</v>
      </c>
      <c r="J16" t="inlineStr">
        <is>
          <t>CAT 5</t>
        </is>
      </c>
      <c r="K16" t="inlineStr">
        <is>
          <t>Sim</t>
        </is>
      </c>
    </row>
    <row r="17">
      <c r="A17" s="1">
        <f>HYPERLINK("https://eurofarma-latam-crm.veevavault.com/#object/account__v/V4TZ00001916865", "Ana Paula Lourenço")</f>
        <v/>
      </c>
      <c r="B17" s="1">
        <f>HYPERLINK("https://eurofarma-latam-crm.veevavault.com/#object/account__v/V4TZ00001916865", "Ana Paula Linhares da Silva Lourenço")</f>
        <v/>
      </c>
      <c r="C17" t="inlineStr">
        <is>
          <t>RJ0703605</t>
        </is>
      </c>
      <c r="D17" t="inlineStr">
        <is>
          <t>CLG / END</t>
        </is>
      </c>
      <c r="E17" t="inlineStr">
        <is>
          <t>Rua Ator Paulo Gustavo, 160 - Sala 907</t>
        </is>
      </c>
      <c r="F17" t="inlineStr">
        <is>
          <t>Icaraí</t>
        </is>
      </c>
      <c r="G17" t="inlineStr">
        <is>
          <t>Niterói</t>
        </is>
      </c>
      <c r="H17" t="inlineStr">
        <is>
          <t>RJ</t>
        </is>
      </c>
      <c r="I17" t="n">
        <v>5149</v>
      </c>
      <c r="J17" t="inlineStr">
        <is>
          <t>CAT 5</t>
        </is>
      </c>
      <c r="K17" t="inlineStr">
        <is>
          <t>Sim</t>
        </is>
      </c>
    </row>
    <row r="18">
      <c r="A18" s="1">
        <f>HYPERLINK("https://eurofarma-latam-crm.veevavault.com/#object/account__v/V4TZ000018NZ3Q3", "Ana Paula Rodrigues")</f>
        <v/>
      </c>
      <c r="B18" s="1">
        <f>HYPERLINK("https://eurofarma-latam-crm.veevavault.com/#object/account__v/V4TZ000018NZ3Q3", "Ana Paula Pernambuco de Fraga Rodrigues")</f>
        <v/>
      </c>
      <c r="C18" t="inlineStr">
        <is>
          <t>RJ0609599</t>
        </is>
      </c>
      <c r="D18" t="inlineStr">
        <is>
          <t>GAS</t>
        </is>
      </c>
      <c r="E18" t="inlineStr">
        <is>
          <t>Rua Manuel João Gonçalves, 204</t>
        </is>
      </c>
      <c r="F18" t="inlineStr">
        <is>
          <t>Alcântara</t>
        </is>
      </c>
      <c r="G18" t="inlineStr">
        <is>
          <t>São Gonçalo</t>
        </is>
      </c>
      <c r="H18" t="inlineStr">
        <is>
          <t>RJ</t>
        </is>
      </c>
      <c r="I18" t="n">
        <v>5149</v>
      </c>
      <c r="J18" t="inlineStr">
        <is>
          <t>CAT 4</t>
        </is>
      </c>
      <c r="K18" t="inlineStr">
        <is>
          <t>Sim</t>
        </is>
      </c>
    </row>
    <row r="19">
      <c r="A19" s="1">
        <f>HYPERLINK("https://eurofarma-latam-crm.veevavault.com/#object/account__v/V4TZ000018NY2FH", "Ana Rega")</f>
        <v/>
      </c>
      <c r="B19" s="1">
        <f>HYPERLINK("https://eurofarma-latam-crm.veevavault.com/#object/account__v/V4TZ000018NY2FH", "Ana Carolina Bargas Rega")</f>
        <v/>
      </c>
      <c r="C19" t="inlineStr">
        <is>
          <t>RJ1040243</t>
        </is>
      </c>
      <c r="D19" t="inlineStr">
        <is>
          <t>CLG / PA</t>
        </is>
      </c>
      <c r="E19" t="inlineStr">
        <is>
          <t>Rua Manoel de Abreu, 9 - Parte</t>
        </is>
      </c>
      <c r="F19" t="inlineStr">
        <is>
          <t>Centro</t>
        </is>
      </c>
      <c r="G19" t="inlineStr">
        <is>
          <t>Niterói</t>
        </is>
      </c>
      <c r="H19" t="inlineStr">
        <is>
          <t>RJ</t>
        </is>
      </c>
      <c r="I19" t="n">
        <v>5149</v>
      </c>
      <c r="J19" t="inlineStr">
        <is>
          <t>CAT 4</t>
        </is>
      </c>
      <c r="K19" t="inlineStr">
        <is>
          <t>Sim</t>
        </is>
      </c>
    </row>
    <row r="20">
      <c r="A20" s="1">
        <f>HYPERLINK("https://eurofarma-latam-crm.veevavault.com/#object/account__v/V4TZ000018NZ782", "Ana Sodre")</f>
        <v/>
      </c>
      <c r="B20" s="1">
        <f>HYPERLINK("https://eurofarma-latam-crm.veevavault.com/#object/account__v/V4TZ000018NZ782", "Ana Claudia Sodre")</f>
        <v/>
      </c>
      <c r="C20" t="inlineStr">
        <is>
          <t>RJ0638137</t>
        </is>
      </c>
      <c r="D20" t="inlineStr">
        <is>
          <t>CLG / END</t>
        </is>
      </c>
      <c r="E20" t="inlineStr">
        <is>
          <t>Avenida Alzira Vargas do Amaral Peixoto, 155</t>
        </is>
      </c>
      <c r="F20" t="inlineStr">
        <is>
          <t>Laranjal</t>
        </is>
      </c>
      <c r="G20" t="inlineStr">
        <is>
          <t>São Gonçalo</t>
        </is>
      </c>
      <c r="H20" t="inlineStr">
        <is>
          <t>RJ</t>
        </is>
      </c>
      <c r="I20" t="n">
        <v>5149</v>
      </c>
      <c r="J20" t="inlineStr">
        <is>
          <t>CAT 4</t>
        </is>
      </c>
      <c r="K20" t="inlineStr">
        <is>
          <t>Sim</t>
        </is>
      </c>
    </row>
    <row r="21">
      <c r="A21" s="1">
        <f>HYPERLINK("https://eurofarma-latam-crm.veevavault.com/#object/account__v/V4TZ000018NXJX6", "Anderson Almeida")</f>
        <v/>
      </c>
      <c r="B21" s="1">
        <f>HYPERLINK("https://eurofarma-latam-crm.veevavault.com/#object/account__v/V4TZ000018NXJX6", "Anderson Alves de Almeida")</f>
        <v/>
      </c>
      <c r="C21" t="inlineStr">
        <is>
          <t>RJ0586323</t>
        </is>
      </c>
      <c r="D21" t="inlineStr">
        <is>
          <t>PED</t>
        </is>
      </c>
      <c r="E21" t="inlineStr">
        <is>
          <t>Rodovia Governador Mário Covas, 6 - Km 295 Subsolo</t>
        </is>
      </c>
      <c r="F21" t="inlineStr">
        <is>
          <t>Três Pontes</t>
        </is>
      </c>
      <c r="G21" t="inlineStr">
        <is>
          <t>Itaboraí</t>
        </is>
      </c>
      <c r="H21" t="inlineStr">
        <is>
          <t>RJ</t>
        </is>
      </c>
      <c r="I21" t="n">
        <v>5149</v>
      </c>
      <c r="J21" t="inlineStr">
        <is>
          <t>CAT 3</t>
        </is>
      </c>
      <c r="K21" t="inlineStr">
        <is>
          <t>Sim</t>
        </is>
      </c>
    </row>
    <row r="22">
      <c r="A22" s="1">
        <f>HYPERLINK("https://eurofarma-latam-crm.veevavault.com/#object/account__v/V4TZ025E8C81XZX", "Anderson Gentil")</f>
        <v/>
      </c>
      <c r="B22" s="1">
        <f>HYPERLINK("https://eurofarma-latam-crm.veevavault.com/#object/account__v/V4TZ025E8C81XZX", "Anderson Vieira Gentil")</f>
        <v/>
      </c>
      <c r="C22" t="inlineStr">
        <is>
          <t>RJ1358863</t>
        </is>
      </c>
      <c r="D22" t="inlineStr">
        <is>
          <t>CLG / PA</t>
        </is>
      </c>
      <c r="E22" t="inlineStr">
        <is>
          <t>Praça Estefania de Carvalho, 26</t>
        </is>
      </c>
      <c r="F22" t="inlineStr">
        <is>
          <t>Zé Garoto</t>
        </is>
      </c>
      <c r="G22" t="inlineStr">
        <is>
          <t>São Gonçalo</t>
        </is>
      </c>
      <c r="H22" t="inlineStr">
        <is>
          <t>RJ</t>
        </is>
      </c>
      <c r="I22" t="n">
        <v>5149</v>
      </c>
      <c r="J22" t="inlineStr">
        <is>
          <t>CAT 4</t>
        </is>
      </c>
      <c r="K22" t="inlineStr">
        <is>
          <t>Sim</t>
        </is>
      </c>
    </row>
    <row r="23">
      <c r="A23" s="1">
        <f>HYPERLINK("https://eurofarma-latam-crm.veevavault.com/#object/account__v/V4TZ000019155MC", "André Coutinho")</f>
        <v/>
      </c>
      <c r="B23" s="1">
        <f>HYPERLINK("https://eurofarma-latam-crm.veevavault.com/#object/account__v/V4TZ000019155MC", "André da Costa Coutinho")</f>
        <v/>
      </c>
      <c r="C23" t="inlineStr">
        <is>
          <t>RJ0667854</t>
        </is>
      </c>
      <c r="D23" t="inlineStr">
        <is>
          <t>ORT</t>
        </is>
      </c>
      <c r="E23" t="inlineStr">
        <is>
          <t>Rua Doutor Pereira dos Santos, 107 - Salas 324 à 326</t>
        </is>
      </c>
      <c r="F23" t="inlineStr">
        <is>
          <t>Centro</t>
        </is>
      </c>
      <c r="G23" t="inlineStr">
        <is>
          <t>Itaboraí</t>
        </is>
      </c>
      <c r="H23" t="inlineStr">
        <is>
          <t>RJ</t>
        </is>
      </c>
      <c r="I23" t="n">
        <v>5149</v>
      </c>
      <c r="J23" t="inlineStr">
        <is>
          <t>CAT 4</t>
        </is>
      </c>
      <c r="K23" t="inlineStr">
        <is>
          <t>Sim</t>
        </is>
      </c>
    </row>
    <row r="24">
      <c r="A24" s="1">
        <f>HYPERLINK("https://eurofarma-latam-crm.veevavault.com/#object/account__v/V4TZ00001914S5H", "Andre Veloso")</f>
        <v/>
      </c>
      <c r="B24" s="1">
        <f>HYPERLINK("https://eurofarma-latam-crm.veevavault.com/#object/account__v/V4TZ00001914S5H", "Andre Luiz de Souza Veloso")</f>
        <v/>
      </c>
      <c r="C24" t="inlineStr">
        <is>
          <t>RJ0907537</t>
        </is>
      </c>
      <c r="D24" t="inlineStr">
        <is>
          <t>ORT</t>
        </is>
      </c>
      <c r="E24" t="inlineStr">
        <is>
          <t>Rua Dagmar da Fonseca, 192</t>
        </is>
      </c>
      <c r="F24" t="inlineStr">
        <is>
          <t>Madureira</t>
        </is>
      </c>
      <c r="G24" t="inlineStr">
        <is>
          <t>Rio de Janeiro</t>
        </is>
      </c>
      <c r="H24" t="inlineStr">
        <is>
          <t>RJ</t>
        </is>
      </c>
      <c r="I24" t="n">
        <v>5149</v>
      </c>
      <c r="J24" t="inlineStr">
        <is>
          <t>CAT 3</t>
        </is>
      </c>
      <c r="K24" t="inlineStr">
        <is>
          <t>Sim</t>
        </is>
      </c>
    </row>
    <row r="25">
      <c r="A25" s="1">
        <f>HYPERLINK("https://eurofarma-latam-crm.veevavault.com/#object/account__v/V4TZ000018NXY6J", "Ângelo Maurilio Fosse Junior")</f>
        <v/>
      </c>
      <c r="B25" s="1">
        <f>HYPERLINK("https://eurofarma-latam-crm.veevavault.com/#object/account__v/V4TZ000018NXY6J", "Ângelo Maurilio Fosse Junior")</f>
        <v/>
      </c>
      <c r="C25" t="inlineStr">
        <is>
          <t>BA0045614,RJ0688746</t>
        </is>
      </c>
      <c r="D25" t="inlineStr">
        <is>
          <t>URO</t>
        </is>
      </c>
      <c r="E25" t="inlineStr">
        <is>
          <t>Estrada do Pacheco, 216</t>
        </is>
      </c>
      <c r="F25" t="inlineStr">
        <is>
          <t>Lagoinha</t>
        </is>
      </c>
      <c r="G25" t="inlineStr">
        <is>
          <t>São Gonçalo</t>
        </is>
      </c>
      <c r="H25" t="inlineStr">
        <is>
          <t>RJ</t>
        </is>
      </c>
      <c r="I25" t="n">
        <v>5149</v>
      </c>
      <c r="J25" t="inlineStr">
        <is>
          <t>CAT 4</t>
        </is>
      </c>
      <c r="K25" t="inlineStr">
        <is>
          <t>Sim</t>
        </is>
      </c>
    </row>
    <row r="26">
      <c r="A26" s="1">
        <f>HYPERLINK("https://eurofarma-latam-crm.veevavault.com/#object/account__v/V4TZ000019150V8", "Anna Beatriz Gonçalves")</f>
        <v/>
      </c>
      <c r="B26" s="1">
        <f>HYPERLINK("https://eurofarma-latam-crm.veevavault.com/#object/account__v/V4TZ000019150V8", "Anna Beatriz Gonçalves")</f>
        <v/>
      </c>
      <c r="C26" t="inlineStr">
        <is>
          <t>RJ0530908</t>
        </is>
      </c>
      <c r="D26" t="inlineStr">
        <is>
          <t>PED</t>
        </is>
      </c>
      <c r="E26" t="inlineStr">
        <is>
          <t>Rua Clímaco Pereira, 375</t>
        </is>
      </c>
      <c r="F26" t="inlineStr">
        <is>
          <t>Araçatiba</t>
        </is>
      </c>
      <c r="G26" t="inlineStr">
        <is>
          <t>Maricá</t>
        </is>
      </c>
      <c r="H26" t="inlineStr">
        <is>
          <t>RJ</t>
        </is>
      </c>
      <c r="I26" t="n">
        <v>5149</v>
      </c>
      <c r="J26" t="inlineStr">
        <is>
          <t>CAT 5</t>
        </is>
      </c>
      <c r="K26" t="inlineStr">
        <is>
          <t>N�o</t>
        </is>
      </c>
    </row>
    <row r="27">
      <c r="A27" s="1">
        <f>HYPERLINK("https://eurofarma-latam-crm.veevavault.com/#object/account__v/V4TZ000018NYPR8", "Annunziata Maior")</f>
        <v/>
      </c>
      <c r="B27" s="1">
        <f>HYPERLINK("https://eurofarma-latam-crm.veevavault.com/#object/account__v/V4TZ000018NYPR8", "Annunziata Di Cicco Souto Maior")</f>
        <v/>
      </c>
      <c r="C27" t="inlineStr">
        <is>
          <t>RJ0293856</t>
        </is>
      </c>
      <c r="D27" t="inlineStr">
        <is>
          <t>CLG / END</t>
        </is>
      </c>
      <c r="E27" t="inlineStr">
        <is>
          <t>Avenida Carlos Marighella, 9062 - Lote 09 Quadra33</t>
        </is>
      </c>
      <c r="F27" t="inlineStr">
        <is>
          <t>Barroco (Itaipuaçu)</t>
        </is>
      </c>
      <c r="G27" t="inlineStr">
        <is>
          <t>Maricá</t>
        </is>
      </c>
      <c r="H27" t="inlineStr">
        <is>
          <t>RJ</t>
        </is>
      </c>
      <c r="I27" t="n">
        <v>5149</v>
      </c>
      <c r="J27" t="inlineStr">
        <is>
          <t>CAT 2</t>
        </is>
      </c>
      <c r="K27" t="inlineStr">
        <is>
          <t>Sim</t>
        </is>
      </c>
    </row>
    <row r="28">
      <c r="A28" s="1">
        <f>HYPERLINK("https://eurofarma-latam-crm.veevavault.com/#object/account__v/V4TZ025E83W6QOH", "Antônio de Araújo II")</f>
        <v/>
      </c>
      <c r="B28" s="1">
        <f>HYPERLINK("https://eurofarma-latam-crm.veevavault.com/#object/account__v/V4TZ025E83W6QOH", "Antônio Rodrigues de Araújo II")</f>
        <v/>
      </c>
      <c r="C28" t="inlineStr">
        <is>
          <t>RJ1199277</t>
        </is>
      </c>
      <c r="D28" t="inlineStr">
        <is>
          <t>ORT</t>
        </is>
      </c>
      <c r="E28" t="inlineStr">
        <is>
          <t>Rua Desembargador Ferreira Pinto, 721 - Parte</t>
        </is>
      </c>
      <c r="F28" t="inlineStr">
        <is>
          <t>Centro</t>
        </is>
      </c>
      <c r="G28" t="inlineStr">
        <is>
          <t>Itaboraí</t>
        </is>
      </c>
      <c r="H28" t="inlineStr">
        <is>
          <t>RJ</t>
        </is>
      </c>
      <c r="I28" t="n">
        <v>5149</v>
      </c>
      <c r="J28" t="inlineStr">
        <is>
          <t>CAT 5</t>
        </is>
      </c>
      <c r="K28" t="inlineStr">
        <is>
          <t>N�o</t>
        </is>
      </c>
    </row>
    <row r="29">
      <c r="A29" s="1">
        <f>HYPERLINK("https://eurofarma-latam-crm.veevavault.com/#object/account__v/V4TZ000018NZBLL", "Antônio Fernando Correa")</f>
        <v/>
      </c>
      <c r="B29" s="1">
        <f>HYPERLINK("https://eurofarma-latam-crm.veevavault.com/#object/account__v/V4TZ000018NZBLL", "Antônio Fernando Silvares Correa")</f>
        <v/>
      </c>
      <c r="C29" t="inlineStr">
        <is>
          <t>RJ0031429</t>
        </is>
      </c>
      <c r="D29" t="inlineStr">
        <is>
          <t>RMT</t>
        </is>
      </c>
      <c r="E29" t="inlineStr">
        <is>
          <t>Rua Dr Mattos, 348 - Loja 107 Edif Serra do Sambe</t>
        </is>
      </c>
      <c r="F29" t="inlineStr">
        <is>
          <t>Centro</t>
        </is>
      </c>
      <c r="G29" t="inlineStr">
        <is>
          <t>Rio Bonito</t>
        </is>
      </c>
      <c r="H29" t="inlineStr">
        <is>
          <t>RJ</t>
        </is>
      </c>
      <c r="I29" t="n">
        <v>5149</v>
      </c>
      <c r="J29" t="inlineStr">
        <is>
          <t>CAT 3</t>
        </is>
      </c>
      <c r="K29" t="inlineStr">
        <is>
          <t>Sim</t>
        </is>
      </c>
    </row>
    <row r="30">
      <c r="A30" s="1">
        <f>HYPERLINK("https://eurofarma-latam-crm.veevavault.com/#object/account__v/V4TZ000019132MZ", "Antonio Gomes Neto")</f>
        <v/>
      </c>
      <c r="B30" s="1">
        <f>HYPERLINK("https://eurofarma-latam-crm.veevavault.com/#object/account__v/V4TZ000019132MZ", "Antonio Bandeira Gomes Neto")</f>
        <v/>
      </c>
      <c r="C30" t="inlineStr">
        <is>
          <t>RJ1213369</t>
        </is>
      </c>
      <c r="D30" t="inlineStr">
        <is>
          <t>CLG / PA</t>
        </is>
      </c>
      <c r="E30" t="inlineStr">
        <is>
          <t>Alameda São Boaventura, 144</t>
        </is>
      </c>
      <c r="F30" t="inlineStr">
        <is>
          <t>Fonseca</t>
        </is>
      </c>
      <c r="G30" t="inlineStr">
        <is>
          <t>Niterói</t>
        </is>
      </c>
      <c r="H30" t="inlineStr">
        <is>
          <t>RJ</t>
        </is>
      </c>
      <c r="I30" t="n">
        <v>5149</v>
      </c>
      <c r="J30" t="inlineStr">
        <is>
          <t>CAT 4</t>
        </is>
      </c>
      <c r="K30" t="inlineStr">
        <is>
          <t>Sim</t>
        </is>
      </c>
    </row>
    <row r="31">
      <c r="A31" s="1">
        <f>HYPERLINK("https://eurofarma-latam-crm.veevavault.com/#object/account__v/V4TZ000018NYTFB", "Antônio Maia Filho")</f>
        <v/>
      </c>
      <c r="B31" s="1">
        <f>HYPERLINK("https://eurofarma-latam-crm.veevavault.com/#object/account__v/V4TZ000018NYTFB", "Antônio da Costa Maia Filho")</f>
        <v/>
      </c>
      <c r="C31" t="inlineStr">
        <is>
          <t>RJ0650420</t>
        </is>
      </c>
      <c r="D31" t="inlineStr">
        <is>
          <t>ORT</t>
        </is>
      </c>
      <c r="E31" t="inlineStr">
        <is>
          <t>Rua César Xará, 781 - Bloco 01</t>
        </is>
      </c>
      <c r="F31" t="inlineStr">
        <is>
          <t>Quissamã</t>
        </is>
      </c>
      <c r="G31" t="inlineStr">
        <is>
          <t>Itaboraí</t>
        </is>
      </c>
      <c r="H31" t="inlineStr">
        <is>
          <t>RJ</t>
        </is>
      </c>
      <c r="I31" t="n">
        <v>5149</v>
      </c>
      <c r="J31" t="inlineStr">
        <is>
          <t>CAT 3</t>
        </is>
      </c>
      <c r="K31" t="inlineStr">
        <is>
          <t>Sim</t>
        </is>
      </c>
    </row>
    <row r="32">
      <c r="A32" s="1">
        <f>HYPERLINK("https://eurofarma-latam-crm.veevavault.com/#object/account__v/V4TZ000019152U8", "Armando de Carvalho Filho")</f>
        <v/>
      </c>
      <c r="B32" s="1">
        <f>HYPERLINK("https://eurofarma-latam-crm.veevavault.com/#object/account__v/V4TZ000019152U8", "Armando Marins de Carvalho Filho")</f>
        <v/>
      </c>
      <c r="C32" t="inlineStr">
        <is>
          <t>RJ0596110</t>
        </is>
      </c>
      <c r="D32" t="inlineStr">
        <is>
          <t>END</t>
        </is>
      </c>
      <c r="E32" t="inlineStr">
        <is>
          <t>Rua Yolanda Saad Abuzaid, 150 - Sala 716</t>
        </is>
      </c>
      <c r="F32" t="inlineStr">
        <is>
          <t>Alcântara</t>
        </is>
      </c>
      <c r="G32" t="inlineStr">
        <is>
          <t>São Gonçalo</t>
        </is>
      </c>
      <c r="H32" t="inlineStr">
        <is>
          <t>RJ</t>
        </is>
      </c>
      <c r="I32" t="n">
        <v>5149</v>
      </c>
      <c r="J32" t="inlineStr">
        <is>
          <t>CAT 2</t>
        </is>
      </c>
      <c r="K32" t="inlineStr">
        <is>
          <t>Sim</t>
        </is>
      </c>
    </row>
    <row r="33">
      <c r="A33" s="1">
        <f>HYPERLINK("https://eurofarma-latam-crm.veevavault.com/#object/account__v/V4TZ025E83O5FN0", "Armando Fernandes")</f>
        <v/>
      </c>
      <c r="B33" s="1">
        <f>HYPERLINK("https://eurofarma-latam-crm.veevavault.com/#object/account__v/V4TZ025E83O5FN0", "Armando Avelino Fernandes")</f>
        <v/>
      </c>
      <c r="C33" t="inlineStr">
        <is>
          <t>RJ0227782</t>
        </is>
      </c>
      <c r="D33" t="inlineStr">
        <is>
          <t>PSQ</t>
        </is>
      </c>
      <c r="E33" t="inlineStr">
        <is>
          <t>Rua Cândido Reis, 89</t>
        </is>
      </c>
      <c r="F33" t="inlineStr">
        <is>
          <t>Coelho</t>
        </is>
      </c>
      <c r="G33" t="inlineStr">
        <is>
          <t>São Gonçalo</t>
        </is>
      </c>
      <c r="H33" t="inlineStr">
        <is>
          <t>RJ</t>
        </is>
      </c>
      <c r="I33" t="n">
        <v>5149</v>
      </c>
      <c r="J33" t="inlineStr">
        <is>
          <t>CAT 3</t>
        </is>
      </c>
      <c r="K33" t="inlineStr">
        <is>
          <t>Sim</t>
        </is>
      </c>
    </row>
    <row r="34">
      <c r="A34" s="1">
        <f>HYPERLINK("https://eurofarma-latam-crm.veevavault.com/#object/account__v/V4TZ00001913I01", "Armando Oliveira Filho")</f>
        <v/>
      </c>
      <c r="B34" s="1">
        <f>HYPERLINK("https://eurofarma-latam-crm.veevavault.com/#object/account__v/V4TZ00001913I01", "Armando da Silva Oliveira Filho")</f>
        <v/>
      </c>
      <c r="C34" t="inlineStr">
        <is>
          <t>RJ0480389</t>
        </is>
      </c>
      <c r="D34" t="inlineStr">
        <is>
          <t>END</t>
        </is>
      </c>
      <c r="E34" t="inlineStr">
        <is>
          <t>Rua Yolanda Saad Abuzaid, 150 - Sala 906</t>
        </is>
      </c>
      <c r="F34" t="inlineStr">
        <is>
          <t>Alcântara</t>
        </is>
      </c>
      <c r="G34" t="inlineStr">
        <is>
          <t>São Gonçalo</t>
        </is>
      </c>
      <c r="H34" t="inlineStr">
        <is>
          <t>RJ</t>
        </is>
      </c>
      <c r="I34" t="n">
        <v>5149</v>
      </c>
      <c r="J34" t="inlineStr">
        <is>
          <t>CAT 1</t>
        </is>
      </c>
      <c r="K34" t="inlineStr">
        <is>
          <t>Sim</t>
        </is>
      </c>
    </row>
    <row r="35">
      <c r="A35" s="1">
        <f>HYPERLINK("https://eurofarma-latam-crm.veevavault.com/#object/account__v/V4TZ00001913N0X", "Aroldo de Souza Filho")</f>
        <v/>
      </c>
      <c r="B35" s="1">
        <f>HYPERLINK("https://eurofarma-latam-crm.veevavault.com/#object/account__v/V4TZ00001913N0X", "Aroldo Esteves de Souza Filho")</f>
        <v/>
      </c>
      <c r="C35" t="inlineStr">
        <is>
          <t>RJ0328201</t>
        </is>
      </c>
      <c r="D35" t="inlineStr">
        <is>
          <t>ORT</t>
        </is>
      </c>
      <c r="E35" t="inlineStr">
        <is>
          <t>Rua Nelson Silva, 379</t>
        </is>
      </c>
      <c r="F35" t="inlineStr">
        <is>
          <t>Centro</t>
        </is>
      </c>
      <c r="G35" t="inlineStr">
        <is>
          <t>Itaboraí</t>
        </is>
      </c>
      <c r="H35" t="inlineStr">
        <is>
          <t>RJ</t>
        </is>
      </c>
      <c r="I35" t="n">
        <v>5149</v>
      </c>
      <c r="J35" t="inlineStr">
        <is>
          <t>CAT 2</t>
        </is>
      </c>
      <c r="K35" t="inlineStr">
        <is>
          <t>Sim</t>
        </is>
      </c>
    </row>
    <row r="36">
      <c r="A36" s="1">
        <f>HYPERLINK("https://eurofarma-latam-crm.veevavault.com/#object/account__v/V4TZ025E8EVBTGH", "Arthur Barroso")</f>
        <v/>
      </c>
      <c r="B36" s="1">
        <f>HYPERLINK("https://eurofarma-latam-crm.veevavault.com/#object/account__v/V4TZ025E8EVBTGH", "Arthur Corrêa Silva Vieira Barroso")</f>
        <v/>
      </c>
      <c r="C36" t="inlineStr">
        <is>
          <t>RJ1270494</t>
        </is>
      </c>
      <c r="D36" t="inlineStr">
        <is>
          <t>CLG / PA</t>
        </is>
      </c>
      <c r="E36" t="inlineStr">
        <is>
          <t>Rua Osório Costa, S/N</t>
        </is>
      </c>
      <c r="F36" t="inlineStr">
        <is>
          <t>Colubande</t>
        </is>
      </c>
      <c r="G36" t="inlineStr">
        <is>
          <t>São Gonçalo</t>
        </is>
      </c>
      <c r="H36" t="inlineStr">
        <is>
          <t>RJ</t>
        </is>
      </c>
      <c r="I36" t="n">
        <v>5149</v>
      </c>
      <c r="J36" t="inlineStr">
        <is>
          <t>CAT 5</t>
        </is>
      </c>
      <c r="K36" t="inlineStr">
        <is>
          <t>N�o</t>
        </is>
      </c>
    </row>
    <row r="37">
      <c r="A37" s="1">
        <f>HYPERLINK("https://eurofarma-latam-crm.veevavault.com/#object/account__v/V4TZ00001915L66", "Augusto Sérgio de Alencar")</f>
        <v/>
      </c>
      <c r="B37" s="1">
        <f>HYPERLINK("https://eurofarma-latam-crm.veevavault.com/#object/account__v/V4TZ00001915L66", "Augusto Sérgio Brandão de Alencar")</f>
        <v/>
      </c>
      <c r="C37" t="inlineStr">
        <is>
          <t>RJ0491000</t>
        </is>
      </c>
      <c r="D37" t="inlineStr">
        <is>
          <t>ORT</t>
        </is>
      </c>
      <c r="E37" t="inlineStr">
        <is>
          <t>Rua Mariano Sendra dos Santos, 25</t>
        </is>
      </c>
      <c r="F37" t="inlineStr">
        <is>
          <t>Centro</t>
        </is>
      </c>
      <c r="G37" t="inlineStr">
        <is>
          <t>Duque de Caxias</t>
        </is>
      </c>
      <c r="H37" t="inlineStr">
        <is>
          <t>RJ</t>
        </is>
      </c>
      <c r="I37" t="n">
        <v>5149</v>
      </c>
      <c r="J37" t="inlineStr">
        <is>
          <t>CAT 1</t>
        </is>
      </c>
      <c r="K37" t="inlineStr">
        <is>
          <t>Sim</t>
        </is>
      </c>
    </row>
    <row r="38">
      <c r="A38" s="1">
        <f>HYPERLINK("https://eurofarma-latam-crm.veevavault.com/#object/account__v/V4TZ000018NZBO2", "Aureo Malato")</f>
        <v/>
      </c>
      <c r="B38" s="1">
        <f>HYPERLINK("https://eurofarma-latam-crm.veevavault.com/#object/account__v/V4TZ000018NZBO2", "Aureo Ernani Monteiro Malato")</f>
        <v/>
      </c>
      <c r="C38" t="inlineStr">
        <is>
          <t>RJ0225091</t>
        </is>
      </c>
      <c r="D38" t="inlineStr">
        <is>
          <t>CLG / END</t>
        </is>
      </c>
      <c r="E38" t="inlineStr">
        <is>
          <t>Rua Osório Costa, S/N</t>
        </is>
      </c>
      <c r="F38" t="inlineStr">
        <is>
          <t>Colubande</t>
        </is>
      </c>
      <c r="G38" t="inlineStr">
        <is>
          <t>São Gonçalo</t>
        </is>
      </c>
      <c r="H38" t="inlineStr">
        <is>
          <t>RJ</t>
        </is>
      </c>
      <c r="I38" t="n">
        <v>5149</v>
      </c>
      <c r="J38" t="inlineStr">
        <is>
          <t>CAT 3</t>
        </is>
      </c>
      <c r="K38" t="inlineStr">
        <is>
          <t>Sim</t>
        </is>
      </c>
    </row>
    <row r="39">
      <c r="A39" s="1">
        <f>HYPERLINK("https://eurofarma-latam-crm.veevavault.com/#object/account__v/V4TZ00001915NWU", "Avair Almeida Junior")</f>
        <v/>
      </c>
      <c r="B39" s="1">
        <f>HYPERLINK("https://eurofarma-latam-crm.veevavault.com/#object/account__v/V4TZ00001915NWU", "Avair Ciuffo Almeida Junior")</f>
        <v/>
      </c>
      <c r="C39" t="inlineStr">
        <is>
          <t>RJ0600322</t>
        </is>
      </c>
      <c r="D39" t="inlineStr">
        <is>
          <t>CLG</t>
        </is>
      </c>
      <c r="E39" t="inlineStr">
        <is>
          <t>Rua Francisco Lopes, 51</t>
        </is>
      </c>
      <c r="F39" t="inlineStr">
        <is>
          <t>Centro</t>
        </is>
      </c>
      <c r="G39" t="inlineStr">
        <is>
          <t>Casimiro de Abreu</t>
        </is>
      </c>
      <c r="H39" t="inlineStr">
        <is>
          <t>RJ</t>
        </is>
      </c>
      <c r="I39" t="n">
        <v>5149</v>
      </c>
      <c r="J39" t="inlineStr">
        <is>
          <t>CAT 1</t>
        </is>
      </c>
      <c r="K39" t="inlineStr">
        <is>
          <t>Sim</t>
        </is>
      </c>
    </row>
    <row r="40">
      <c r="A40" s="1">
        <f>HYPERLINK("https://eurofarma-latam-crm.veevavault.com/#object/account__v/V4TZ000018NYH80", "Ayla Ximenes")</f>
        <v/>
      </c>
      <c r="B40" s="1">
        <f>HYPERLINK("https://eurofarma-latam-crm.veevavault.com/#object/account__v/V4TZ000018NYH80", "Ayla Cristina Guimaraes da Motta Ximenes")</f>
        <v/>
      </c>
      <c r="C40" t="inlineStr">
        <is>
          <t>RJ1016687</t>
        </is>
      </c>
      <c r="D40" t="inlineStr">
        <is>
          <t>PED</t>
        </is>
      </c>
      <c r="E40" t="inlineStr">
        <is>
          <t>Avenida Vinte e Dois de Maio, 1233</t>
        </is>
      </c>
      <c r="F40" t="inlineStr">
        <is>
          <t>Centro</t>
        </is>
      </c>
      <c r="G40" t="inlineStr">
        <is>
          <t>Itaboraí</t>
        </is>
      </c>
      <c r="H40" t="inlineStr">
        <is>
          <t>RJ</t>
        </is>
      </c>
      <c r="I40" t="n">
        <v>5149</v>
      </c>
      <c r="J40" t="inlineStr">
        <is>
          <t>CAT 3</t>
        </is>
      </c>
      <c r="K40" t="inlineStr">
        <is>
          <t>Sim</t>
        </is>
      </c>
    </row>
    <row r="41">
      <c r="A41" s="1">
        <f>HYPERLINK("https://eurofarma-latam-crm.veevavault.com/#object/account__v/V4TZ025E88X8J6U", "Breno Ribeiro")</f>
        <v/>
      </c>
      <c r="B41" s="1">
        <f>HYPERLINK("https://eurofarma-latam-crm.veevavault.com/#object/account__v/V4TZ025E88X8J6U", "Breno Miguel Ribeiro")</f>
        <v/>
      </c>
      <c r="C41" t="inlineStr">
        <is>
          <t>RJ1336452</t>
        </is>
      </c>
      <c r="D41" t="inlineStr">
        <is>
          <t>CLG / PA</t>
        </is>
      </c>
      <c r="E41" t="inlineStr">
        <is>
          <t>Avenida Bispo Dom João da Mata, S/N</t>
        </is>
      </c>
      <c r="F41" t="inlineStr">
        <is>
          <t>Laranjal</t>
        </is>
      </c>
      <c r="G41" t="inlineStr">
        <is>
          <t>São Gonçalo</t>
        </is>
      </c>
      <c r="H41" t="inlineStr">
        <is>
          <t>RJ</t>
        </is>
      </c>
      <c r="I41" t="n">
        <v>5149</v>
      </c>
      <c r="J41" t="inlineStr">
        <is>
          <t>CAT 5</t>
        </is>
      </c>
      <c r="K41" t="inlineStr">
        <is>
          <t>N�o</t>
        </is>
      </c>
    </row>
    <row r="42">
      <c r="A42" s="1">
        <f>HYPERLINK("https://eurofarma-latam-crm.veevavault.com/#object/account__v/V4TZ025E8686MMT", "Bruno Barbosa")</f>
        <v/>
      </c>
      <c r="B42" s="1">
        <f>HYPERLINK("https://eurofarma-latam-crm.veevavault.com/#object/account__v/V4TZ025E8686MMT", "Bruno de Oliveira Barbosa")</f>
        <v/>
      </c>
      <c r="C42" t="inlineStr">
        <is>
          <t>RJ1318918</t>
        </is>
      </c>
      <c r="D42" t="inlineStr">
        <is>
          <t>CLG / PA</t>
        </is>
      </c>
      <c r="E42" t="inlineStr">
        <is>
          <t>Rodovia BR-493, S/N</t>
        </is>
      </c>
      <c r="F42" t="inlineStr">
        <is>
          <t>Centro (Manilha)</t>
        </is>
      </c>
      <c r="G42" t="inlineStr">
        <is>
          <t>Itaboraí</t>
        </is>
      </c>
      <c r="H42" t="inlineStr">
        <is>
          <t>RJ</t>
        </is>
      </c>
      <c r="I42" t="n">
        <v>5149</v>
      </c>
      <c r="J42" t="inlineStr">
        <is>
          <t>CAT 5</t>
        </is>
      </c>
      <c r="K42" t="inlineStr">
        <is>
          <t>Sim</t>
        </is>
      </c>
    </row>
    <row r="43">
      <c r="A43" s="1">
        <f>HYPERLINK("https://eurofarma-latam-crm.veevavault.com/#object/account__v/V4TZ025E8DB677T", "Bruno César")</f>
        <v/>
      </c>
      <c r="B43" s="1">
        <f>HYPERLINK("https://eurofarma-latam-crm.veevavault.com/#object/account__v/V4TZ025E8DB677T", "Bruno de Elena Martins da Silva César")</f>
        <v/>
      </c>
      <c r="C43" t="inlineStr">
        <is>
          <t>RJ1366067</t>
        </is>
      </c>
      <c r="D43" t="inlineStr">
        <is>
          <t>CLG / PA</t>
        </is>
      </c>
      <c r="E43" t="inlineStr">
        <is>
          <t>Estrada do Pacheco, 1051</t>
        </is>
      </c>
      <c r="F43" t="inlineStr">
        <is>
          <t>Pacheco</t>
        </is>
      </c>
      <c r="G43" t="inlineStr">
        <is>
          <t>São Gonçalo</t>
        </is>
      </c>
      <c r="H43" t="inlineStr">
        <is>
          <t>RJ</t>
        </is>
      </c>
      <c r="I43" t="n">
        <v>5149</v>
      </c>
      <c r="J43" t="inlineStr">
        <is>
          <t>CAT 5</t>
        </is>
      </c>
      <c r="K43" t="inlineStr">
        <is>
          <t>N�o</t>
        </is>
      </c>
    </row>
    <row r="44">
      <c r="A44" s="1">
        <f>HYPERLINK("https://eurofarma-latam-crm.veevavault.com/#object/account__v/V4TZ04ASGN4QBU2", "Bruno Faria")</f>
        <v/>
      </c>
      <c r="B44" s="1">
        <f>HYPERLINK("https://eurofarma-latam-crm.veevavault.com/#object/account__v/V4TZ04ASGN4QBU2", "Bruno Almeida Faria")</f>
        <v/>
      </c>
      <c r="C44" t="inlineStr">
        <is>
          <t>RJ1404679</t>
        </is>
      </c>
      <c r="D44" t="inlineStr">
        <is>
          <t>CLG / PA</t>
        </is>
      </c>
      <c r="E44" t="inlineStr">
        <is>
          <t>Rua Vicente de Lima Cleto, 296</t>
        </is>
      </c>
      <c r="F44" t="inlineStr">
        <is>
          <t>Nova Cidade</t>
        </is>
      </c>
      <c r="G44" t="inlineStr">
        <is>
          <t>São Gonçalo</t>
        </is>
      </c>
      <c r="H44" t="inlineStr">
        <is>
          <t>RJ</t>
        </is>
      </c>
      <c r="I44" t="n">
        <v>5149</v>
      </c>
      <c r="J44" t="inlineStr">
        <is>
          <t>CAT 5</t>
        </is>
      </c>
      <c r="K44" t="inlineStr">
        <is>
          <t>N�o</t>
        </is>
      </c>
    </row>
    <row r="45">
      <c r="A45" s="1">
        <f>HYPERLINK("https://eurofarma-latam-crm.veevavault.com/#object/account__v/V4TZ000018NZ7YR", "Bruno Ferreira")</f>
        <v/>
      </c>
      <c r="B45" s="1">
        <f>HYPERLINK("https://eurofarma-latam-crm.veevavault.com/#object/account__v/V4TZ000018NZ7YR", "Bruno Dias Ferreira")</f>
        <v/>
      </c>
      <c r="C45" t="inlineStr">
        <is>
          <t>RJ1016849</t>
        </is>
      </c>
      <c r="D45" t="inlineStr">
        <is>
          <t>PSQ</t>
        </is>
      </c>
      <c r="E45" t="inlineStr">
        <is>
          <t>Rua Manuel João Gonçalves, 204</t>
        </is>
      </c>
      <c r="F45" t="inlineStr">
        <is>
          <t>Alcântara</t>
        </is>
      </c>
      <c r="G45" t="inlineStr">
        <is>
          <t>São Gonçalo</t>
        </is>
      </c>
      <c r="H45" t="inlineStr">
        <is>
          <t>RJ</t>
        </is>
      </c>
      <c r="I45" t="n">
        <v>5149</v>
      </c>
      <c r="J45" t="inlineStr">
        <is>
          <t>CAT 2</t>
        </is>
      </c>
      <c r="K45" t="inlineStr">
        <is>
          <t>Sim</t>
        </is>
      </c>
    </row>
    <row r="46">
      <c r="A46" s="1">
        <f>HYPERLINK("https://eurofarma-latam-crm.veevavault.com/#object/account__v/V4TZ000018NYMN0", "Bruno Rocha")</f>
        <v/>
      </c>
      <c r="B46" s="1">
        <f>HYPERLINK("https://eurofarma-latam-crm.veevavault.com/#object/account__v/V4TZ000018NYMN0", "Bruno Alves Rocha")</f>
        <v/>
      </c>
      <c r="C46" t="inlineStr">
        <is>
          <t>RJ1202057</t>
        </is>
      </c>
      <c r="D46" t="inlineStr">
        <is>
          <t>ORT</t>
        </is>
      </c>
      <c r="E46" t="inlineStr">
        <is>
          <t>Estrada Prefeito Álvaro de Carvalho Júnior, S/N</t>
        </is>
      </c>
      <c r="F46" t="inlineStr">
        <is>
          <t>Nancilândia</t>
        </is>
      </c>
      <c r="G46" t="inlineStr">
        <is>
          <t>Itaboraí</t>
        </is>
      </c>
      <c r="H46" t="inlineStr">
        <is>
          <t>RJ</t>
        </is>
      </c>
      <c r="I46" t="n">
        <v>5149</v>
      </c>
      <c r="J46" t="inlineStr">
        <is>
          <t>CAT 5</t>
        </is>
      </c>
      <c r="K46" t="inlineStr">
        <is>
          <t>Sim</t>
        </is>
      </c>
    </row>
    <row r="47">
      <c r="A47" s="1">
        <f>HYPERLINK("https://eurofarma-latam-crm.veevavault.com/#object/account__v/V4TZ000018NY098", "Bruno Rodrigues")</f>
        <v/>
      </c>
      <c r="B47" s="1">
        <f>HYPERLINK("https://eurofarma-latam-crm.veevavault.com/#object/account__v/V4TZ000018NY098", "Bruno Macaferri Rodrigues")</f>
        <v/>
      </c>
      <c r="C47" t="inlineStr">
        <is>
          <t>RJ0837105</t>
        </is>
      </c>
      <c r="D47" t="inlineStr">
        <is>
          <t>URO</t>
        </is>
      </c>
      <c r="E47" t="inlineStr">
        <is>
          <t>Rua Coronel Moreira Cesar, 229 - Sala 1001</t>
        </is>
      </c>
      <c r="F47" t="inlineStr">
        <is>
          <t>Icaraí</t>
        </is>
      </c>
      <c r="G47" t="inlineStr">
        <is>
          <t>Niterói</t>
        </is>
      </c>
      <c r="H47" t="inlineStr">
        <is>
          <t>RJ</t>
        </is>
      </c>
      <c r="I47" t="n">
        <v>5149</v>
      </c>
      <c r="J47" t="inlineStr">
        <is>
          <t>CAT 4</t>
        </is>
      </c>
      <c r="K47" t="inlineStr">
        <is>
          <t>Sim</t>
        </is>
      </c>
    </row>
    <row r="48">
      <c r="A48" s="1">
        <f>HYPERLINK("https://eurofarma-latam-crm.veevavault.com/#object/account__v/V4TZ000019134UE", "Bruno Valle")</f>
        <v/>
      </c>
      <c r="B48" s="1">
        <f>HYPERLINK("https://eurofarma-latam-crm.veevavault.com/#object/account__v/V4TZ000019134UE", "Bruno Rodrigues Guterres Valle")</f>
        <v/>
      </c>
      <c r="C48" t="inlineStr">
        <is>
          <t>RJ1022865</t>
        </is>
      </c>
      <c r="D48" t="inlineStr">
        <is>
          <t>ORT</t>
        </is>
      </c>
      <c r="E48" t="inlineStr">
        <is>
          <t>Avenida Doutor Délio Guarana, 670</t>
        </is>
      </c>
      <c r="F48" t="inlineStr">
        <is>
          <t>Éden</t>
        </is>
      </c>
      <c r="G48" t="inlineStr">
        <is>
          <t>São João de Meriti</t>
        </is>
      </c>
      <c r="H48" t="inlineStr">
        <is>
          <t>RJ</t>
        </is>
      </c>
      <c r="I48" t="n">
        <v>5149</v>
      </c>
      <c r="J48" t="inlineStr">
        <is>
          <t>CAT 4</t>
        </is>
      </c>
      <c r="K48" t="inlineStr">
        <is>
          <t>Sim</t>
        </is>
      </c>
    </row>
    <row r="49">
      <c r="A49" s="1">
        <f>HYPERLINK("https://eurofarma-latam-crm.veevavault.com/#object/account__v/V4TZ025E8CAAJGO", "Calebe de Brito")</f>
        <v/>
      </c>
      <c r="B49" s="1">
        <f>HYPERLINK("https://eurofarma-latam-crm.veevavault.com/#object/account__v/V4TZ025E8CAAJGO", "Calebe Lima de Brito")</f>
        <v/>
      </c>
      <c r="C49" t="inlineStr">
        <is>
          <t>RJ1358944</t>
        </is>
      </c>
      <c r="D49" t="inlineStr">
        <is>
          <t>CLG / PA</t>
        </is>
      </c>
      <c r="E49" t="inlineStr">
        <is>
          <t>Avenida Bispo Dom João da Mata, S/N</t>
        </is>
      </c>
      <c r="F49" t="inlineStr">
        <is>
          <t>Laranjal</t>
        </is>
      </c>
      <c r="G49" t="inlineStr">
        <is>
          <t>São Gonçalo</t>
        </is>
      </c>
      <c r="H49" t="inlineStr">
        <is>
          <t>RJ</t>
        </is>
      </c>
      <c r="I49" t="n">
        <v>5149</v>
      </c>
      <c r="J49" t="inlineStr"/>
      <c r="K49" t="inlineStr"/>
    </row>
    <row r="50">
      <c r="A50" s="1">
        <f>HYPERLINK("https://eurofarma-latam-crm.veevavault.com/#object/account__v/V4TZ00001915O2G", "Camila Minervino")</f>
        <v/>
      </c>
      <c r="B50" s="1">
        <f>HYPERLINK("https://eurofarma-latam-crm.veevavault.com/#object/account__v/V4TZ00001915O2G", "Camila Teixeira dos Santos Gonçalves Minervino")</f>
        <v/>
      </c>
      <c r="C50" t="inlineStr">
        <is>
          <t>RJ0714798</t>
        </is>
      </c>
      <c r="D50" t="inlineStr">
        <is>
          <t>CLG / PA</t>
        </is>
      </c>
      <c r="E50" t="inlineStr">
        <is>
          <t>Rua Sá Barreto, 107</t>
        </is>
      </c>
      <c r="F50" t="inlineStr">
        <is>
          <t>Fonseca</t>
        </is>
      </c>
      <c r="G50" t="inlineStr">
        <is>
          <t>Niterói</t>
        </is>
      </c>
      <c r="H50" t="inlineStr">
        <is>
          <t>RJ</t>
        </is>
      </c>
      <c r="I50" t="n">
        <v>5149</v>
      </c>
      <c r="J50" t="inlineStr">
        <is>
          <t>CAT 5</t>
        </is>
      </c>
      <c r="K50" t="inlineStr">
        <is>
          <t>Sim</t>
        </is>
      </c>
    </row>
    <row r="51">
      <c r="A51" s="1">
        <f>HYPERLINK("https://eurofarma-latam-crm.veevavault.com/#object/account__v/V4TZ025E83896SD", "Camilla Chaves")</f>
        <v/>
      </c>
      <c r="B51" s="1">
        <f>HYPERLINK("https://eurofarma-latam-crm.veevavault.com/#object/account__v/V4TZ025E83896SD", "Camilla Marques de Brito Chaves")</f>
        <v/>
      </c>
      <c r="C51" t="inlineStr">
        <is>
          <t>RJ1287354</t>
        </is>
      </c>
      <c r="D51" t="inlineStr">
        <is>
          <t>CLG / PA</t>
        </is>
      </c>
      <c r="E51" t="inlineStr">
        <is>
          <t>Avenida Bispo Dom João da Mata, S/N</t>
        </is>
      </c>
      <c r="F51" t="inlineStr">
        <is>
          <t>Laranjal</t>
        </is>
      </c>
      <c r="G51" t="inlineStr">
        <is>
          <t>São Gonçalo</t>
        </is>
      </c>
      <c r="H51" t="inlineStr">
        <is>
          <t>RJ</t>
        </is>
      </c>
      <c r="I51" t="n">
        <v>5149</v>
      </c>
      <c r="J51" t="inlineStr">
        <is>
          <t>CAT 4</t>
        </is>
      </c>
      <c r="K51" t="inlineStr">
        <is>
          <t>Sim</t>
        </is>
      </c>
    </row>
    <row r="52">
      <c r="A52" s="1">
        <f>HYPERLINK("https://eurofarma-latam-crm.veevavault.com/#object/account__v/V4TZ000018NY60O", "Carla Andreiuolo")</f>
        <v/>
      </c>
      <c r="B52" s="1">
        <f>HYPERLINK("https://eurofarma-latam-crm.veevavault.com/#object/account__v/V4TZ000018NY60O", "Carla Ribeiro Monteiro Andreiuolo")</f>
        <v/>
      </c>
      <c r="C52" t="inlineStr">
        <is>
          <t>RJ0614241</t>
        </is>
      </c>
      <c r="D52" t="inlineStr">
        <is>
          <t>ORL</t>
        </is>
      </c>
      <c r="E52" t="inlineStr">
        <is>
          <t>Rua Barão de Jaceguai, 289</t>
        </is>
      </c>
      <c r="F52" t="inlineStr">
        <is>
          <t>Ponta D'Areia</t>
        </is>
      </c>
      <c r="G52" t="inlineStr">
        <is>
          <t>Niterói</t>
        </is>
      </c>
      <c r="H52" t="inlineStr">
        <is>
          <t>RJ</t>
        </is>
      </c>
      <c r="I52" t="n">
        <v>5149</v>
      </c>
      <c r="J52" t="inlineStr">
        <is>
          <t>CAT 5</t>
        </is>
      </c>
      <c r="K52" t="inlineStr">
        <is>
          <t>Sim</t>
        </is>
      </c>
    </row>
    <row r="53">
      <c r="A53" s="1">
        <f>HYPERLINK("https://eurofarma-latam-crm.veevavault.com/#object/account__v/V4TZ000018NXJCW", "Carla Baars")</f>
        <v/>
      </c>
      <c r="B53" s="1">
        <f>HYPERLINK("https://eurofarma-latam-crm.veevavault.com/#object/account__v/V4TZ000018NXJCW", "Carla Cristina Leocadio Baars")</f>
        <v/>
      </c>
      <c r="C53" t="inlineStr">
        <is>
          <t>RJ0642983</t>
        </is>
      </c>
      <c r="D53" t="inlineStr">
        <is>
          <t>PSQ</t>
        </is>
      </c>
      <c r="E53" t="inlineStr">
        <is>
          <t>Rua Otávio Carneiro, 100 - Sala 1211</t>
        </is>
      </c>
      <c r="F53" t="inlineStr">
        <is>
          <t>Icaraí</t>
        </is>
      </c>
      <c r="G53" t="inlineStr">
        <is>
          <t>Niterói</t>
        </is>
      </c>
      <c r="H53" t="inlineStr">
        <is>
          <t>RJ</t>
        </is>
      </c>
      <c r="I53" t="n">
        <v>5149</v>
      </c>
      <c r="J53" t="inlineStr">
        <is>
          <t>CAT 2</t>
        </is>
      </c>
      <c r="K53" t="inlineStr">
        <is>
          <t>Sim</t>
        </is>
      </c>
    </row>
    <row r="54">
      <c r="A54" s="1">
        <f>HYPERLINK("https://eurofarma-latam-crm.veevavault.com/#object/account__v/V4TZ0000191631B", "Carla Maia")</f>
        <v/>
      </c>
      <c r="B54" s="1">
        <f>HYPERLINK("https://eurofarma-latam-crm.veevavault.com/#object/account__v/V4TZ0000191631B", "Carla Jardim Maia")</f>
        <v/>
      </c>
      <c r="C54" t="inlineStr">
        <is>
          <t>RJ0641154</t>
        </is>
      </c>
      <c r="D54" t="inlineStr">
        <is>
          <t>CLG / END</t>
        </is>
      </c>
      <c r="E54" t="inlineStr">
        <is>
          <t>Rua 29, S/N - Lote 753 Quadra 27</t>
        </is>
      </c>
      <c r="F54" t="inlineStr">
        <is>
          <t>Vila Gabriela (Manilha)</t>
        </is>
      </c>
      <c r="G54" t="inlineStr">
        <is>
          <t>Itaboraí</t>
        </is>
      </c>
      <c r="H54" t="inlineStr">
        <is>
          <t>RJ</t>
        </is>
      </c>
      <c r="I54" t="n">
        <v>5149</v>
      </c>
      <c r="J54" t="inlineStr">
        <is>
          <t>CAT 4</t>
        </is>
      </c>
      <c r="K54" t="inlineStr">
        <is>
          <t>Sim</t>
        </is>
      </c>
    </row>
    <row r="55">
      <c r="A55" s="1">
        <f>HYPERLINK("https://eurofarma-latam-crm.veevavault.com/#object/account__v/V4TZ025E8C60MC2", "Carla Sainz")</f>
        <v/>
      </c>
      <c r="B55" s="1">
        <f>HYPERLINK("https://eurofarma-latam-crm.veevavault.com/#object/account__v/V4TZ025E8C60MC2", "Carla Roccio Torrez Sainz")</f>
        <v/>
      </c>
      <c r="C55" t="inlineStr">
        <is>
          <t>RJ1321137</t>
        </is>
      </c>
      <c r="D55" t="inlineStr">
        <is>
          <t>PED</t>
        </is>
      </c>
      <c r="E55" t="inlineStr">
        <is>
          <t>Rua Alcebíades Gomes Pereira, S/N</t>
        </is>
      </c>
      <c r="F55" t="inlineStr">
        <is>
          <t>Apolo II (Manilha)</t>
        </is>
      </c>
      <c r="G55" t="inlineStr">
        <is>
          <t>Itaboraí</t>
        </is>
      </c>
      <c r="H55" t="inlineStr">
        <is>
          <t>RJ</t>
        </is>
      </c>
      <c r="I55" t="n">
        <v>5149</v>
      </c>
      <c r="J55" t="inlineStr">
        <is>
          <t>CAT 5</t>
        </is>
      </c>
      <c r="K55" t="inlineStr">
        <is>
          <t>N�o</t>
        </is>
      </c>
    </row>
    <row r="56">
      <c r="A56" s="1">
        <f>HYPERLINK("https://eurofarma-latam-crm.veevavault.com/#object/account__v/V4TZ00001914622", "Carlos Antônio de Almeida")</f>
        <v/>
      </c>
      <c r="B56" s="1">
        <f>HYPERLINK("https://eurofarma-latam-crm.veevavault.com/#object/account__v/V4TZ00001914622", "Carlos Antônio Pereira de Almeida")</f>
        <v/>
      </c>
      <c r="C56" t="inlineStr">
        <is>
          <t>RJ1142879</t>
        </is>
      </c>
      <c r="D56" t="inlineStr">
        <is>
          <t>PSQ</t>
        </is>
      </c>
      <c r="E56" t="inlineStr">
        <is>
          <t>Rua Doutor Pereira dos Santos, 107 - Sala 316</t>
        </is>
      </c>
      <c r="F56" t="inlineStr">
        <is>
          <t>Centro</t>
        </is>
      </c>
      <c r="G56" t="inlineStr">
        <is>
          <t>Itaboraí</t>
        </is>
      </c>
      <c r="H56" t="inlineStr">
        <is>
          <t>RJ</t>
        </is>
      </c>
      <c r="I56" t="n">
        <v>5149</v>
      </c>
      <c r="J56" t="inlineStr">
        <is>
          <t>CAT 2</t>
        </is>
      </c>
      <c r="K56" t="inlineStr">
        <is>
          <t>Sim</t>
        </is>
      </c>
    </row>
    <row r="57">
      <c r="A57" s="1">
        <f>HYPERLINK("https://eurofarma-latam-crm.veevavault.com/#object/account__v/V4TZ000019140XK", "Carlos Artur Martins")</f>
        <v/>
      </c>
      <c r="B57" s="1">
        <f>HYPERLINK("https://eurofarma-latam-crm.veevavault.com/#object/account__v/V4TZ000019140XK", "Carlos Artur de Oliveira Martins")</f>
        <v/>
      </c>
      <c r="C57" t="inlineStr">
        <is>
          <t>RJ0031091</t>
        </is>
      </c>
      <c r="D57" t="inlineStr">
        <is>
          <t>CLG / SNC</t>
        </is>
      </c>
      <c r="E57" t="inlineStr">
        <is>
          <t>Rua Doutor Nilo Peçanha, 59 - Casa</t>
        </is>
      </c>
      <c r="F57" t="inlineStr">
        <is>
          <t>Ingá</t>
        </is>
      </c>
      <c r="G57" t="inlineStr">
        <is>
          <t>Niterói</t>
        </is>
      </c>
      <c r="H57" t="inlineStr">
        <is>
          <t>RJ</t>
        </is>
      </c>
      <c r="I57" t="n">
        <v>5149</v>
      </c>
      <c r="J57" t="inlineStr">
        <is>
          <t>CAT 5</t>
        </is>
      </c>
      <c r="K57" t="inlineStr">
        <is>
          <t>Sim</t>
        </is>
      </c>
    </row>
    <row r="58">
      <c r="A58" s="1">
        <f>HYPERLINK("https://eurofarma-latam-crm.veevavault.com/#object/account__v/V4TZ000019149XV", "Carlos Eduardo Frota")</f>
        <v/>
      </c>
      <c r="B58" s="1">
        <f>HYPERLINK("https://eurofarma-latam-crm.veevavault.com/#object/account__v/V4TZ000019149XV", "Carlos Eduardo Bastos Frota")</f>
        <v/>
      </c>
      <c r="C58" t="inlineStr">
        <is>
          <t>RJ0411804</t>
        </is>
      </c>
      <c r="D58" t="inlineStr">
        <is>
          <t>ORT</t>
        </is>
      </c>
      <c r="E58" t="inlineStr">
        <is>
          <t>Rua Nestor Pinto Alves, 121</t>
        </is>
      </c>
      <c r="F58" t="inlineStr">
        <is>
          <t>Vila Três</t>
        </is>
      </c>
      <c r="G58" t="inlineStr">
        <is>
          <t>São Gonçalo</t>
        </is>
      </c>
      <c r="H58" t="inlineStr">
        <is>
          <t>RJ</t>
        </is>
      </c>
      <c r="I58" t="n">
        <v>5149</v>
      </c>
      <c r="J58" t="inlineStr">
        <is>
          <t>CAT 2</t>
        </is>
      </c>
      <c r="K58" t="inlineStr">
        <is>
          <t>Sim</t>
        </is>
      </c>
    </row>
    <row r="59">
      <c r="A59" s="1">
        <f>HYPERLINK("https://eurofarma-latam-crm.veevavault.com/#object/account__v/V4TZ025E8677NZU", "Carlos Freire")</f>
        <v/>
      </c>
      <c r="B59" s="1">
        <f>HYPERLINK("https://eurofarma-latam-crm.veevavault.com/#object/account__v/V4TZ025E8677NZU", "Carlos Amaro de Ceia Freire")</f>
        <v/>
      </c>
      <c r="C59" t="inlineStr">
        <is>
          <t>RJ0950122</t>
        </is>
      </c>
      <c r="D59" t="inlineStr">
        <is>
          <t>ORT</t>
        </is>
      </c>
      <c r="E59" t="inlineStr">
        <is>
          <t>Rua Visconde de Niterói, 1450</t>
        </is>
      </c>
      <c r="F59" t="inlineStr">
        <is>
          <t>Mangueira</t>
        </is>
      </c>
      <c r="G59" t="inlineStr">
        <is>
          <t>Rio de Janeiro</t>
        </is>
      </c>
      <c r="H59" t="inlineStr">
        <is>
          <t>RJ</t>
        </is>
      </c>
      <c r="I59" t="n">
        <v>5149</v>
      </c>
      <c r="J59" t="inlineStr">
        <is>
          <t>CAT 5</t>
        </is>
      </c>
      <c r="K59" t="inlineStr">
        <is>
          <t>N�o</t>
        </is>
      </c>
    </row>
    <row r="60">
      <c r="A60" s="1">
        <f>HYPERLINK("https://eurofarma-latam-crm.veevavault.com/#object/account__v/V4TZ00001916I4F", "Carlos Mauricio Soares")</f>
        <v/>
      </c>
      <c r="B60" s="1">
        <f>HYPERLINK("https://eurofarma-latam-crm.veevavault.com/#object/account__v/V4TZ00001916I4F", "Carlos Mauricio Miranda Soares")</f>
        <v/>
      </c>
      <c r="C60" t="inlineStr">
        <is>
          <t>RJ0454417</t>
        </is>
      </c>
      <c r="D60" t="inlineStr">
        <is>
          <t>CLG / END</t>
        </is>
      </c>
      <c r="E60" t="inlineStr">
        <is>
          <t>Rua Manuel João Gonçalves, 204</t>
        </is>
      </c>
      <c r="F60" t="inlineStr">
        <is>
          <t>Alcântara</t>
        </is>
      </c>
      <c r="G60" t="inlineStr">
        <is>
          <t>São Gonçalo</t>
        </is>
      </c>
      <c r="H60" t="inlineStr">
        <is>
          <t>RJ</t>
        </is>
      </c>
      <c r="I60" t="n">
        <v>5149</v>
      </c>
      <c r="J60" t="inlineStr">
        <is>
          <t>CAT 5</t>
        </is>
      </c>
      <c r="K60" t="inlineStr">
        <is>
          <t>Sim</t>
        </is>
      </c>
    </row>
    <row r="61">
      <c r="A61" s="1">
        <f>HYPERLINK("https://eurofarma-latam-crm.veevavault.com/#object/account__v/V4TZ025E832M5WT", "Carlos Menezes")</f>
        <v/>
      </c>
      <c r="B61" s="1">
        <f>HYPERLINK("https://eurofarma-latam-crm.veevavault.com/#object/account__v/V4TZ025E832M5WT", "Carlos Renato Oliveira de Menezes")</f>
        <v/>
      </c>
      <c r="C61" t="inlineStr">
        <is>
          <t>RJ1002414</t>
        </is>
      </c>
      <c r="D61" t="inlineStr">
        <is>
          <t>END</t>
        </is>
      </c>
      <c r="E61" t="inlineStr">
        <is>
          <t>Rua Doutor Feliciano Sodré, 46</t>
        </is>
      </c>
      <c r="F61" t="inlineStr">
        <is>
          <t>Centro</t>
        </is>
      </c>
      <c r="G61" t="inlineStr">
        <is>
          <t>São Gonçalo</t>
        </is>
      </c>
      <c r="H61" t="inlineStr">
        <is>
          <t>RJ</t>
        </is>
      </c>
      <c r="I61" t="n">
        <v>5149</v>
      </c>
      <c r="J61" t="inlineStr">
        <is>
          <t>CAT 4</t>
        </is>
      </c>
      <c r="K61" t="inlineStr">
        <is>
          <t>Sim</t>
        </is>
      </c>
    </row>
    <row r="62">
      <c r="A62" s="1">
        <f>HYPERLINK("https://eurofarma-latam-crm.veevavault.com/#object/account__v/V4TZ00001914H4R", "Carlos Roberto Conceição")</f>
        <v/>
      </c>
      <c r="B62" s="1">
        <f>HYPERLINK("https://eurofarma-latam-crm.veevavault.com/#object/account__v/V4TZ00001914H4R", "Carlos Roberto Sant'Ana Conceição")</f>
        <v/>
      </c>
      <c r="C62" t="inlineStr">
        <is>
          <t>RJ0775517</t>
        </is>
      </c>
      <c r="D62" t="inlineStr">
        <is>
          <t>CLG</t>
        </is>
      </c>
      <c r="E62" t="inlineStr">
        <is>
          <t>Praça Estefania de Carvalho, 26</t>
        </is>
      </c>
      <c r="F62" t="inlineStr">
        <is>
          <t>Zé Garoto</t>
        </is>
      </c>
      <c r="G62" t="inlineStr">
        <is>
          <t>São Gonçalo</t>
        </is>
      </c>
      <c r="H62" t="inlineStr">
        <is>
          <t>RJ</t>
        </is>
      </c>
      <c r="I62" t="n">
        <v>5149</v>
      </c>
      <c r="J62" t="inlineStr">
        <is>
          <t>CAT 2</t>
        </is>
      </c>
      <c r="K62" t="inlineStr">
        <is>
          <t>Sim</t>
        </is>
      </c>
    </row>
    <row r="63">
      <c r="A63" s="1">
        <f>HYPERLINK("https://eurofarma-latam-crm.veevavault.com/#object/account__v/V4TZ000018NXH7E", "Carmem Gil")</f>
        <v/>
      </c>
      <c r="B63" s="1">
        <f>HYPERLINK("https://eurofarma-latam-crm.veevavault.com/#object/account__v/V4TZ000018NXH7E", "Carmem Morais Gil")</f>
        <v/>
      </c>
      <c r="C63" t="inlineStr">
        <is>
          <t>RJ0416983</t>
        </is>
      </c>
      <c r="D63" t="inlineStr">
        <is>
          <t>PED</t>
        </is>
      </c>
      <c r="E63" t="inlineStr">
        <is>
          <t>Rua Quinze de Novembro, 90 - Sala 1311</t>
        </is>
      </c>
      <c r="F63" t="inlineStr">
        <is>
          <t>Centro</t>
        </is>
      </c>
      <c r="G63" t="inlineStr">
        <is>
          <t>Niterói</t>
        </is>
      </c>
      <c r="H63" t="inlineStr">
        <is>
          <t>RJ</t>
        </is>
      </c>
      <c r="I63" t="n">
        <v>5149</v>
      </c>
      <c r="J63" t="inlineStr">
        <is>
          <t>CAT 4</t>
        </is>
      </c>
      <c r="K63" t="inlineStr">
        <is>
          <t>Sim</t>
        </is>
      </c>
    </row>
    <row r="64">
      <c r="A64" s="1">
        <f>HYPERLINK("https://eurofarma-latam-crm.veevavault.com/#object/account__v/V4TZ00001913BCO", "Carmen de Souza")</f>
        <v/>
      </c>
      <c r="B64" s="1">
        <f>HYPERLINK("https://eurofarma-latam-crm.veevavault.com/#object/account__v/V4TZ00001913BCO", "Carmen do Amaral Henrique de Souza")</f>
        <v/>
      </c>
      <c r="C64" t="inlineStr">
        <is>
          <t>RJ0454475</t>
        </is>
      </c>
      <c r="D64" t="inlineStr">
        <is>
          <t>PED</t>
        </is>
      </c>
      <c r="E64" t="inlineStr">
        <is>
          <t>Rua Doutor Pereira dos Santos, 107 - Salas 918 e 919</t>
        </is>
      </c>
      <c r="F64" t="inlineStr">
        <is>
          <t>Centro</t>
        </is>
      </c>
      <c r="G64" t="inlineStr">
        <is>
          <t>Itaboraí</t>
        </is>
      </c>
      <c r="H64" t="inlineStr">
        <is>
          <t>RJ</t>
        </is>
      </c>
      <c r="I64" t="n">
        <v>5149</v>
      </c>
      <c r="J64" t="inlineStr">
        <is>
          <t>CAT 5</t>
        </is>
      </c>
      <c r="K64" t="inlineStr">
        <is>
          <t>Sim</t>
        </is>
      </c>
    </row>
    <row r="65">
      <c r="A65" s="1">
        <f>HYPERLINK("https://eurofarma-latam-crm.veevavault.com/#object/account__v/V4TZ025E89LCI6I", "Carolina Vilela")</f>
        <v/>
      </c>
      <c r="B65" s="1">
        <f>HYPERLINK("https://eurofarma-latam-crm.veevavault.com/#object/account__v/V4TZ025E89LCI6I", "Carolina Tavares da Costa Vilela")</f>
        <v/>
      </c>
      <c r="C65" t="inlineStr">
        <is>
          <t>RJ1339702</t>
        </is>
      </c>
      <c r="D65" t="inlineStr">
        <is>
          <t>CLG / PA</t>
        </is>
      </c>
      <c r="E65" t="inlineStr">
        <is>
          <t>Rodovia Amaral Peixoto (RJ-106), S/N - 10.5 Km</t>
        </is>
      </c>
      <c r="F65" t="inlineStr">
        <is>
          <t>Várzea das Moças</t>
        </is>
      </c>
      <c r="G65" t="inlineStr">
        <is>
          <t>São Gonçalo</t>
        </is>
      </c>
      <c r="H65" t="inlineStr">
        <is>
          <t>RJ</t>
        </is>
      </c>
      <c r="I65" t="n">
        <v>5149</v>
      </c>
      <c r="J65" t="inlineStr">
        <is>
          <t>CAT 5</t>
        </is>
      </c>
      <c r="K65" t="inlineStr">
        <is>
          <t>N�o</t>
        </is>
      </c>
    </row>
    <row r="66">
      <c r="A66" s="1">
        <f>HYPERLINK("https://eurofarma-latam-crm.veevavault.com/#object/account__v/V4TZ000019148ZG", "Caroline Baptista")</f>
        <v/>
      </c>
      <c r="B66" s="1">
        <f>HYPERLINK("https://eurofarma-latam-crm.veevavault.com/#object/account__v/V4TZ000019148ZG", "Caroline Bersot Baptista")</f>
        <v/>
      </c>
      <c r="C66" t="inlineStr">
        <is>
          <t>RJ0949981</t>
        </is>
      </c>
      <c r="D66" t="inlineStr">
        <is>
          <t>END</t>
        </is>
      </c>
      <c r="E66" t="inlineStr">
        <is>
          <t>Rua São Pedro, 575</t>
        </is>
      </c>
      <c r="F66" t="inlineStr">
        <is>
          <t>São Pedro</t>
        </is>
      </c>
      <c r="G66" t="inlineStr">
        <is>
          <t>Teresópolis</t>
        </is>
      </c>
      <c r="H66" t="inlineStr">
        <is>
          <t>RJ</t>
        </is>
      </c>
      <c r="I66" t="n">
        <v>5149</v>
      </c>
      <c r="J66" t="inlineStr">
        <is>
          <t>CAT 3</t>
        </is>
      </c>
      <c r="K66" t="inlineStr">
        <is>
          <t>Sim</t>
        </is>
      </c>
    </row>
    <row r="67">
      <c r="A67" s="1">
        <f>HYPERLINK("https://eurofarma-latam-crm.veevavault.com/#object/account__v/V4TZ000019143QU", "Caroline de Barros")</f>
        <v/>
      </c>
      <c r="B67" s="1">
        <f>HYPERLINK("https://eurofarma-latam-crm.veevavault.com/#object/account__v/V4TZ000019143QU", "Caroline Luxidi Duarte Isensee de Barros")</f>
        <v/>
      </c>
      <c r="C67" t="inlineStr">
        <is>
          <t>RJ1028901</t>
        </is>
      </c>
      <c r="D67" t="inlineStr">
        <is>
          <t>PED</t>
        </is>
      </c>
      <c r="E67" t="inlineStr">
        <is>
          <t>Rodovia Amaral Peixoto (RJ-106), S/N - 10.5 Km</t>
        </is>
      </c>
      <c r="F67" t="inlineStr">
        <is>
          <t>Várzea das Moças</t>
        </is>
      </c>
      <c r="G67" t="inlineStr">
        <is>
          <t>São Gonçalo</t>
        </is>
      </c>
      <c r="H67" t="inlineStr">
        <is>
          <t>RJ</t>
        </is>
      </c>
      <c r="I67" t="n">
        <v>5149</v>
      </c>
      <c r="J67" t="inlineStr">
        <is>
          <t>CAT 5</t>
        </is>
      </c>
      <c r="K67" t="inlineStr">
        <is>
          <t>N�o</t>
        </is>
      </c>
    </row>
    <row r="68">
      <c r="A68" s="1">
        <f>HYPERLINK("https://eurofarma-latam-crm.veevavault.com/#object/account__v/V4TZ025E85YBUF0", "Carolyna Busquet")</f>
        <v/>
      </c>
      <c r="B68" s="1">
        <f>HYPERLINK("https://eurofarma-latam-crm.veevavault.com/#object/account__v/V4TZ025E85YBUF0", "Carolyna Cavalheiro Santos Busquet")</f>
        <v/>
      </c>
      <c r="C68" t="inlineStr">
        <is>
          <t>RJ1318551</t>
        </is>
      </c>
      <c r="D68" t="inlineStr">
        <is>
          <t>CLG / PA</t>
        </is>
      </c>
      <c r="E68" t="inlineStr">
        <is>
          <t>Rodovia Amaral Peixoto (RJ-106), S/N - 10.5 Km</t>
        </is>
      </c>
      <c r="F68" t="inlineStr">
        <is>
          <t>Várzea das Moças</t>
        </is>
      </c>
      <c r="G68" t="inlineStr">
        <is>
          <t>São Gonçalo</t>
        </is>
      </c>
      <c r="H68" t="inlineStr">
        <is>
          <t>RJ</t>
        </is>
      </c>
      <c r="I68" t="n">
        <v>5149</v>
      </c>
      <c r="J68" t="inlineStr">
        <is>
          <t>CAT 5</t>
        </is>
      </c>
      <c r="K68" t="inlineStr">
        <is>
          <t>N�o</t>
        </is>
      </c>
    </row>
    <row r="69">
      <c r="A69" s="1">
        <f>HYPERLINK("https://eurofarma-latam-crm.veevavault.com/#object/account__v/V4TZ00001913OXE", "Cassio José Mellis")</f>
        <v/>
      </c>
      <c r="B69" s="1">
        <f>HYPERLINK("https://eurofarma-latam-crm.veevavault.com/#object/account__v/V4TZ00001913OXE", "Cassio José Backer Mellis")</f>
        <v/>
      </c>
      <c r="C69" t="inlineStr">
        <is>
          <t>RJ0560275</t>
        </is>
      </c>
      <c r="D69" t="inlineStr">
        <is>
          <t>CLG / SNC</t>
        </is>
      </c>
      <c r="E69" t="inlineStr">
        <is>
          <t>Rua Doutor Pereira dos Santos,107 - 1119 e 1120</t>
        </is>
      </c>
      <c r="F69" t="inlineStr">
        <is>
          <t>Centro</t>
        </is>
      </c>
      <c r="G69" t="inlineStr">
        <is>
          <t>Itaboraí</t>
        </is>
      </c>
      <c r="H69" t="inlineStr">
        <is>
          <t>RJ</t>
        </is>
      </c>
      <c r="I69" t="n">
        <v>5149</v>
      </c>
      <c r="J69" t="inlineStr">
        <is>
          <t>CAT 3</t>
        </is>
      </c>
      <c r="K69" t="inlineStr">
        <is>
          <t>Sim</t>
        </is>
      </c>
    </row>
    <row r="70">
      <c r="A70" s="1">
        <f>HYPERLINK("https://eurofarma-latam-crm.veevavault.com/#object/account__v/V4TZ00001915APK", "Celso Vilhena")</f>
        <v/>
      </c>
      <c r="B70" s="1">
        <f>HYPERLINK("https://eurofarma-latam-crm.veevavault.com/#object/account__v/V4TZ00001915APK", "Celso Vieira Vilhena")</f>
        <v/>
      </c>
      <c r="C70" t="inlineStr">
        <is>
          <t>RJ0459099</t>
        </is>
      </c>
      <c r="D70" t="inlineStr">
        <is>
          <t>CLG / PA</t>
        </is>
      </c>
      <c r="E70" t="inlineStr">
        <is>
          <t>Avenida Manoel Duarte, S/N</t>
        </is>
      </c>
      <c r="F70" t="inlineStr">
        <is>
          <t>Bela Vista</t>
        </is>
      </c>
      <c r="G70" t="inlineStr">
        <is>
          <t>Rio Bonito</t>
        </is>
      </c>
      <c r="H70" t="inlineStr">
        <is>
          <t>RJ</t>
        </is>
      </c>
      <c r="I70" t="n">
        <v>5149</v>
      </c>
      <c r="J70" t="inlineStr">
        <is>
          <t>CAT 4</t>
        </is>
      </c>
      <c r="K70" t="inlineStr">
        <is>
          <t>Sim</t>
        </is>
      </c>
    </row>
    <row r="71">
      <c r="A71" s="1">
        <f>HYPERLINK("https://eurofarma-latam-crm.veevavault.com/#object/account__v/V4TZ000018NXQPB", "Cesar Loretti")</f>
        <v/>
      </c>
      <c r="B71" s="1">
        <f>HYPERLINK("https://eurofarma-latam-crm.veevavault.com/#object/account__v/V4TZ000018NXQPB", "Cesar Tavares Loretti")</f>
        <v/>
      </c>
      <c r="C71" t="inlineStr">
        <is>
          <t>RJ0280859</t>
        </is>
      </c>
      <c r="D71" t="inlineStr">
        <is>
          <t>GAS</t>
        </is>
      </c>
      <c r="E71" t="inlineStr">
        <is>
          <t>Rua Agenor de Abreu, 121 - Quadra 14 Lote 29</t>
        </is>
      </c>
      <c r="F71" t="inlineStr">
        <is>
          <t>Centro</t>
        </is>
      </c>
      <c r="G71" t="inlineStr">
        <is>
          <t>Itaboraí</t>
        </is>
      </c>
      <c r="H71" t="inlineStr">
        <is>
          <t>RJ</t>
        </is>
      </c>
      <c r="I71" t="n">
        <v>5149</v>
      </c>
      <c r="J71" t="inlineStr">
        <is>
          <t>CAT 5</t>
        </is>
      </c>
      <c r="K71" t="inlineStr">
        <is>
          <t>Sim</t>
        </is>
      </c>
    </row>
    <row r="72">
      <c r="A72" s="1">
        <f>HYPERLINK("https://eurofarma-latam-crm.veevavault.com/#object/account__v/V4TZ025E8BHHCQ5", "Cinthia Souza")</f>
        <v/>
      </c>
      <c r="B72" s="1">
        <f>HYPERLINK("https://eurofarma-latam-crm.veevavault.com/#object/account__v/V4TZ025E8BHHCQ5", "Cinthia Alves Mendes de Souza")</f>
        <v/>
      </c>
      <c r="C72" t="inlineStr">
        <is>
          <t>MT0014367</t>
        </is>
      </c>
      <c r="D72" t="inlineStr">
        <is>
          <t>PED</t>
        </is>
      </c>
      <c r="E72" t="inlineStr">
        <is>
          <t>Rua 29, S/N - Lote 753 Quadra 27</t>
        </is>
      </c>
      <c r="F72" t="inlineStr">
        <is>
          <t>Vila Gabriela (Manilha)</t>
        </is>
      </c>
      <c r="G72" t="inlineStr">
        <is>
          <t>Itaboraí</t>
        </is>
      </c>
      <c r="H72" t="inlineStr">
        <is>
          <t>RJ</t>
        </is>
      </c>
      <c r="I72" t="n">
        <v>5149</v>
      </c>
      <c r="J72" t="inlineStr">
        <is>
          <t>CAT 5</t>
        </is>
      </c>
      <c r="K72" t="inlineStr">
        <is>
          <t>N�o</t>
        </is>
      </c>
    </row>
    <row r="73">
      <c r="A73" s="1">
        <f>HYPERLINK("https://eurofarma-latam-crm.veevavault.com/#object/account__v/V4TZ000018NY2MB", "Cintia da Cunha")</f>
        <v/>
      </c>
      <c r="B73" s="1">
        <f>HYPERLINK("https://eurofarma-latam-crm.veevavault.com/#object/account__v/V4TZ000018NY2MB", "Cintia Santos da Cunha")</f>
        <v/>
      </c>
      <c r="C73" t="inlineStr">
        <is>
          <t>BA0031435,RJ1310852</t>
        </is>
      </c>
      <c r="D73" t="inlineStr">
        <is>
          <t>PED</t>
        </is>
      </c>
      <c r="E73" t="inlineStr">
        <is>
          <t>Rua Euclides Paulo da Silva, S/N</t>
        </is>
      </c>
      <c r="F73" t="inlineStr">
        <is>
          <t>Inoã (Inoã)</t>
        </is>
      </c>
      <c r="G73" t="inlineStr">
        <is>
          <t>Maricá</t>
        </is>
      </c>
      <c r="H73" t="inlineStr">
        <is>
          <t>RJ</t>
        </is>
      </c>
      <c r="I73" t="n">
        <v>5149</v>
      </c>
      <c r="J73" t="inlineStr">
        <is>
          <t>CAT 5</t>
        </is>
      </c>
      <c r="K73" t="inlineStr">
        <is>
          <t>Sim</t>
        </is>
      </c>
    </row>
    <row r="74">
      <c r="A74" s="1">
        <f>HYPERLINK("https://eurofarma-latam-crm.veevavault.com/#object/account__v/V4TZ04ASGM4SYVT", "Clara Leite")</f>
        <v/>
      </c>
      <c r="B74" s="1">
        <f>HYPERLINK("https://eurofarma-latam-crm.veevavault.com/#object/account__v/V4TZ04ASGM4SYVT", "Clara de Almeida e Araujo Leite")</f>
        <v/>
      </c>
      <c r="C74" t="inlineStr">
        <is>
          <t>RJ1374910</t>
        </is>
      </c>
      <c r="D74" t="inlineStr">
        <is>
          <t>CLG / PA</t>
        </is>
      </c>
      <c r="E74" t="inlineStr">
        <is>
          <t>Rua Osório Costa, S/N</t>
        </is>
      </c>
      <c r="F74" t="inlineStr">
        <is>
          <t>Colubande</t>
        </is>
      </c>
      <c r="G74" t="inlineStr">
        <is>
          <t>São Gonçalo</t>
        </is>
      </c>
      <c r="H74" t="inlineStr">
        <is>
          <t>RJ</t>
        </is>
      </c>
      <c r="I74" t="n">
        <v>5149</v>
      </c>
      <c r="J74" t="inlineStr">
        <is>
          <t>CAT 5</t>
        </is>
      </c>
      <c r="K74" t="inlineStr">
        <is>
          <t>N�o</t>
        </is>
      </c>
    </row>
    <row r="75">
      <c r="A75" s="1">
        <f>HYPERLINK("https://eurofarma-latam-crm.veevavault.com/#object/account__v/V4TZ0000191475F", "Clara Lemos")</f>
        <v/>
      </c>
      <c r="B75" s="1">
        <f>HYPERLINK("https://eurofarma-latam-crm.veevavault.com/#object/account__v/V4TZ0000191475F", "Clara Walviesse de Almeida Lemos")</f>
        <v/>
      </c>
      <c r="C75" t="inlineStr">
        <is>
          <t>RJ1158856</t>
        </is>
      </c>
      <c r="D75" t="inlineStr">
        <is>
          <t>ORT</t>
        </is>
      </c>
      <c r="E75" t="inlineStr">
        <is>
          <t>Rua Desembargador Ferreira Pinto, 721 - Parte</t>
        </is>
      </c>
      <c r="F75" t="inlineStr">
        <is>
          <t>Centro</t>
        </is>
      </c>
      <c r="G75" t="inlineStr">
        <is>
          <t>Itaboraí</t>
        </is>
      </c>
      <c r="H75" t="inlineStr">
        <is>
          <t>RJ</t>
        </is>
      </c>
      <c r="I75" t="n">
        <v>5149</v>
      </c>
      <c r="J75" t="inlineStr">
        <is>
          <t>CAT 5</t>
        </is>
      </c>
      <c r="K75" t="inlineStr">
        <is>
          <t>N�o</t>
        </is>
      </c>
    </row>
    <row r="76">
      <c r="A76" s="1">
        <f>HYPERLINK("https://eurofarma-latam-crm.veevavault.com/#object/account__v/V4TZ025E89QF7ND", "Clara Tatagiba")</f>
        <v/>
      </c>
      <c r="B76" s="1">
        <f>HYPERLINK("https://eurofarma-latam-crm.veevavault.com/#object/account__v/V4TZ025E89QF7ND", "Clara Bravo Carneiro Tatagiba")</f>
        <v/>
      </c>
      <c r="C76" t="inlineStr">
        <is>
          <t>RJ1334476</t>
        </is>
      </c>
      <c r="D76" t="inlineStr">
        <is>
          <t>CLG / PA</t>
        </is>
      </c>
      <c r="E76" t="inlineStr">
        <is>
          <t>Rua Osório Costa, S/N</t>
        </is>
      </c>
      <c r="F76" t="inlineStr">
        <is>
          <t>Colubande</t>
        </is>
      </c>
      <c r="G76" t="inlineStr">
        <is>
          <t>São Gonçalo</t>
        </is>
      </c>
      <c r="H76" t="inlineStr">
        <is>
          <t>RJ</t>
        </is>
      </c>
      <c r="I76" t="n">
        <v>5149</v>
      </c>
      <c r="J76" t="inlineStr"/>
      <c r="K76" t="inlineStr"/>
    </row>
    <row r="77">
      <c r="A77" s="1">
        <f>HYPERLINK("https://eurofarma-latam-crm.veevavault.com/#object/account__v/V4TZ00001913BZT", "Claudia Abelha")</f>
        <v/>
      </c>
      <c r="B77" s="1">
        <f>HYPERLINK("https://eurofarma-latam-crm.veevavault.com/#object/account__v/V4TZ00001913BZT", "Claudia Prado Abelha")</f>
        <v/>
      </c>
      <c r="C77" t="inlineStr">
        <is>
          <t>RJ0609458</t>
        </is>
      </c>
      <c r="D77" t="inlineStr">
        <is>
          <t>END</t>
        </is>
      </c>
      <c r="E77" t="inlineStr">
        <is>
          <t>Avenida Almirante Tamandaré, 521 - Loja 101</t>
        </is>
      </c>
      <c r="F77" t="inlineStr">
        <is>
          <t>Piratininga</t>
        </is>
      </c>
      <c r="G77" t="inlineStr">
        <is>
          <t>Niterói</t>
        </is>
      </c>
      <c r="H77" t="inlineStr">
        <is>
          <t>RJ</t>
        </is>
      </c>
      <c r="I77" t="n">
        <v>5149</v>
      </c>
      <c r="J77" t="inlineStr">
        <is>
          <t>CAT 4</t>
        </is>
      </c>
      <c r="K77" t="inlineStr">
        <is>
          <t>Sim</t>
        </is>
      </c>
    </row>
    <row r="78">
      <c r="A78" s="1">
        <f>HYPERLINK("https://eurofarma-latam-crm.veevavault.com/#object/account__v/V4TZ000018NZBSO", "Claudina Maria da Silva")</f>
        <v/>
      </c>
      <c r="B78" s="1">
        <f>HYPERLINK("https://eurofarma-latam-crm.veevavault.com/#object/account__v/V4TZ000018NZBSO", "Claudina Maria da Silva")</f>
        <v/>
      </c>
      <c r="C78" t="inlineStr">
        <is>
          <t>RJ1267060</t>
        </is>
      </c>
      <c r="D78" t="inlineStr">
        <is>
          <t>PED</t>
        </is>
      </c>
      <c r="E78" t="inlineStr">
        <is>
          <t>Rua Roberto Silveira, 50</t>
        </is>
      </c>
      <c r="F78" t="inlineStr">
        <is>
          <t>Centro</t>
        </is>
      </c>
      <c r="G78" t="inlineStr">
        <is>
          <t>Piraí</t>
        </is>
      </c>
      <c r="H78" t="inlineStr">
        <is>
          <t>RJ</t>
        </is>
      </c>
      <c r="I78" t="n">
        <v>5149</v>
      </c>
      <c r="J78" t="inlineStr">
        <is>
          <t>CAT 4</t>
        </is>
      </c>
      <c r="K78" t="inlineStr">
        <is>
          <t>Sim</t>
        </is>
      </c>
    </row>
    <row r="79">
      <c r="A79" s="1">
        <f>HYPERLINK("https://eurofarma-latam-crm.veevavault.com/#object/account__v/V4TZ000019132BN", "Claudio Jose Salles")</f>
        <v/>
      </c>
      <c r="B79" s="1">
        <f>HYPERLINK("https://eurofarma-latam-crm.veevavault.com/#object/account__v/V4TZ000019132BN", "Claudio Jose Almuinha Salles")</f>
        <v/>
      </c>
      <c r="C79" t="inlineStr">
        <is>
          <t>RJ0551030</t>
        </is>
      </c>
      <c r="D79" t="inlineStr">
        <is>
          <t>CLG / SNC</t>
        </is>
      </c>
      <c r="E79" t="inlineStr">
        <is>
          <t>Rua Barão de São Francisco, 373 - Sala 511</t>
        </is>
      </c>
      <c r="F79" t="inlineStr">
        <is>
          <t>Vila Isabel</t>
        </is>
      </c>
      <c r="G79" t="inlineStr">
        <is>
          <t>Rio de Janeiro</t>
        </is>
      </c>
      <c r="H79" t="inlineStr">
        <is>
          <t>RJ</t>
        </is>
      </c>
      <c r="I79" t="n">
        <v>5149</v>
      </c>
      <c r="J79" t="inlineStr">
        <is>
          <t>CAT 1</t>
        </is>
      </c>
      <c r="K79" t="inlineStr">
        <is>
          <t>Sim</t>
        </is>
      </c>
    </row>
    <row r="80">
      <c r="A80" s="1">
        <f>HYPERLINK("https://eurofarma-latam-crm.veevavault.com/#object/account__v/V4TZ04ASGMSXNVH", "Claudio Moreira")</f>
        <v/>
      </c>
      <c r="B80" s="1">
        <f>HYPERLINK("https://eurofarma-latam-crm.veevavault.com/#object/account__v/V4TZ04ASGMSXNVH", "Claudio Eduardo Aguiar Moreira")</f>
        <v/>
      </c>
      <c r="C80" t="inlineStr">
        <is>
          <t>MG0106749,RJ1344099</t>
        </is>
      </c>
      <c r="D80" t="inlineStr">
        <is>
          <t>CLG / PA</t>
        </is>
      </c>
      <c r="E80" t="inlineStr">
        <is>
          <t>Rodovia BR-493, S/N</t>
        </is>
      </c>
      <c r="F80" t="inlineStr">
        <is>
          <t>Centro (Manilha)</t>
        </is>
      </c>
      <c r="G80" t="inlineStr">
        <is>
          <t>Itaboraí</t>
        </is>
      </c>
      <c r="H80" t="inlineStr">
        <is>
          <t>RJ</t>
        </is>
      </c>
      <c r="I80" t="n">
        <v>5149</v>
      </c>
      <c r="J80" t="inlineStr">
        <is>
          <t>CAT 5</t>
        </is>
      </c>
      <c r="K80" t="inlineStr">
        <is>
          <t>N�o</t>
        </is>
      </c>
    </row>
    <row r="81">
      <c r="A81" s="1">
        <f>HYPERLINK("https://eurofarma-latam-crm.veevavault.com/#object/account__v/V4TZ000018NY9Z7", "Cleia Dalva Rodrigues")</f>
        <v/>
      </c>
      <c r="B81" s="1">
        <f>HYPERLINK("https://eurofarma-latam-crm.veevavault.com/#object/account__v/V4TZ000018NY9Z7", "Cleia Dalva Pernambuco de Fraga Rodrigues")</f>
        <v/>
      </c>
      <c r="C81" t="inlineStr">
        <is>
          <t>RJ0352895</t>
        </is>
      </c>
      <c r="D81" t="inlineStr">
        <is>
          <t>GAS</t>
        </is>
      </c>
      <c r="E81" t="inlineStr">
        <is>
          <t>Rua Manuel João Gonçalves, 204</t>
        </is>
      </c>
      <c r="F81" t="inlineStr">
        <is>
          <t>Alcântara</t>
        </is>
      </c>
      <c r="G81" t="inlineStr">
        <is>
          <t>São Gonçalo</t>
        </is>
      </c>
      <c r="H81" t="inlineStr">
        <is>
          <t>RJ</t>
        </is>
      </c>
      <c r="I81" t="n">
        <v>5149</v>
      </c>
      <c r="J81" t="inlineStr">
        <is>
          <t>CAT 4</t>
        </is>
      </c>
      <c r="K81" t="inlineStr">
        <is>
          <t>Sim</t>
        </is>
      </c>
    </row>
    <row r="82">
      <c r="A82" s="1">
        <f>HYPERLINK("https://eurofarma-latam-crm.veevavault.com/#object/account__v/V4TZ025E8AYJSDY", "Cléo dos Santos")</f>
        <v/>
      </c>
      <c r="B82" s="1">
        <f>HYPERLINK("https://eurofarma-latam-crm.veevavault.com/#object/account__v/V4TZ025E8AYJSDY", "Cléo Melo dos Santos")</f>
        <v/>
      </c>
      <c r="C82" t="inlineStr">
        <is>
          <t>RJ1324519</t>
        </is>
      </c>
      <c r="D82" t="inlineStr">
        <is>
          <t>CLG / PA</t>
        </is>
      </c>
      <c r="E82" t="inlineStr">
        <is>
          <t>Avenida Bispo Dom João da Mata, S/N</t>
        </is>
      </c>
      <c r="F82" t="inlineStr">
        <is>
          <t>Laranjal</t>
        </is>
      </c>
      <c r="G82" t="inlineStr">
        <is>
          <t>São Gonçalo</t>
        </is>
      </c>
      <c r="H82" t="inlineStr">
        <is>
          <t>RJ</t>
        </is>
      </c>
      <c r="I82" t="n">
        <v>5149</v>
      </c>
      <c r="J82" t="inlineStr">
        <is>
          <t>CAT 5</t>
        </is>
      </c>
      <c r="K82" t="inlineStr">
        <is>
          <t>Sim</t>
        </is>
      </c>
    </row>
    <row r="83">
      <c r="A83" s="1">
        <f>HYPERLINK("https://eurofarma-latam-crm.veevavault.com/#object/account__v/V4T00000000D008", "Cristal da Silveira")</f>
        <v/>
      </c>
      <c r="B83" s="1">
        <f>HYPERLINK("https://eurofarma-latam-crm.veevavault.com/#object/account__v/V4T00000000D008", "Cristal Santos da Silveira")</f>
        <v/>
      </c>
      <c r="C83" t="inlineStr">
        <is>
          <t>RJ1387255</t>
        </is>
      </c>
      <c r="D83" t="inlineStr">
        <is>
          <t>CLG / PA</t>
        </is>
      </c>
      <c r="E83" t="inlineStr">
        <is>
          <t>Rua Osório Costa, S/N</t>
        </is>
      </c>
      <c r="F83" t="inlineStr">
        <is>
          <t>Colubande</t>
        </is>
      </c>
      <c r="G83" t="inlineStr">
        <is>
          <t>São Gonçalo</t>
        </is>
      </c>
      <c r="H83" t="inlineStr">
        <is>
          <t>RJ</t>
        </is>
      </c>
      <c r="I83" t="n">
        <v>5149</v>
      </c>
      <c r="J83" t="inlineStr"/>
      <c r="K83" t="inlineStr"/>
    </row>
    <row r="84">
      <c r="A84" s="1">
        <f>HYPERLINK("https://eurofarma-latam-crm.veevavault.com/#object/account__v/V4TZ00001913XEY", "Dagoberto Dresch")</f>
        <v/>
      </c>
      <c r="B84" s="1">
        <f>HYPERLINK("https://eurofarma-latam-crm.veevavault.com/#object/account__v/V4TZ00001913XEY", "Dagoberto da Cruz Dresch")</f>
        <v/>
      </c>
      <c r="C84" t="inlineStr">
        <is>
          <t>RJ0903060</t>
        </is>
      </c>
      <c r="D84" t="inlineStr">
        <is>
          <t>ORT</t>
        </is>
      </c>
      <c r="E84" t="inlineStr">
        <is>
          <t>Rua Américo Brasiliense, 248</t>
        </is>
      </c>
      <c r="F84" t="inlineStr">
        <is>
          <t>Madureira</t>
        </is>
      </c>
      <c r="G84" t="inlineStr">
        <is>
          <t>Rio de Janeiro</t>
        </is>
      </c>
      <c r="H84" t="inlineStr">
        <is>
          <t>RJ</t>
        </is>
      </c>
      <c r="I84" t="n">
        <v>5149</v>
      </c>
      <c r="J84" t="inlineStr">
        <is>
          <t>CAT 4</t>
        </is>
      </c>
      <c r="K84" t="inlineStr">
        <is>
          <t>Sim</t>
        </is>
      </c>
    </row>
    <row r="85">
      <c r="A85" s="1">
        <f>HYPERLINK("https://eurofarma-latam-crm.veevavault.com/#object/account__v/V4TZ025E85AN3NM", "Daniel Caldas")</f>
        <v/>
      </c>
      <c r="B85" s="1">
        <f>HYPERLINK("https://eurofarma-latam-crm.veevavault.com/#object/account__v/V4TZ025E85AN3NM", "Daniel Erthal Hermano Caldas")</f>
        <v/>
      </c>
      <c r="C85" t="inlineStr">
        <is>
          <t>RJ1159097</t>
        </is>
      </c>
      <c r="D85" t="inlineStr">
        <is>
          <t>CLG / PA</t>
        </is>
      </c>
      <c r="E85" t="inlineStr">
        <is>
          <t>Rua 36, S/N - Quadra 433</t>
        </is>
      </c>
      <c r="F85" t="inlineStr">
        <is>
          <t>Jardim Atlântico Central (Itaipuaçu)</t>
        </is>
      </c>
      <c r="G85" t="inlineStr">
        <is>
          <t>Maricá</t>
        </is>
      </c>
      <c r="H85" t="inlineStr">
        <is>
          <t>RJ</t>
        </is>
      </c>
      <c r="I85" t="n">
        <v>5149</v>
      </c>
      <c r="J85" t="inlineStr">
        <is>
          <t>CAT 4</t>
        </is>
      </c>
      <c r="K85" t="inlineStr">
        <is>
          <t>N�o</t>
        </is>
      </c>
    </row>
    <row r="86">
      <c r="A86" s="1">
        <f>HYPERLINK("https://eurofarma-latam-crm.veevavault.com/#object/account__v/V4TZ0000191310B", "Daniel Kavadi")</f>
        <v/>
      </c>
      <c r="B86" s="1">
        <f>HYPERLINK("https://eurofarma-latam-crm.veevavault.com/#object/account__v/V4TZ0000191310B", "Daniel Araujo Kavadi")</f>
        <v/>
      </c>
      <c r="C86" t="inlineStr">
        <is>
          <t>RJ0734420</t>
        </is>
      </c>
      <c r="D86" t="inlineStr">
        <is>
          <t>CLG</t>
        </is>
      </c>
      <c r="E86" t="inlineStr">
        <is>
          <t>Estrada Prefeito Álvaro de Carvalho Júnior, S/N</t>
        </is>
      </c>
      <c r="F86" t="inlineStr">
        <is>
          <t>Nancilândia</t>
        </is>
      </c>
      <c r="G86" t="inlineStr">
        <is>
          <t>Itaboraí</t>
        </is>
      </c>
      <c r="H86" t="inlineStr">
        <is>
          <t>RJ</t>
        </is>
      </c>
      <c r="I86" t="n">
        <v>5149</v>
      </c>
      <c r="J86" t="inlineStr">
        <is>
          <t>CAT 3</t>
        </is>
      </c>
      <c r="K86" t="inlineStr">
        <is>
          <t>Sim</t>
        </is>
      </c>
    </row>
    <row r="87">
      <c r="A87" s="1">
        <f>HYPERLINK("https://eurofarma-latam-crm.veevavault.com/#object/account__v/V4TZ025E88I1NM2", "Daniel Machado")</f>
        <v/>
      </c>
      <c r="B87" s="1">
        <f>HYPERLINK("https://eurofarma-latam-crm.veevavault.com/#object/account__v/V4TZ025E88I1NM2", "Daniel de Carvalho Machado")</f>
        <v/>
      </c>
      <c r="C87" t="inlineStr">
        <is>
          <t>RJ1197770</t>
        </is>
      </c>
      <c r="D87" t="inlineStr">
        <is>
          <t>CLG / PA</t>
        </is>
      </c>
      <c r="E87" t="inlineStr">
        <is>
          <t>Estrada Almirante Pena Boto, 1923 - Loja 02</t>
        </is>
      </c>
      <c r="F87" t="inlineStr">
        <is>
          <t>Vista Alegre</t>
        </is>
      </c>
      <c r="G87" t="inlineStr">
        <is>
          <t>São Gonçalo</t>
        </is>
      </c>
      <c r="H87" t="inlineStr">
        <is>
          <t>RJ</t>
        </is>
      </c>
      <c r="I87" t="n">
        <v>5149</v>
      </c>
      <c r="J87" t="inlineStr">
        <is>
          <t>CAT 5</t>
        </is>
      </c>
      <c r="K87" t="inlineStr">
        <is>
          <t>Sim</t>
        </is>
      </c>
    </row>
    <row r="88">
      <c r="A88" s="1">
        <f>HYPERLINK("https://eurofarma-latam-crm.veevavault.com/#object/account__v/V4TZ00001915KIT", "Danielle Borges")</f>
        <v/>
      </c>
      <c r="B88" s="1">
        <f>HYPERLINK("https://eurofarma-latam-crm.veevavault.com/#object/account__v/V4TZ00001915KIT", "Danielle Loureiro Laborne Borges")</f>
        <v/>
      </c>
      <c r="C88" t="inlineStr">
        <is>
          <t>RJ0976296</t>
        </is>
      </c>
      <c r="D88" t="inlineStr">
        <is>
          <t>PSQ</t>
        </is>
      </c>
      <c r="E88" t="inlineStr">
        <is>
          <t>Rua Francisco Portela, 2227</t>
        </is>
      </c>
      <c r="F88" t="inlineStr">
        <is>
          <t>Patronato</t>
        </is>
      </c>
      <c r="G88" t="inlineStr">
        <is>
          <t>São Gonçalo</t>
        </is>
      </c>
      <c r="H88" t="inlineStr">
        <is>
          <t>RJ</t>
        </is>
      </c>
      <c r="I88" t="n">
        <v>5149</v>
      </c>
      <c r="J88" t="inlineStr">
        <is>
          <t>CAT 4</t>
        </is>
      </c>
      <c r="K88" t="inlineStr">
        <is>
          <t>N�o</t>
        </is>
      </c>
    </row>
    <row r="89">
      <c r="A89" s="1">
        <f>HYPERLINK("https://eurofarma-latam-crm.veevavault.com/#object/account__v/V4TZ025E83XRWE9", "Danielle Paola de Lucca")</f>
        <v/>
      </c>
      <c r="B89" s="1">
        <f>HYPERLINK("https://eurofarma-latam-crm.veevavault.com/#object/account__v/V4TZ025E83XRWE9", "Danielle Paola Padilha de Lucca")</f>
        <v/>
      </c>
      <c r="C89" t="inlineStr">
        <is>
          <t>RJ1244388</t>
        </is>
      </c>
      <c r="D89" t="inlineStr">
        <is>
          <t>ORT</t>
        </is>
      </c>
      <c r="E89" t="inlineStr">
        <is>
          <t>Rua Desembargador Ferreira Pinto, 721 - Parte</t>
        </is>
      </c>
      <c r="F89" t="inlineStr">
        <is>
          <t>Centro</t>
        </is>
      </c>
      <c r="G89" t="inlineStr">
        <is>
          <t>Itaboraí</t>
        </is>
      </c>
      <c r="H89" t="inlineStr">
        <is>
          <t>RJ</t>
        </is>
      </c>
      <c r="I89" t="n">
        <v>5149</v>
      </c>
      <c r="J89" t="inlineStr">
        <is>
          <t>CAT 5</t>
        </is>
      </c>
      <c r="K89" t="inlineStr">
        <is>
          <t>Sim</t>
        </is>
      </c>
    </row>
    <row r="90">
      <c r="A90" s="1">
        <f>HYPERLINK("https://eurofarma-latam-crm.veevavault.com/#object/account__v/V4TZ025E879L56A", "Davi Batista")</f>
        <v/>
      </c>
      <c r="B90" s="1">
        <f>HYPERLINK("https://eurofarma-latam-crm.veevavault.com/#object/account__v/V4TZ025E879L56A", "Davi Gomes Batista")</f>
        <v/>
      </c>
      <c r="C90" t="inlineStr">
        <is>
          <t>RJ1320068</t>
        </is>
      </c>
      <c r="D90" t="inlineStr">
        <is>
          <t>PED</t>
        </is>
      </c>
      <c r="E90" t="inlineStr">
        <is>
          <t>Rua Teixeira de Freitas, S/N</t>
        </is>
      </c>
      <c r="F90" t="inlineStr">
        <is>
          <t>Fonseca</t>
        </is>
      </c>
      <c r="G90" t="inlineStr">
        <is>
          <t>Niterói</t>
        </is>
      </c>
      <c r="H90" t="inlineStr">
        <is>
          <t>RJ</t>
        </is>
      </c>
      <c r="I90" t="n">
        <v>5149</v>
      </c>
      <c r="J90" t="inlineStr">
        <is>
          <t>CAT 5</t>
        </is>
      </c>
      <c r="K90" t="inlineStr">
        <is>
          <t>Sim</t>
        </is>
      </c>
    </row>
    <row r="91">
      <c r="A91" s="1">
        <f>HYPERLINK("https://eurofarma-latam-crm.veevavault.com/#object/account__v/V4TZ0000191594W", "Demóstenes Moreira")</f>
        <v/>
      </c>
      <c r="B91" s="1">
        <f>HYPERLINK("https://eurofarma-latam-crm.veevavault.com/#object/account__v/V4TZ0000191594W", "Demóstenes Moreira")</f>
        <v/>
      </c>
      <c r="C91" t="inlineStr">
        <is>
          <t>RJ1166646</t>
        </is>
      </c>
      <c r="D91" t="inlineStr">
        <is>
          <t>ORT</t>
        </is>
      </c>
      <c r="E91" t="inlineStr">
        <is>
          <t>Avenida Vinte e Dois de Maio, S/N</t>
        </is>
      </c>
      <c r="F91" t="inlineStr">
        <is>
          <t>Outeiro das Pedras</t>
        </is>
      </c>
      <c r="G91" t="inlineStr">
        <is>
          <t>Itaboraí</t>
        </is>
      </c>
      <c r="H91" t="inlineStr">
        <is>
          <t>RJ</t>
        </is>
      </c>
      <c r="I91" t="n">
        <v>5149</v>
      </c>
      <c r="J91" t="inlineStr">
        <is>
          <t>CAT 3</t>
        </is>
      </c>
      <c r="K91" t="inlineStr">
        <is>
          <t>Sim</t>
        </is>
      </c>
    </row>
    <row r="92">
      <c r="A92" s="1">
        <f>HYPERLINK("https://eurofarma-latam-crm.veevavault.com/#object/account__v/V4TZ00001915O3B", "Denes Silva")</f>
        <v/>
      </c>
      <c r="B92" s="1">
        <f>HYPERLINK("https://eurofarma-latam-crm.veevavault.com/#object/account__v/V4TZ00001915O3B", "Denes Kleyder Moura da Silva")</f>
        <v/>
      </c>
      <c r="C92" t="inlineStr">
        <is>
          <t>RJ0879061</t>
        </is>
      </c>
      <c r="D92" t="inlineStr">
        <is>
          <t>PED</t>
        </is>
      </c>
      <c r="E92" t="inlineStr">
        <is>
          <t>Rua Fábio Lúcio dos Santos, 158 - Barreira</t>
        </is>
      </c>
      <c r="F92" t="inlineStr">
        <is>
          <t>Verde Vale (Bacaxá)</t>
        </is>
      </c>
      <c r="G92" t="inlineStr">
        <is>
          <t>Saquarema</t>
        </is>
      </c>
      <c r="H92" t="inlineStr">
        <is>
          <t>RJ</t>
        </is>
      </c>
      <c r="I92" t="n">
        <v>5149</v>
      </c>
      <c r="J92" t="inlineStr"/>
      <c r="K92" t="inlineStr"/>
    </row>
    <row r="93">
      <c r="A93" s="1">
        <f>HYPERLINK("https://eurofarma-latam-crm.veevavault.com/#object/account__v/V4TZ000018NXHKV", "Diana Lara")</f>
        <v/>
      </c>
      <c r="B93" s="1">
        <f>HYPERLINK("https://eurofarma-latam-crm.veevavault.com/#object/account__v/V4TZ000018NXHKV", "Diana Carolina Pautt Lara")</f>
        <v/>
      </c>
      <c r="C93" t="inlineStr">
        <is>
          <t>RJ1037382</t>
        </is>
      </c>
      <c r="D93" t="inlineStr">
        <is>
          <t>PED</t>
        </is>
      </c>
      <c r="E93" t="inlineStr">
        <is>
          <t>Rua Yolanda Saad Abuzaid, 150 - Salas 515/516</t>
        </is>
      </c>
      <c r="F93" t="inlineStr">
        <is>
          <t>Alcântara</t>
        </is>
      </c>
      <c r="G93" t="inlineStr">
        <is>
          <t>São Gonçalo</t>
        </is>
      </c>
      <c r="H93" t="inlineStr">
        <is>
          <t>RJ</t>
        </is>
      </c>
      <c r="I93" t="n">
        <v>5149</v>
      </c>
      <c r="J93" t="inlineStr">
        <is>
          <t>CAT 5</t>
        </is>
      </c>
      <c r="K93" t="inlineStr">
        <is>
          <t>N�o</t>
        </is>
      </c>
    </row>
    <row r="94">
      <c r="A94" s="1">
        <f>HYPERLINK("https://eurofarma-latam-crm.veevavault.com/#object/account__v/V4TZ000018NY8PX", "Diogo Souza")</f>
        <v/>
      </c>
      <c r="B94" s="1">
        <f>HYPERLINK("https://eurofarma-latam-crm.veevavault.com/#object/account__v/V4TZ000018NY8PX", "Diogo Mariz Esteves de Souza")</f>
        <v/>
      </c>
      <c r="C94" t="inlineStr">
        <is>
          <t>RJ0789917</t>
        </is>
      </c>
      <c r="D94" t="inlineStr">
        <is>
          <t>ORT</t>
        </is>
      </c>
      <c r="E94" t="inlineStr">
        <is>
          <t>Avenida Amaro Cavalcanti, 495</t>
        </is>
      </c>
      <c r="F94" t="inlineStr">
        <is>
          <t>Méier</t>
        </is>
      </c>
      <c r="G94" t="inlineStr">
        <is>
          <t>Rio de Janeiro</t>
        </is>
      </c>
      <c r="H94" t="inlineStr">
        <is>
          <t>RJ</t>
        </is>
      </c>
      <c r="I94" t="n">
        <v>5149</v>
      </c>
      <c r="J94" t="inlineStr">
        <is>
          <t>CAT 1</t>
        </is>
      </c>
      <c r="K94" t="inlineStr">
        <is>
          <t>Sim</t>
        </is>
      </c>
    </row>
    <row r="95">
      <c r="A95" s="1">
        <f>HYPERLINK("https://eurofarma-latam-crm.veevavault.com/#object/account__v/V4TZ025E8DKC4UH", "Edmilson Neto")</f>
        <v/>
      </c>
      <c r="B95" s="1">
        <f>HYPERLINK("https://eurofarma-latam-crm.veevavault.com/#object/account__v/V4TZ025E8DKC4UH", "Edmilson Alves Neto")</f>
        <v/>
      </c>
      <c r="C95" t="inlineStr">
        <is>
          <t>RJ1346415</t>
        </is>
      </c>
      <c r="D95" t="inlineStr">
        <is>
          <t>CLG / PA</t>
        </is>
      </c>
      <c r="E95" t="inlineStr">
        <is>
          <t>Estrada do Pacheco, 1051</t>
        </is>
      </c>
      <c r="F95" t="inlineStr">
        <is>
          <t>Pacheco</t>
        </is>
      </c>
      <c r="G95" t="inlineStr">
        <is>
          <t>São Gonçalo</t>
        </is>
      </c>
      <c r="H95" t="inlineStr">
        <is>
          <t>RJ</t>
        </is>
      </c>
      <c r="I95" t="n">
        <v>5149</v>
      </c>
      <c r="J95" t="inlineStr">
        <is>
          <t>CAT 5</t>
        </is>
      </c>
      <c r="K95" t="inlineStr">
        <is>
          <t>N�o</t>
        </is>
      </c>
    </row>
    <row r="96">
      <c r="A96" s="1">
        <f>HYPERLINK("https://eurofarma-latam-crm.veevavault.com/#object/account__v/V4TZ00001912XFA", "Edson Marinho")</f>
        <v/>
      </c>
      <c r="B96" s="1">
        <f>HYPERLINK("https://eurofarma-latam-crm.veevavault.com/#object/account__v/V4TZ00001912XFA", "Edson de Andrade Marinho")</f>
        <v/>
      </c>
      <c r="C96" t="inlineStr">
        <is>
          <t>RJ0500497</t>
        </is>
      </c>
      <c r="D96" t="inlineStr">
        <is>
          <t>NEU</t>
        </is>
      </c>
      <c r="E96" t="inlineStr">
        <is>
          <t>Avenida Presidente Kennedy, 735 - Sala 527 E 528</t>
        </is>
      </c>
      <c r="F96" t="inlineStr">
        <is>
          <t>Estrela do Norte</t>
        </is>
      </c>
      <c r="G96" t="inlineStr">
        <is>
          <t>São Gonçalo</t>
        </is>
      </c>
      <c r="H96" t="inlineStr">
        <is>
          <t>RJ</t>
        </is>
      </c>
      <c r="I96" t="n">
        <v>5149</v>
      </c>
      <c r="J96" t="inlineStr">
        <is>
          <t>CAT 4</t>
        </is>
      </c>
      <c r="K96" t="inlineStr">
        <is>
          <t>Sim</t>
        </is>
      </c>
    </row>
    <row r="97">
      <c r="A97" s="1">
        <f>HYPERLINK("https://eurofarma-latam-crm.veevavault.com/#object/account__v/V4TZ000018NY5HH", "Eliana Elizabete da Penha")</f>
        <v/>
      </c>
      <c r="B97" s="1">
        <f>HYPERLINK("https://eurofarma-latam-crm.veevavault.com/#object/account__v/V4TZ000018NY5HH", "Eliana Elizabete Duarte da Penha")</f>
        <v/>
      </c>
      <c r="C97" t="inlineStr">
        <is>
          <t>RJ0394988</t>
        </is>
      </c>
      <c r="D97" t="inlineStr">
        <is>
          <t>PED</t>
        </is>
      </c>
      <c r="E97" t="inlineStr">
        <is>
          <t>Rua Doutor Pereira dos Santos, 107 - Sala 307</t>
        </is>
      </c>
      <c r="F97" t="inlineStr">
        <is>
          <t>Centro</t>
        </is>
      </c>
      <c r="G97" t="inlineStr">
        <is>
          <t>Itaboraí</t>
        </is>
      </c>
      <c r="H97" t="inlineStr">
        <is>
          <t>RJ</t>
        </is>
      </c>
      <c r="I97" t="n">
        <v>5149</v>
      </c>
      <c r="J97" t="inlineStr">
        <is>
          <t>CAT 4</t>
        </is>
      </c>
      <c r="K97" t="inlineStr">
        <is>
          <t>Sim</t>
        </is>
      </c>
    </row>
    <row r="98">
      <c r="A98" s="1">
        <f>HYPERLINK("https://eurofarma-latam-crm.veevavault.com/#object/account__v/V4TZ000018NYL3I", "Eliane Moreira")</f>
        <v/>
      </c>
      <c r="B98" s="1">
        <f>HYPERLINK("https://eurofarma-latam-crm.veevavault.com/#object/account__v/V4TZ000018NYL3I", "Eliane Veiga de Oliveira Moreira")</f>
        <v/>
      </c>
      <c r="C98" t="inlineStr">
        <is>
          <t>RJ0445230</t>
        </is>
      </c>
      <c r="D98" t="inlineStr">
        <is>
          <t>CLG / SNC</t>
        </is>
      </c>
      <c r="E98" t="inlineStr">
        <is>
          <t>Avenida Professor João Brasil, S/N</t>
        </is>
      </c>
      <c r="F98" t="inlineStr">
        <is>
          <t>Fonseca</t>
        </is>
      </c>
      <c r="G98" t="inlineStr">
        <is>
          <t>Niterói</t>
        </is>
      </c>
      <c r="H98" t="inlineStr">
        <is>
          <t>RJ</t>
        </is>
      </c>
      <c r="I98" t="n">
        <v>5149</v>
      </c>
      <c r="J98" t="inlineStr">
        <is>
          <t>CAT 2</t>
        </is>
      </c>
      <c r="K98" t="inlineStr">
        <is>
          <t>Sim</t>
        </is>
      </c>
    </row>
    <row r="99">
      <c r="A99" s="1">
        <f>HYPERLINK("https://eurofarma-latam-crm.veevavault.com/#object/account__v/V4TZ00001914I8O", "Elisabeth de Freitas")</f>
        <v/>
      </c>
      <c r="B99" s="1">
        <f>HYPERLINK("https://eurofarma-latam-crm.veevavault.com/#object/account__v/V4TZ00001914I8O", "Elisabeth Viggiano Neves de Freitas")</f>
        <v/>
      </c>
      <c r="C99" t="inlineStr">
        <is>
          <t>RJ0316729</t>
        </is>
      </c>
      <c r="D99" t="inlineStr">
        <is>
          <t>GAS</t>
        </is>
      </c>
      <c r="E99" t="inlineStr">
        <is>
          <t>Estrada Francisco da Cruz Nunes, 6748 - Quadra 32 Lote 09</t>
        </is>
      </c>
      <c r="F99" t="inlineStr">
        <is>
          <t>Piratininga</t>
        </is>
      </c>
      <c r="G99" t="inlineStr">
        <is>
          <t>Niterói</t>
        </is>
      </c>
      <c r="H99" t="inlineStr">
        <is>
          <t>RJ</t>
        </is>
      </c>
      <c r="I99" t="n">
        <v>5149</v>
      </c>
      <c r="J99" t="inlineStr">
        <is>
          <t>CAT 3</t>
        </is>
      </c>
      <c r="K99" t="inlineStr">
        <is>
          <t>Sim</t>
        </is>
      </c>
    </row>
    <row r="100">
      <c r="A100" s="1">
        <f>HYPERLINK("https://eurofarma-latam-crm.veevavault.com/#object/account__v/V4TZ000019162JE", "Elisabeth Salimena")</f>
        <v/>
      </c>
      <c r="B100" s="1">
        <f>HYPERLINK("https://eurofarma-latam-crm.veevavault.com/#object/account__v/V4TZ000019162JE", "Elisabeth Dias Winter Salimena")</f>
        <v/>
      </c>
      <c r="C100" t="inlineStr">
        <is>
          <t>RJ0741388</t>
        </is>
      </c>
      <c r="D100" t="inlineStr">
        <is>
          <t>CLG / END</t>
        </is>
      </c>
      <c r="E100" t="inlineStr">
        <is>
          <t>Travessa Vereador Prudente Aguiar, 97 - Andar 3</t>
        </is>
      </c>
      <c r="F100" t="inlineStr">
        <is>
          <t>Centro</t>
        </is>
      </c>
      <c r="G100" t="inlineStr">
        <is>
          <t>Petrópolis</t>
        </is>
      </c>
      <c r="H100" t="inlineStr">
        <is>
          <t>RJ</t>
        </is>
      </c>
      <c r="I100" t="n">
        <v>5149</v>
      </c>
      <c r="J100" t="inlineStr">
        <is>
          <t>CAT 5</t>
        </is>
      </c>
      <c r="K100" t="inlineStr">
        <is>
          <t>N�o</t>
        </is>
      </c>
    </row>
    <row r="101">
      <c r="A101" s="1">
        <f>HYPERLINK("https://eurofarma-latam-crm.veevavault.com/#object/account__v/V4TZ000018NYN5T", "Elizabeth Carvalho")</f>
        <v/>
      </c>
      <c r="B101" s="1">
        <f>HYPERLINK("https://eurofarma-latam-crm.veevavault.com/#object/account__v/V4TZ000018NYN5T", "Elizabeth Carvalho")</f>
        <v/>
      </c>
      <c r="C101" t="inlineStr">
        <is>
          <t>RJ0348209</t>
        </is>
      </c>
      <c r="D101" t="inlineStr">
        <is>
          <t>GER</t>
        </is>
      </c>
      <c r="E101" t="inlineStr">
        <is>
          <t>Área Rural, S/N - Estrada Rio Friburgo RJ 122</t>
        </is>
      </c>
      <c r="F101" t="inlineStr">
        <is>
          <t>Área Rural de Cachoeiras de Macacu</t>
        </is>
      </c>
      <c r="G101" t="inlineStr">
        <is>
          <t>Cachoeiras de Macacu</t>
        </is>
      </c>
      <c r="H101" t="inlineStr">
        <is>
          <t>RJ</t>
        </is>
      </c>
      <c r="I101" t="n">
        <v>5149</v>
      </c>
      <c r="J101" t="inlineStr">
        <is>
          <t>CAT 3</t>
        </is>
      </c>
      <c r="K101" t="inlineStr">
        <is>
          <t>Sim</t>
        </is>
      </c>
    </row>
    <row r="102">
      <c r="A102" s="1">
        <f>HYPERLINK("https://eurofarma-latam-crm.veevavault.com/#object/account__v/V4TZ00001913BAW", "Elvis Moreira")</f>
        <v/>
      </c>
      <c r="B102" s="1">
        <f>HYPERLINK("https://eurofarma-latam-crm.veevavault.com/#object/account__v/V4TZ00001913BAW", "Elvis Macedo Moreira")</f>
        <v/>
      </c>
      <c r="C102" t="inlineStr">
        <is>
          <t>RJ0724734</t>
        </is>
      </c>
      <c r="D102" t="inlineStr">
        <is>
          <t>NEU</t>
        </is>
      </c>
      <c r="E102" t="inlineStr">
        <is>
          <t>Avenida Presidente Kennedy, 359</t>
        </is>
      </c>
      <c r="F102" t="inlineStr">
        <is>
          <t>Brasilândia</t>
        </is>
      </c>
      <c r="G102" t="inlineStr">
        <is>
          <t>São Gonçalo</t>
        </is>
      </c>
      <c r="H102" t="inlineStr">
        <is>
          <t>RJ</t>
        </is>
      </c>
      <c r="I102" t="n">
        <v>5149</v>
      </c>
      <c r="J102" t="inlineStr">
        <is>
          <t>CAT 4</t>
        </is>
      </c>
      <c r="K102" t="inlineStr">
        <is>
          <t>Sim</t>
        </is>
      </c>
    </row>
    <row r="103">
      <c r="A103" s="1">
        <f>HYPERLINK("https://eurofarma-latam-crm.veevavault.com/#object/account__v/V4TZ00001914KXM", "Emersom Tavares")</f>
        <v/>
      </c>
      <c r="B103" s="1">
        <f>HYPERLINK("https://eurofarma-latam-crm.veevavault.com/#object/account__v/V4TZ00001914KXM", "Emersom Nagib Sessin Tavares")</f>
        <v/>
      </c>
      <c r="C103" t="inlineStr">
        <is>
          <t>RJ1073095</t>
        </is>
      </c>
      <c r="D103" t="inlineStr">
        <is>
          <t>ORT</t>
        </is>
      </c>
      <c r="E103" t="inlineStr">
        <is>
          <t>Avenida das Américas, 500 - Bloco 11 Sala 208</t>
        </is>
      </c>
      <c r="F103" t="inlineStr">
        <is>
          <t>Barra da Tijuca</t>
        </is>
      </c>
      <c r="G103" t="inlineStr">
        <is>
          <t>Rio de Janeiro</t>
        </is>
      </c>
      <c r="H103" t="inlineStr">
        <is>
          <t>RJ</t>
        </is>
      </c>
      <c r="I103" t="n">
        <v>5149</v>
      </c>
      <c r="J103" t="inlineStr">
        <is>
          <t>CAT 3</t>
        </is>
      </c>
      <c r="K103" t="inlineStr">
        <is>
          <t>Sim</t>
        </is>
      </c>
    </row>
    <row r="104">
      <c r="A104" s="1">
        <f>HYPERLINK("https://eurofarma-latam-crm.veevavault.com/#object/account__v/V4TZ025E86HP81P", "Emily Figueiredo")</f>
        <v/>
      </c>
      <c r="B104" s="1">
        <f>HYPERLINK("https://eurofarma-latam-crm.veevavault.com/#object/account__v/V4TZ025E86HP81P", "Emily Nelson Figueiredo")</f>
        <v/>
      </c>
      <c r="C104" t="inlineStr">
        <is>
          <t>RJ1319914</t>
        </is>
      </c>
      <c r="D104" t="inlineStr">
        <is>
          <t>CLG / PA</t>
        </is>
      </c>
      <c r="E104" t="inlineStr">
        <is>
          <t>Rua Sá Barreto, 107</t>
        </is>
      </c>
      <c r="F104" t="inlineStr">
        <is>
          <t>Fonseca</t>
        </is>
      </c>
      <c r="G104" t="inlineStr">
        <is>
          <t>Niterói</t>
        </is>
      </c>
      <c r="H104" t="inlineStr">
        <is>
          <t>RJ</t>
        </is>
      </c>
      <c r="I104" t="n">
        <v>5149</v>
      </c>
      <c r="J104" t="inlineStr">
        <is>
          <t>CAT 4</t>
        </is>
      </c>
      <c r="K104" t="inlineStr">
        <is>
          <t>Sim</t>
        </is>
      </c>
    </row>
    <row r="105">
      <c r="A105" s="1">
        <f>HYPERLINK("https://eurofarma-latam-crm.veevavault.com/#object/account__v/V4TZ000018NYHHC", "Euzebio da Silva Junior")</f>
        <v/>
      </c>
      <c r="B105" s="1">
        <f>HYPERLINK("https://eurofarma-latam-crm.veevavault.com/#object/account__v/V4TZ000018NYHHC", "Euzebio Florentino da Silva Junior")</f>
        <v/>
      </c>
      <c r="C105" t="inlineStr">
        <is>
          <t>RJ0180309</t>
        </is>
      </c>
      <c r="D105" t="inlineStr">
        <is>
          <t>PSQ</t>
        </is>
      </c>
      <c r="E105" t="inlineStr">
        <is>
          <t>Travessa Jorge Soares, 196</t>
        </is>
      </c>
      <c r="F105" t="inlineStr">
        <is>
          <t>Centro</t>
        </is>
      </c>
      <c r="G105" t="inlineStr">
        <is>
          <t>São Gonçalo</t>
        </is>
      </c>
      <c r="H105" t="inlineStr">
        <is>
          <t>RJ</t>
        </is>
      </c>
      <c r="I105" t="n">
        <v>5149</v>
      </c>
      <c r="J105" t="inlineStr">
        <is>
          <t>CAT 2</t>
        </is>
      </c>
      <c r="K105" t="inlineStr">
        <is>
          <t>Sim</t>
        </is>
      </c>
    </row>
    <row r="106">
      <c r="A106" s="1">
        <f>HYPERLINK("https://eurofarma-latam-crm.veevavault.com/#object/account__v/V4TZ000019149SI", "Evandro Portela")</f>
        <v/>
      </c>
      <c r="B106" s="1">
        <f>HYPERLINK("https://eurofarma-latam-crm.veevavault.com/#object/account__v/V4TZ000019149SI", "Evandro Portela")</f>
        <v/>
      </c>
      <c r="C106" t="inlineStr">
        <is>
          <t>RJ0026204</t>
        </is>
      </c>
      <c r="D106" t="inlineStr">
        <is>
          <t>PED</t>
        </is>
      </c>
      <c r="E106" t="inlineStr">
        <is>
          <t>Rua Concórdia, S/N</t>
        </is>
      </c>
      <c r="F106" t="inlineStr">
        <is>
          <t>Alcântara</t>
        </is>
      </c>
      <c r="G106" t="inlineStr">
        <is>
          <t>São Gonçalo</t>
        </is>
      </c>
      <c r="H106" t="inlineStr">
        <is>
          <t>RJ</t>
        </is>
      </c>
      <c r="I106" t="n">
        <v>5149</v>
      </c>
      <c r="J106" t="inlineStr">
        <is>
          <t>CAT 5</t>
        </is>
      </c>
      <c r="K106" t="inlineStr">
        <is>
          <t>N�o</t>
        </is>
      </c>
    </row>
    <row r="107">
      <c r="A107" s="1">
        <f>HYPERLINK("https://eurofarma-latam-crm.veevavault.com/#object/account__v/V4TZ025E8400T1U", "Evellyn Barcelos")</f>
        <v/>
      </c>
      <c r="B107" s="1">
        <f>HYPERLINK("https://eurofarma-latam-crm.veevavault.com/#object/account__v/V4TZ025E8400T1U", "Evellyn Jardim Barcelos")</f>
        <v/>
      </c>
      <c r="C107" t="inlineStr">
        <is>
          <t>RJ1298500</t>
        </is>
      </c>
      <c r="D107" t="inlineStr">
        <is>
          <t>CLG / PA</t>
        </is>
      </c>
      <c r="E107" t="inlineStr">
        <is>
          <t>Rua Desembargador Ferreira Pinto, 721 - Parte</t>
        </is>
      </c>
      <c r="F107" t="inlineStr">
        <is>
          <t>Centro</t>
        </is>
      </c>
      <c r="G107" t="inlineStr">
        <is>
          <t>Itaboraí</t>
        </is>
      </c>
      <c r="H107" t="inlineStr">
        <is>
          <t>RJ</t>
        </is>
      </c>
      <c r="I107" t="n">
        <v>5149</v>
      </c>
      <c r="J107" t="inlineStr">
        <is>
          <t>CAT 5</t>
        </is>
      </c>
      <c r="K107" t="inlineStr">
        <is>
          <t>Sim</t>
        </is>
      </c>
    </row>
    <row r="108">
      <c r="A108" s="1">
        <f>HYPERLINK("https://eurofarma-latam-crm.veevavault.com/#object/account__v/V4TZ000018NYZHL", "Everaldo dos Santos Filho")</f>
        <v/>
      </c>
      <c r="B108" s="1">
        <f>HYPERLINK("https://eurofarma-latam-crm.veevavault.com/#object/account__v/V4TZ000018NYZHL", "Everaldo Vieira dos Santos Filho")</f>
        <v/>
      </c>
      <c r="C108" t="inlineStr">
        <is>
          <t>RJ0476117</t>
        </is>
      </c>
      <c r="D108" t="inlineStr">
        <is>
          <t>CLG / SNC</t>
        </is>
      </c>
      <c r="E108" t="inlineStr">
        <is>
          <t>Travessa Jorge Soares, 196</t>
        </is>
      </c>
      <c r="F108" t="inlineStr">
        <is>
          <t>Centro</t>
        </is>
      </c>
      <c r="G108" t="inlineStr">
        <is>
          <t>São Gonçalo</t>
        </is>
      </c>
      <c r="H108" t="inlineStr">
        <is>
          <t>RJ</t>
        </is>
      </c>
      <c r="I108" t="n">
        <v>5149</v>
      </c>
      <c r="J108" t="inlineStr">
        <is>
          <t>CAT 1</t>
        </is>
      </c>
      <c r="K108" t="inlineStr">
        <is>
          <t>Sim</t>
        </is>
      </c>
    </row>
    <row r="109">
      <c r="A109" s="1">
        <f>HYPERLINK("https://eurofarma-latam-crm.veevavault.com/#object/account__v/V4TZ00001915XBO", "Ewandro Ribeiro")</f>
        <v/>
      </c>
      <c r="B109" s="1">
        <f>HYPERLINK("https://eurofarma-latam-crm.veevavault.com/#object/account__v/V4TZ00001915XBO", "Ewandro Josephson Ribeiro")</f>
        <v/>
      </c>
      <c r="C109" t="inlineStr">
        <is>
          <t>RJ0197296,SP0258458</t>
        </is>
      </c>
      <c r="D109" t="inlineStr">
        <is>
          <t>ORT</t>
        </is>
      </c>
      <c r="E109" t="inlineStr">
        <is>
          <t>Rua Nestor Pinto Alves, 121</t>
        </is>
      </c>
      <c r="F109" t="inlineStr">
        <is>
          <t>Vila Três</t>
        </is>
      </c>
      <c r="G109" t="inlineStr">
        <is>
          <t>São Gonçalo</t>
        </is>
      </c>
      <c r="H109" t="inlineStr">
        <is>
          <t>RJ</t>
        </is>
      </c>
      <c r="I109" t="n">
        <v>5149</v>
      </c>
      <c r="J109" t="inlineStr">
        <is>
          <t>CAT 5</t>
        </is>
      </c>
      <c r="K109" t="inlineStr">
        <is>
          <t>Sim</t>
        </is>
      </c>
    </row>
    <row r="110">
      <c r="A110" s="1">
        <f>HYPERLINK("https://eurofarma-latam-crm.veevavault.com/#object/account__v/V4TZ000018NYW7O", "Fabio Siles")</f>
        <v/>
      </c>
      <c r="B110" s="1">
        <f>HYPERLINK("https://eurofarma-latam-crm.veevavault.com/#object/account__v/V4TZ000018NYW7O", "Fabio Lourenco Siles")</f>
        <v/>
      </c>
      <c r="C110" t="inlineStr">
        <is>
          <t>RJ0664413</t>
        </is>
      </c>
      <c r="D110" t="inlineStr">
        <is>
          <t>CLG</t>
        </is>
      </c>
      <c r="E110" t="inlineStr">
        <is>
          <t>Rua Coronel Bastos, 50 - Praça Macedo Soares</t>
        </is>
      </c>
      <c r="F110" t="inlineStr">
        <is>
          <t>Centro (Japuíba)</t>
        </is>
      </c>
      <c r="G110" t="inlineStr">
        <is>
          <t>Cachoeiras de Macacu</t>
        </is>
      </c>
      <c r="H110" t="inlineStr">
        <is>
          <t>RJ</t>
        </is>
      </c>
      <c r="I110" t="n">
        <v>5149</v>
      </c>
      <c r="J110" t="inlineStr">
        <is>
          <t>CAT 5</t>
        </is>
      </c>
      <c r="K110" t="inlineStr">
        <is>
          <t>Sim</t>
        </is>
      </c>
    </row>
    <row r="111">
      <c r="A111" s="1">
        <f>HYPERLINK("https://eurofarma-latam-crm.veevavault.com/#object/account__v/V4TZ00001913BBU", "Fabiola Siles")</f>
        <v/>
      </c>
      <c r="B111" s="1">
        <f>HYPERLINK("https://eurofarma-latam-crm.veevavault.com/#object/account__v/V4TZ00001913BBU", "Fabiola Lourenço Siles")</f>
        <v/>
      </c>
      <c r="C111" t="inlineStr">
        <is>
          <t>RJ0588440</t>
        </is>
      </c>
      <c r="D111" t="inlineStr">
        <is>
          <t>CLG</t>
        </is>
      </c>
      <c r="E111" t="inlineStr">
        <is>
          <t>Rua Oswaldo Cruz, 54</t>
        </is>
      </c>
      <c r="F111" t="inlineStr">
        <is>
          <t>Centro</t>
        </is>
      </c>
      <c r="G111" t="inlineStr">
        <is>
          <t>Rio Bonito</t>
        </is>
      </c>
      <c r="H111" t="inlineStr">
        <is>
          <t>RJ</t>
        </is>
      </c>
      <c r="I111" t="n">
        <v>5149</v>
      </c>
      <c r="J111" t="inlineStr">
        <is>
          <t>CAT 3</t>
        </is>
      </c>
      <c r="K111" t="inlineStr">
        <is>
          <t>Sim</t>
        </is>
      </c>
    </row>
    <row r="112">
      <c r="A112" s="1">
        <f>HYPERLINK("https://eurofarma-latam-crm.veevavault.com/#object/account__v/V4TZ025E8350LNB", "Fabricia Boff")</f>
        <v/>
      </c>
      <c r="B112" s="1">
        <f>HYPERLINK("https://eurofarma-latam-crm.veevavault.com/#object/account__v/V4TZ025E8350LNB", "Fabricia Garcia da Silva Boff")</f>
        <v/>
      </c>
      <c r="C112" t="inlineStr">
        <is>
          <t>RJ1282131</t>
        </is>
      </c>
      <c r="D112" t="inlineStr">
        <is>
          <t>CLG / PA</t>
        </is>
      </c>
      <c r="E112" t="inlineStr">
        <is>
          <t>Estrada Prefeito Álvaro de Carvalho Júnior, S/N</t>
        </is>
      </c>
      <c r="F112" t="inlineStr">
        <is>
          <t>Nancilândia</t>
        </is>
      </c>
      <c r="G112" t="inlineStr">
        <is>
          <t>Itaboraí</t>
        </is>
      </c>
      <c r="H112" t="inlineStr">
        <is>
          <t>RJ</t>
        </is>
      </c>
      <c r="I112" t="n">
        <v>5149</v>
      </c>
      <c r="J112" t="inlineStr">
        <is>
          <t>CAT 3</t>
        </is>
      </c>
      <c r="K112" t="inlineStr">
        <is>
          <t>Sim</t>
        </is>
      </c>
    </row>
    <row r="113">
      <c r="A113" s="1">
        <f>HYPERLINK("https://eurofarma-latam-crm.veevavault.com/#object/account__v/V4TZ00001914296", "Fabricio Moreira")</f>
        <v/>
      </c>
      <c r="B113" s="1">
        <f>HYPERLINK("https://eurofarma-latam-crm.veevavault.com/#object/account__v/V4TZ00001914296", "Fabricio Buriche dos Santos Moreira")</f>
        <v/>
      </c>
      <c r="C113" t="inlineStr">
        <is>
          <t>RJ1175270</t>
        </is>
      </c>
      <c r="D113" t="inlineStr">
        <is>
          <t>PSQ</t>
        </is>
      </c>
      <c r="E113" t="inlineStr">
        <is>
          <t>Rua João Caetano, 207 - Lote 1182 Bloco 02 Sala 206 e 207</t>
        </is>
      </c>
      <c r="F113" t="inlineStr">
        <is>
          <t>Centro</t>
        </is>
      </c>
      <c r="G113" t="inlineStr">
        <is>
          <t>Itaboraí</t>
        </is>
      </c>
      <c r="H113" t="inlineStr">
        <is>
          <t>RJ</t>
        </is>
      </c>
      <c r="I113" t="n">
        <v>5149</v>
      </c>
      <c r="J113" t="inlineStr">
        <is>
          <t>CAT 3</t>
        </is>
      </c>
      <c r="K113" t="inlineStr">
        <is>
          <t>Sim</t>
        </is>
      </c>
    </row>
    <row r="114">
      <c r="A114" s="1">
        <f>HYPERLINK("https://eurofarma-latam-crm.veevavault.com/#object/account__v/V4TZ000018NYXCA", "Fatima Leão")</f>
        <v/>
      </c>
      <c r="B114" s="1">
        <f>HYPERLINK("https://eurofarma-latam-crm.veevavault.com/#object/account__v/V4TZ000018NYXCA", "Fatima Viguera Nery Leão")</f>
        <v/>
      </c>
      <c r="C114" t="inlineStr">
        <is>
          <t>RJ0628522</t>
        </is>
      </c>
      <c r="D114" t="inlineStr">
        <is>
          <t>CLG / END</t>
        </is>
      </c>
      <c r="E114" t="inlineStr">
        <is>
          <t>Rua Manuel João Gonçalves, 204</t>
        </is>
      </c>
      <c r="F114" t="inlineStr">
        <is>
          <t>Alcântara</t>
        </is>
      </c>
      <c r="G114" t="inlineStr">
        <is>
          <t>São Gonçalo</t>
        </is>
      </c>
      <c r="H114" t="inlineStr">
        <is>
          <t>RJ</t>
        </is>
      </c>
      <c r="I114" t="n">
        <v>5149</v>
      </c>
      <c r="J114" t="inlineStr">
        <is>
          <t>CAT 4</t>
        </is>
      </c>
      <c r="K114" t="inlineStr">
        <is>
          <t>Sim</t>
        </is>
      </c>
    </row>
    <row r="115">
      <c r="A115" s="1">
        <f>HYPERLINK("https://eurofarma-latam-crm.veevavault.com/#object/account__v/V4TZ00001914G31", "Fernanda Prado")</f>
        <v/>
      </c>
      <c r="B115" s="1">
        <f>HYPERLINK("https://eurofarma-latam-crm.veevavault.com/#object/account__v/V4TZ00001914G31", "Fernanda Brito Prado")</f>
        <v/>
      </c>
      <c r="C115" t="inlineStr">
        <is>
          <t>RJ0617268</t>
        </is>
      </c>
      <c r="D115" t="inlineStr">
        <is>
          <t>CRD</t>
        </is>
      </c>
      <c r="E115" t="inlineStr">
        <is>
          <t>Avenida Vinte e Dois de Maio, 5990 - Sala 1020 Bloco 02</t>
        </is>
      </c>
      <c r="F115" t="inlineStr">
        <is>
          <t>Centro</t>
        </is>
      </c>
      <c r="G115" t="inlineStr">
        <is>
          <t>Itaboraí</t>
        </is>
      </c>
      <c r="H115" t="inlineStr">
        <is>
          <t>RJ</t>
        </is>
      </c>
      <c r="I115" t="n">
        <v>5149</v>
      </c>
      <c r="J115" t="inlineStr"/>
      <c r="K115" t="inlineStr"/>
    </row>
    <row r="116">
      <c r="A116" s="1">
        <f>HYPERLINK("https://eurofarma-latam-crm.veevavault.com/#object/account__v/V4TZ000018NXUZZ", "Fernando Lucio Villardo Junior")</f>
        <v/>
      </c>
      <c r="B116" s="1">
        <f>HYPERLINK("https://eurofarma-latam-crm.veevavault.com/#object/account__v/V4TZ000018NXUZZ", "Fernando Lucio Villardo Junior")</f>
        <v/>
      </c>
      <c r="C116" t="inlineStr">
        <is>
          <t>RJ0640727</t>
        </is>
      </c>
      <c r="D116" t="inlineStr">
        <is>
          <t>CLG</t>
        </is>
      </c>
      <c r="E116" t="inlineStr">
        <is>
          <t>Avenida Carlos Marighella, 9062 - Lote 09 Quadra33</t>
        </is>
      </c>
      <c r="F116" t="inlineStr">
        <is>
          <t>Barroco (Itaipuaçu)</t>
        </is>
      </c>
      <c r="G116" t="inlineStr">
        <is>
          <t>Maricá</t>
        </is>
      </c>
      <c r="H116" t="inlineStr">
        <is>
          <t>RJ</t>
        </is>
      </c>
      <c r="I116" t="n">
        <v>5149</v>
      </c>
      <c r="J116" t="inlineStr">
        <is>
          <t>CAT 4</t>
        </is>
      </c>
      <c r="K116" t="inlineStr">
        <is>
          <t>Sim</t>
        </is>
      </c>
    </row>
    <row r="117">
      <c r="A117" s="1">
        <f>HYPERLINK("https://eurofarma-latam-crm.veevavault.com/#object/account__v/V4TZ000018NXTY9", "Fernando Marcio Azevedo")</f>
        <v/>
      </c>
      <c r="B117" s="1">
        <f>HYPERLINK("https://eurofarma-latam-crm.veevavault.com/#object/account__v/V4TZ000018NXTY9", "Fernando Marcio de Abreu Azevedo")</f>
        <v/>
      </c>
      <c r="C117" t="inlineStr">
        <is>
          <t>RJ0611700</t>
        </is>
      </c>
      <c r="D117" t="inlineStr">
        <is>
          <t>NEU</t>
        </is>
      </c>
      <c r="E117" t="inlineStr">
        <is>
          <t>Rua Doutor Alfredo Backer, 191 - Sobreloja</t>
        </is>
      </c>
      <c r="F117" t="inlineStr">
        <is>
          <t>Mutondo</t>
        </is>
      </c>
      <c r="G117" t="inlineStr">
        <is>
          <t>São Gonçalo</t>
        </is>
      </c>
      <c r="H117" t="inlineStr">
        <is>
          <t>RJ</t>
        </is>
      </c>
      <c r="I117" t="n">
        <v>5149</v>
      </c>
      <c r="J117" t="inlineStr">
        <is>
          <t>CAT 5</t>
        </is>
      </c>
      <c r="K117" t="inlineStr">
        <is>
          <t>N�o</t>
        </is>
      </c>
    </row>
    <row r="118">
      <c r="A118" s="1">
        <f>HYPERLINK("https://eurofarma-latam-crm.veevavault.com/#object/account__v/V4TZ000018NXQJ3", "Fernando Marques")</f>
        <v/>
      </c>
      <c r="B118" s="1">
        <f>HYPERLINK("https://eurofarma-latam-crm.veevavault.com/#object/account__v/V4TZ000018NXQJ3", "Fernando da Silva Marques")</f>
        <v/>
      </c>
      <c r="C118" t="inlineStr">
        <is>
          <t>RJ0712213</t>
        </is>
      </c>
      <c r="D118" t="inlineStr">
        <is>
          <t>PED</t>
        </is>
      </c>
      <c r="E118" t="inlineStr">
        <is>
          <t>Rua Terencio De Oliveira, S/N - Lote 33 E 34</t>
        </is>
      </c>
      <c r="F118" t="inlineStr">
        <is>
          <t>Areal</t>
        </is>
      </c>
      <c r="G118" t="inlineStr">
        <is>
          <t>Itaboraí</t>
        </is>
      </c>
      <c r="H118" t="inlineStr">
        <is>
          <t>RJ</t>
        </is>
      </c>
      <c r="I118" t="n">
        <v>5149</v>
      </c>
      <c r="J118" t="inlineStr">
        <is>
          <t>CAT 5</t>
        </is>
      </c>
      <c r="K118" t="inlineStr">
        <is>
          <t>N�o</t>
        </is>
      </c>
    </row>
    <row r="119">
      <c r="A119" s="1">
        <f>HYPERLINK("https://eurofarma-latam-crm.veevavault.com/#object/account__v/V4TZ00001913EFL", "Flavia Costa")</f>
        <v/>
      </c>
      <c r="B119" s="1">
        <f>HYPERLINK("https://eurofarma-latam-crm.veevavault.com/#object/account__v/V4TZ00001913EFL", "Flavia Lilia de Araujo Costa")</f>
        <v/>
      </c>
      <c r="C119" t="inlineStr">
        <is>
          <t>RJ0872946</t>
        </is>
      </c>
      <c r="D119" t="inlineStr">
        <is>
          <t>PED</t>
        </is>
      </c>
      <c r="E119" t="inlineStr">
        <is>
          <t>Rua Adelina Maria da Conceição, 21 - Sala 102</t>
        </is>
      </c>
      <c r="F119" t="inlineStr">
        <is>
          <t>Centro</t>
        </is>
      </c>
      <c r="G119" t="inlineStr">
        <is>
          <t>Itaboraí</t>
        </is>
      </c>
      <c r="H119" t="inlineStr">
        <is>
          <t>RJ</t>
        </is>
      </c>
      <c r="I119" t="n">
        <v>5149</v>
      </c>
      <c r="J119" t="inlineStr">
        <is>
          <t>CAT 5</t>
        </is>
      </c>
      <c r="K119" t="inlineStr">
        <is>
          <t>Sim</t>
        </is>
      </c>
    </row>
    <row r="120">
      <c r="A120" s="1">
        <f>HYPERLINK("https://eurofarma-latam-crm.veevavault.com/#object/account__v/V4TZ00001915455", "Francisco Cesar dos Santos")</f>
        <v/>
      </c>
      <c r="B120" s="1">
        <f>HYPERLINK("https://eurofarma-latam-crm.veevavault.com/#object/account__v/V4TZ00001915455", "Francisco Cesar Aleixo dos Santos")</f>
        <v/>
      </c>
      <c r="C120" t="inlineStr">
        <is>
          <t>RJ0547978</t>
        </is>
      </c>
      <c r="D120" t="inlineStr">
        <is>
          <t>CLG / PA</t>
        </is>
      </c>
      <c r="E120" t="inlineStr">
        <is>
          <t>Rua Clímaco Pereira, 175</t>
        </is>
      </c>
      <c r="F120" t="inlineStr">
        <is>
          <t>Araçatiba</t>
        </is>
      </c>
      <c r="G120" t="inlineStr">
        <is>
          <t>Maricá</t>
        </is>
      </c>
      <c r="H120" t="inlineStr">
        <is>
          <t>RJ</t>
        </is>
      </c>
      <c r="I120" t="n">
        <v>5149</v>
      </c>
      <c r="J120" t="inlineStr">
        <is>
          <t>CAT 5</t>
        </is>
      </c>
      <c r="K120" t="inlineStr">
        <is>
          <t>Sim</t>
        </is>
      </c>
    </row>
    <row r="121">
      <c r="A121" s="1">
        <f>HYPERLINK("https://eurofarma-latam-crm.veevavault.com/#object/account__v/V4TZ00001914BIP", "Francisco Machado")</f>
        <v/>
      </c>
      <c r="B121" s="1">
        <f>HYPERLINK("https://eurofarma-latam-crm.veevavault.com/#object/account__v/V4TZ00001914BIP", "Francisco de Oliveira Machado")</f>
        <v/>
      </c>
      <c r="C121" t="inlineStr">
        <is>
          <t>RJ0259500</t>
        </is>
      </c>
      <c r="D121" t="inlineStr">
        <is>
          <t>PED</t>
        </is>
      </c>
      <c r="E121" t="inlineStr">
        <is>
          <t>Rua Cléa do Valle, S/N - Lt 204</t>
        </is>
      </c>
      <c r="F121" t="inlineStr">
        <is>
          <t>João Caetano (Itambi)</t>
        </is>
      </c>
      <c r="G121" t="inlineStr">
        <is>
          <t>Itaboraí</t>
        </is>
      </c>
      <c r="H121" t="inlineStr">
        <is>
          <t>RJ</t>
        </is>
      </c>
      <c r="I121" t="n">
        <v>5149</v>
      </c>
      <c r="J121" t="inlineStr">
        <is>
          <t>CAT 4</t>
        </is>
      </c>
      <c r="K121" t="inlineStr">
        <is>
          <t>Sim</t>
        </is>
      </c>
    </row>
    <row r="122">
      <c r="A122" s="1">
        <f>HYPERLINK("https://eurofarma-latam-crm.veevavault.com/#object/account__v/V4TZ025E85DXQMY", "Francisco Monaco")</f>
        <v/>
      </c>
      <c r="B122" s="1">
        <f>HYPERLINK("https://eurofarma-latam-crm.veevavault.com/#object/account__v/V4TZ025E85DXQMY", "Francisco Gustavo Willner Monaco")</f>
        <v/>
      </c>
      <c r="C122" t="inlineStr">
        <is>
          <t>RJ0962449</t>
        </is>
      </c>
      <c r="D122" t="inlineStr">
        <is>
          <t>PSQ</t>
        </is>
      </c>
      <c r="E122" t="inlineStr">
        <is>
          <t>Rua Francisco Portela, 2227</t>
        </is>
      </c>
      <c r="F122" t="inlineStr">
        <is>
          <t>Patronato</t>
        </is>
      </c>
      <c r="G122" t="inlineStr">
        <is>
          <t>São Gonçalo</t>
        </is>
      </c>
      <c r="H122" t="inlineStr">
        <is>
          <t>RJ</t>
        </is>
      </c>
      <c r="I122" t="n">
        <v>5149</v>
      </c>
      <c r="J122" t="inlineStr">
        <is>
          <t>CAT 3</t>
        </is>
      </c>
      <c r="K122" t="inlineStr">
        <is>
          <t>Sim</t>
        </is>
      </c>
    </row>
    <row r="123">
      <c r="A123" s="1">
        <f>HYPERLINK("https://eurofarma-latam-crm.veevavault.com/#object/account__v/V4TZ00001915LGS", "Fritz Cardenas")</f>
        <v/>
      </c>
      <c r="B123" s="1">
        <f>HYPERLINK("https://eurofarma-latam-crm.veevavault.com/#object/account__v/V4TZ00001915LGS", "Fritz Alfredo Sanchez Cardenas")</f>
        <v/>
      </c>
      <c r="C123" t="inlineStr">
        <is>
          <t>RJ0534059</t>
        </is>
      </c>
      <c r="D123" t="inlineStr">
        <is>
          <t>CLG</t>
        </is>
      </c>
      <c r="E123" t="inlineStr">
        <is>
          <t>Estrada Covanca da Conceição, S/N</t>
        </is>
      </c>
      <c r="F123" t="inlineStr">
        <is>
          <t>Mutuá</t>
        </is>
      </c>
      <c r="G123" t="inlineStr">
        <is>
          <t>São Gonçalo</t>
        </is>
      </c>
      <c r="H123" t="inlineStr">
        <is>
          <t>RJ</t>
        </is>
      </c>
      <c r="I123" t="n">
        <v>5149</v>
      </c>
      <c r="J123" t="inlineStr">
        <is>
          <t>CAT 5</t>
        </is>
      </c>
      <c r="K123" t="inlineStr">
        <is>
          <t>Sim</t>
        </is>
      </c>
    </row>
    <row r="124">
      <c r="A124" s="1">
        <f>HYPERLINK("https://eurofarma-latam-crm.veevavault.com/#object/account__v/V4TZ00001915260", "Fulvio Antônio Pessoa")</f>
        <v/>
      </c>
      <c r="B124" s="1">
        <f>HYPERLINK("https://eurofarma-latam-crm.veevavault.com/#object/account__v/V4TZ00001915260", "Fulvio Antônio Alves Pessoa")</f>
        <v/>
      </c>
      <c r="C124" t="inlineStr">
        <is>
          <t>RJ0489539</t>
        </is>
      </c>
      <c r="D124" t="inlineStr">
        <is>
          <t>END</t>
        </is>
      </c>
      <c r="E124" t="inlineStr">
        <is>
          <t>Rua Presidente Castelo Branco, 170</t>
        </is>
      </c>
      <c r="F124" t="inlineStr">
        <is>
          <t>Centro</t>
        </is>
      </c>
      <c r="G124" t="inlineStr">
        <is>
          <t>Itaboraí</t>
        </is>
      </c>
      <c r="H124" t="inlineStr">
        <is>
          <t>RJ</t>
        </is>
      </c>
      <c r="I124" t="n">
        <v>5149</v>
      </c>
      <c r="J124" t="inlineStr">
        <is>
          <t>CAT 3</t>
        </is>
      </c>
      <c r="K124" t="inlineStr">
        <is>
          <t>Sim</t>
        </is>
      </c>
    </row>
    <row r="125">
      <c r="A125" s="1">
        <f>HYPERLINK("https://eurofarma-latam-crm.veevavault.com/#object/account__v/V4TZ00001913I2C", "Gabriel Croitoru")</f>
        <v/>
      </c>
      <c r="B125" s="1">
        <f>HYPERLINK("https://eurofarma-latam-crm.veevavault.com/#object/account__v/V4TZ00001913I2C", "Gabriel Moraes Croitoru")</f>
        <v/>
      </c>
      <c r="C125" t="inlineStr">
        <is>
          <t>RJ0968242</t>
        </is>
      </c>
      <c r="D125" t="inlineStr">
        <is>
          <t>ORT</t>
        </is>
      </c>
      <c r="E125" t="inlineStr">
        <is>
          <t>Rua Osório Costa, S/N</t>
        </is>
      </c>
      <c r="F125" t="inlineStr">
        <is>
          <t>Colubande</t>
        </is>
      </c>
      <c r="G125" t="inlineStr">
        <is>
          <t>São Gonçalo</t>
        </is>
      </c>
      <c r="H125" t="inlineStr">
        <is>
          <t>RJ</t>
        </is>
      </c>
      <c r="I125" t="n">
        <v>5149</v>
      </c>
      <c r="J125" t="inlineStr">
        <is>
          <t>CAT 5</t>
        </is>
      </c>
      <c r="K125" t="inlineStr">
        <is>
          <t>Sim</t>
        </is>
      </c>
    </row>
    <row r="126">
      <c r="A126" s="1">
        <f>HYPERLINK("https://eurofarma-latam-crm.veevavault.com/#object/account__v/V4TZ025E85M289H", "Gabriel Glória")</f>
        <v/>
      </c>
      <c r="B126" s="1">
        <f>HYPERLINK("https://eurofarma-latam-crm.veevavault.com/#object/account__v/V4TZ025E85M289H", "Gabriel Magalhães de Souza Glória")</f>
        <v/>
      </c>
      <c r="C126" t="inlineStr">
        <is>
          <t>MG0092794,RJ1277278</t>
        </is>
      </c>
      <c r="D126" t="inlineStr">
        <is>
          <t>PSQ</t>
        </is>
      </c>
      <c r="E126" t="inlineStr">
        <is>
          <t>Estrada do Monteiro, 1200 - Loja 103 D</t>
        </is>
      </c>
      <c r="F126" t="inlineStr">
        <is>
          <t>Campo Grande</t>
        </is>
      </c>
      <c r="G126" t="inlineStr">
        <is>
          <t>Rio de Janeiro</t>
        </is>
      </c>
      <c r="H126" t="inlineStr">
        <is>
          <t>RJ</t>
        </is>
      </c>
      <c r="I126" t="n">
        <v>5149</v>
      </c>
      <c r="J126" t="inlineStr">
        <is>
          <t>CAT 1</t>
        </is>
      </c>
      <c r="K126" t="inlineStr">
        <is>
          <t>Sim</t>
        </is>
      </c>
    </row>
    <row r="127">
      <c r="A127" s="1">
        <f>HYPERLINK("https://eurofarma-latam-crm.veevavault.com/#object/account__v/V4TZ025E8B7V4OV", "Gabriela Fernandes")</f>
        <v/>
      </c>
      <c r="B127" s="1">
        <f>HYPERLINK("https://eurofarma-latam-crm.veevavault.com/#object/account__v/V4TZ025E8B7V4OV", "Gabriela Goldstein Maluhy Fernandes")</f>
        <v/>
      </c>
      <c r="C127" t="inlineStr">
        <is>
          <t>RJ1248499</t>
        </is>
      </c>
      <c r="D127" t="inlineStr">
        <is>
          <t>PSQ</t>
        </is>
      </c>
      <c r="E127" t="inlineStr">
        <is>
          <t>Rua Promotor Ciro Olímpio da Mata, 358</t>
        </is>
      </c>
      <c r="F127" t="inlineStr">
        <is>
          <t>Jardim Imperial</t>
        </is>
      </c>
      <c r="G127" t="inlineStr">
        <is>
          <t>Itaboraí</t>
        </is>
      </c>
      <c r="H127" t="inlineStr">
        <is>
          <t>RJ</t>
        </is>
      </c>
      <c r="I127" t="n">
        <v>5149</v>
      </c>
      <c r="J127" t="inlineStr">
        <is>
          <t>CAT 1</t>
        </is>
      </c>
      <c r="K127" t="inlineStr">
        <is>
          <t>Sim</t>
        </is>
      </c>
    </row>
    <row r="128">
      <c r="A128" s="1">
        <f>HYPERLINK("https://eurofarma-latam-crm.veevavault.com/#object/account__v/V4TZ025E8EUQSL9", "Gabriella Fleury")</f>
        <v/>
      </c>
      <c r="B128" s="1">
        <f>HYPERLINK("https://eurofarma-latam-crm.veevavault.com/#object/account__v/V4TZ025E8EUQSL9", "Gabriella Tolentino Fleury")</f>
        <v/>
      </c>
      <c r="C128" t="inlineStr">
        <is>
          <t>GO0039114,RJ1392641</t>
        </is>
      </c>
      <c r="D128" t="inlineStr">
        <is>
          <t>CLG / PA</t>
        </is>
      </c>
      <c r="E128" t="inlineStr">
        <is>
          <t>Rodovia Amaral Peixoto (RJ-106), S/N - 10.5 Km</t>
        </is>
      </c>
      <c r="F128" t="inlineStr">
        <is>
          <t>Várzea das Moças</t>
        </is>
      </c>
      <c r="G128" t="inlineStr">
        <is>
          <t>São Gonçalo</t>
        </is>
      </c>
      <c r="H128" t="inlineStr">
        <is>
          <t>RJ</t>
        </is>
      </c>
      <c r="I128" t="n">
        <v>5149</v>
      </c>
      <c r="J128" t="inlineStr">
        <is>
          <t>CAT 5</t>
        </is>
      </c>
      <c r="K128" t="inlineStr">
        <is>
          <t>Sim</t>
        </is>
      </c>
    </row>
    <row r="129">
      <c r="A129" s="1">
        <f>HYPERLINK("https://eurofarma-latam-crm.veevavault.com/#object/account__v/V4TZ025E859IEDE", "Gabrielle Costa")</f>
        <v/>
      </c>
      <c r="B129" s="1">
        <f>HYPERLINK("https://eurofarma-latam-crm.veevavault.com/#object/account__v/V4TZ025E859IEDE", "Gabrielle Peres da Costa")</f>
        <v/>
      </c>
      <c r="C129" t="inlineStr">
        <is>
          <t>RJ1305913</t>
        </is>
      </c>
      <c r="D129" t="inlineStr">
        <is>
          <t>CLG / PA</t>
        </is>
      </c>
      <c r="E129" t="inlineStr">
        <is>
          <t>Rua Doutor Mesquita, 339 - Segundo Andar</t>
        </is>
      </c>
      <c r="F129" t="inlineStr">
        <is>
          <t>Centro</t>
        </is>
      </c>
      <c r="G129" t="inlineStr">
        <is>
          <t>Itaboraí</t>
        </is>
      </c>
      <c r="H129" t="inlineStr">
        <is>
          <t>RJ</t>
        </is>
      </c>
      <c r="I129" t="n">
        <v>5149</v>
      </c>
      <c r="J129" t="inlineStr">
        <is>
          <t>CAT 5</t>
        </is>
      </c>
      <c r="K129" t="inlineStr">
        <is>
          <t>N�o</t>
        </is>
      </c>
    </row>
    <row r="130">
      <c r="A130" s="1">
        <f>HYPERLINK("https://eurofarma-latam-crm.veevavault.com/#object/account__v/V4TZ000018NZ0GQ", "Gabriely Silva")</f>
        <v/>
      </c>
      <c r="B130" s="1">
        <f>HYPERLINK("https://eurofarma-latam-crm.veevavault.com/#object/account__v/V4TZ000018NZ0GQ", "Gabriely Viana Silva")</f>
        <v/>
      </c>
      <c r="C130" t="inlineStr">
        <is>
          <t>ES0018578,RJ1208284</t>
        </is>
      </c>
      <c r="D130" t="inlineStr">
        <is>
          <t>CLG / PA</t>
        </is>
      </c>
      <c r="E130" t="inlineStr">
        <is>
          <t>Rua Abdoral Chagas Veira Lote 15 Qd 61, S/N</t>
        </is>
      </c>
      <c r="F130" t="inlineStr">
        <is>
          <t>City Areal</t>
        </is>
      </c>
      <c r="G130" t="inlineStr">
        <is>
          <t>Itaboraí</t>
        </is>
      </c>
      <c r="H130" t="inlineStr">
        <is>
          <t>RJ</t>
        </is>
      </c>
      <c r="I130" t="n">
        <v>5149</v>
      </c>
      <c r="J130" t="inlineStr">
        <is>
          <t>CAT 4</t>
        </is>
      </c>
      <c r="K130" t="inlineStr">
        <is>
          <t>Sim</t>
        </is>
      </c>
    </row>
    <row r="131">
      <c r="A131" s="1">
        <f>HYPERLINK("https://eurofarma-latam-crm.veevavault.com/#object/account__v/V4TZ025E85G2SMZ", "Gustavo Ayres")</f>
        <v/>
      </c>
      <c r="B131" s="1">
        <f>HYPERLINK("https://eurofarma-latam-crm.veevavault.com/#object/account__v/V4TZ025E85G2SMZ", "Gustavo Regonha Ayres")</f>
        <v/>
      </c>
      <c r="C131" t="inlineStr">
        <is>
          <t>RJ1310542</t>
        </is>
      </c>
      <c r="D131" t="inlineStr">
        <is>
          <t>CLG / PA</t>
        </is>
      </c>
      <c r="E131" t="inlineStr">
        <is>
          <t>Estrada Prefeito Álvaro de Carvalho Júnior, S/N</t>
        </is>
      </c>
      <c r="F131" t="inlineStr">
        <is>
          <t>Nancilândia</t>
        </is>
      </c>
      <c r="G131" t="inlineStr">
        <is>
          <t>Itaboraí</t>
        </is>
      </c>
      <c r="H131" t="inlineStr">
        <is>
          <t>RJ</t>
        </is>
      </c>
      <c r="I131" t="n">
        <v>5149</v>
      </c>
      <c r="J131" t="inlineStr">
        <is>
          <t>CAT 4</t>
        </is>
      </c>
      <c r="K131" t="inlineStr">
        <is>
          <t>Sim</t>
        </is>
      </c>
    </row>
    <row r="132">
      <c r="A132" s="1">
        <f>HYPERLINK("https://eurofarma-latam-crm.veevavault.com/#object/account__v/V4TZ000018NXL6W", "Gustavo de Castro")</f>
        <v/>
      </c>
      <c r="B132" s="1">
        <f>HYPERLINK("https://eurofarma-latam-crm.veevavault.com/#object/account__v/V4TZ000018NXL6W", "Gustavo Guimarães Moreira de Castro")</f>
        <v/>
      </c>
      <c r="C132" t="inlineStr">
        <is>
          <t>RJ0618865</t>
        </is>
      </c>
      <c r="D132" t="inlineStr">
        <is>
          <t>GER</t>
        </is>
      </c>
      <c r="E132" t="inlineStr">
        <is>
          <t>Rua Coronel Serrado, 1000 - Salas 1110</t>
        </is>
      </c>
      <c r="F132" t="inlineStr">
        <is>
          <t>Zé Garoto</t>
        </is>
      </c>
      <c r="G132" t="inlineStr">
        <is>
          <t>São Gonçalo</t>
        </is>
      </c>
      <c r="H132" t="inlineStr">
        <is>
          <t>RJ</t>
        </is>
      </c>
      <c r="I132" t="n">
        <v>5149</v>
      </c>
      <c r="J132" t="inlineStr">
        <is>
          <t>CAT 2</t>
        </is>
      </c>
      <c r="K132" t="inlineStr">
        <is>
          <t>Sim</t>
        </is>
      </c>
    </row>
    <row r="133">
      <c r="A133" s="1">
        <f>HYPERLINK("https://eurofarma-latam-crm.veevavault.com/#object/account__v/V4TZ000018NYZCA", "Gustavo Luiz e Silva")</f>
        <v/>
      </c>
      <c r="B133" s="1">
        <f>HYPERLINK("https://eurofarma-latam-crm.veevavault.com/#object/account__v/V4TZ000018NYZCA", "Gustavo Luiz dos Santos e Silva")</f>
        <v/>
      </c>
      <c r="C133" t="inlineStr">
        <is>
          <t>RJ0872962</t>
        </is>
      </c>
      <c r="D133" t="inlineStr">
        <is>
          <t>END</t>
        </is>
      </c>
      <c r="E133" t="inlineStr">
        <is>
          <t>Rua Sílvio Romero, 50 - Loja 4</t>
        </is>
      </c>
      <c r="F133" t="inlineStr">
        <is>
          <t>Alcântara</t>
        </is>
      </c>
      <c r="G133" t="inlineStr">
        <is>
          <t>São Gonçalo</t>
        </is>
      </c>
      <c r="H133" t="inlineStr">
        <is>
          <t>RJ</t>
        </is>
      </c>
      <c r="I133" t="n">
        <v>5149</v>
      </c>
      <c r="J133" t="inlineStr">
        <is>
          <t>CAT 3</t>
        </is>
      </c>
      <c r="K133" t="inlineStr">
        <is>
          <t>Sim</t>
        </is>
      </c>
    </row>
    <row r="134">
      <c r="A134" s="1">
        <f>HYPERLINK("https://eurofarma-latam-crm.veevavault.com/#object/account__v/V4TZ025E8F1536P", "Hans Cotrim")</f>
        <v/>
      </c>
      <c r="B134" s="1">
        <f>HYPERLINK("https://eurofarma-latam-crm.veevavault.com/#object/account__v/V4TZ025E8F1536P", "Hans Bossan Cotrim")</f>
        <v/>
      </c>
      <c r="C134" t="inlineStr">
        <is>
          <t>RJ1373388</t>
        </is>
      </c>
      <c r="D134" t="inlineStr">
        <is>
          <t>CLG / PA</t>
        </is>
      </c>
      <c r="E134" t="inlineStr">
        <is>
          <t>Est De Itaoca, S/N</t>
        </is>
      </c>
      <c r="F134" t="inlineStr">
        <is>
          <t>Zé Garoto</t>
        </is>
      </c>
      <c r="G134" t="inlineStr">
        <is>
          <t>São Gonçalo</t>
        </is>
      </c>
      <c r="H134" t="inlineStr">
        <is>
          <t>RJ</t>
        </is>
      </c>
      <c r="I134" t="n">
        <v>5149</v>
      </c>
      <c r="J134" t="inlineStr">
        <is>
          <t>CAT 5</t>
        </is>
      </c>
      <c r="K134" t="inlineStr">
        <is>
          <t>Sim</t>
        </is>
      </c>
    </row>
    <row r="135">
      <c r="A135" s="1">
        <f>HYPERLINK("https://eurofarma-latam-crm.veevavault.com/#object/account__v/V4TZ00001915QZV", "Heberson Boff")</f>
        <v/>
      </c>
      <c r="B135" s="1">
        <f>HYPERLINK("https://eurofarma-latam-crm.veevavault.com/#object/account__v/V4TZ00001915QZV", "Heberson Frances Garcia Boff")</f>
        <v/>
      </c>
      <c r="C135" t="inlineStr">
        <is>
          <t>RJ1231391</t>
        </is>
      </c>
      <c r="D135" t="inlineStr">
        <is>
          <t>CLG / PA</t>
        </is>
      </c>
      <c r="E135" t="inlineStr">
        <is>
          <t>Estrada Prefeito Álvaro de Carvalho Júnior, S/N</t>
        </is>
      </c>
      <c r="F135" t="inlineStr">
        <is>
          <t>Nancilândia</t>
        </is>
      </c>
      <c r="G135" t="inlineStr">
        <is>
          <t>Itaboraí</t>
        </is>
      </c>
      <c r="H135" t="inlineStr">
        <is>
          <t>RJ</t>
        </is>
      </c>
      <c r="I135" t="n">
        <v>5149</v>
      </c>
      <c r="J135" t="inlineStr">
        <is>
          <t>CAT 3</t>
        </is>
      </c>
      <c r="K135" t="inlineStr">
        <is>
          <t>Sim</t>
        </is>
      </c>
    </row>
    <row r="136">
      <c r="A136" s="1">
        <f>HYPERLINK("https://eurofarma-latam-crm.veevavault.com/#object/account__v/V4TZ025E8A8Z5N2", "Heitor Carvalho")</f>
        <v/>
      </c>
      <c r="B136" s="1">
        <f>HYPERLINK("https://eurofarma-latam-crm.veevavault.com/#object/account__v/V4TZ025E8A8Z5N2", "Heitor Teixeira Alves Carvalho")</f>
        <v/>
      </c>
      <c r="C136" t="inlineStr">
        <is>
          <t>RJ1261860</t>
        </is>
      </c>
      <c r="D136" t="inlineStr">
        <is>
          <t>CLG / PA</t>
        </is>
      </c>
      <c r="E136" t="inlineStr">
        <is>
          <t>Rua Osório Costa, S/N</t>
        </is>
      </c>
      <c r="F136" t="inlineStr">
        <is>
          <t>Colubande</t>
        </is>
      </c>
      <c r="G136" t="inlineStr">
        <is>
          <t>São Gonçalo</t>
        </is>
      </c>
      <c r="H136" t="inlineStr">
        <is>
          <t>RJ</t>
        </is>
      </c>
      <c r="I136" t="n">
        <v>5149</v>
      </c>
      <c r="J136" t="inlineStr"/>
      <c r="K136" t="inlineStr"/>
    </row>
    <row r="137">
      <c r="A137" s="1">
        <f>HYPERLINK("https://eurofarma-latam-crm.veevavault.com/#object/account__v/V4TZ00001914LTF", "Helio Amorim")</f>
        <v/>
      </c>
      <c r="B137" s="1">
        <f>HYPERLINK("https://eurofarma-latam-crm.veevavault.com/#object/account__v/V4TZ00001914LTF", "Helio Araujo Amorim")</f>
        <v/>
      </c>
      <c r="C137" t="inlineStr">
        <is>
          <t>RJ0725323</t>
        </is>
      </c>
      <c r="D137" t="inlineStr"/>
      <c r="E137" t="inlineStr">
        <is>
          <t>Rua Manuel João Gonçalves, 204</t>
        </is>
      </c>
      <c r="F137" t="inlineStr">
        <is>
          <t>Alcântara</t>
        </is>
      </c>
      <c r="G137" t="inlineStr">
        <is>
          <t>São Gonçalo</t>
        </is>
      </c>
      <c r="H137" t="inlineStr">
        <is>
          <t>RJ</t>
        </is>
      </c>
      <c r="I137" t="n">
        <v>5149</v>
      </c>
      <c r="J137" t="inlineStr"/>
      <c r="K137" t="inlineStr"/>
    </row>
    <row r="138">
      <c r="A138" s="1">
        <f>HYPERLINK("https://eurofarma-latam-crm.veevavault.com/#object/account__v/V4TZ025E85XUURZ", "Helio Barbosa")</f>
        <v/>
      </c>
      <c r="B138" s="1">
        <f>HYPERLINK("https://eurofarma-latam-crm.veevavault.com/#object/account__v/V4TZ025E85XUURZ", "Helio Dehon Teixeira Barbosa")</f>
        <v/>
      </c>
      <c r="C138" t="inlineStr">
        <is>
          <t>RJ0639796</t>
        </is>
      </c>
      <c r="D138" t="inlineStr">
        <is>
          <t>ORT</t>
        </is>
      </c>
      <c r="E138" t="inlineStr">
        <is>
          <t>Estrada Prefeito Álvaro de Carvalho Júnior, S/N</t>
        </is>
      </c>
      <c r="F138" t="inlineStr">
        <is>
          <t>Nancilândia</t>
        </is>
      </c>
      <c r="G138" t="inlineStr">
        <is>
          <t>Itaboraí</t>
        </is>
      </c>
      <c r="H138" t="inlineStr">
        <is>
          <t>RJ</t>
        </is>
      </c>
      <c r="I138" t="n">
        <v>5149</v>
      </c>
      <c r="J138" t="inlineStr">
        <is>
          <t>CAT 5</t>
        </is>
      </c>
      <c r="K138" t="inlineStr">
        <is>
          <t>N�o</t>
        </is>
      </c>
    </row>
    <row r="139">
      <c r="A139" s="1">
        <f>HYPERLINK("https://eurofarma-latam-crm.veevavault.com/#object/account__v/V4TZ00001914XS1", "Henrique Lambert")</f>
        <v/>
      </c>
      <c r="B139" s="1">
        <f>HYPERLINK("https://eurofarma-latam-crm.veevavault.com/#object/account__v/V4TZ00001914XS1", "Henrique Lambert")</f>
        <v/>
      </c>
      <c r="C139" t="inlineStr">
        <is>
          <t>RJ0557557</t>
        </is>
      </c>
      <c r="D139" t="inlineStr">
        <is>
          <t>CLG</t>
        </is>
      </c>
      <c r="E139" t="inlineStr">
        <is>
          <t>Rua Afonso Cavalcanti, 455 - 8 Andar</t>
        </is>
      </c>
      <c r="F139" t="inlineStr">
        <is>
          <t>Cidade Nova</t>
        </is>
      </c>
      <c r="G139" t="inlineStr">
        <is>
          <t>Rio de Janeiro</t>
        </is>
      </c>
      <c r="H139" t="inlineStr">
        <is>
          <t>RJ</t>
        </is>
      </c>
      <c r="I139" t="n">
        <v>5149</v>
      </c>
      <c r="J139" t="inlineStr">
        <is>
          <t>CAT 1</t>
        </is>
      </c>
      <c r="K139" t="inlineStr">
        <is>
          <t>Sim</t>
        </is>
      </c>
    </row>
    <row r="140">
      <c r="A140" s="1">
        <f>HYPERLINK("https://eurofarma-latam-crm.veevavault.com/#object/account__v/V4TZ00001913W8N", "Humberto César Tinoco")</f>
        <v/>
      </c>
      <c r="B140" s="1">
        <f>HYPERLINK("https://eurofarma-latam-crm.veevavault.com/#object/account__v/V4TZ00001913W8N", "Humberto César Tinoco")</f>
        <v/>
      </c>
      <c r="C140" t="inlineStr">
        <is>
          <t>RJ0684864</t>
        </is>
      </c>
      <c r="D140" t="inlineStr">
        <is>
          <t>CLG / SNC</t>
        </is>
      </c>
      <c r="E140" t="inlineStr">
        <is>
          <t>Avenida Luiz Fernando de Oliveira Nanci, S/N - Lote 3 Quadra 10</t>
        </is>
      </c>
      <c r="F140" t="inlineStr">
        <is>
          <t>Nancilândia</t>
        </is>
      </c>
      <c r="G140" t="inlineStr">
        <is>
          <t>Itaboraí</t>
        </is>
      </c>
      <c r="H140" t="inlineStr">
        <is>
          <t>RJ</t>
        </is>
      </c>
      <c r="I140" t="n">
        <v>5149</v>
      </c>
      <c r="J140" t="inlineStr">
        <is>
          <t>CAT 2</t>
        </is>
      </c>
      <c r="K140" t="inlineStr">
        <is>
          <t>Sim</t>
        </is>
      </c>
    </row>
    <row r="141">
      <c r="A141" s="1">
        <f>HYPERLINK("https://eurofarma-latam-crm.veevavault.com/#object/account__v/V4TZ00001914S1Z", "Isaac Aveiro")</f>
        <v/>
      </c>
      <c r="B141" s="1">
        <f>HYPERLINK("https://eurofarma-latam-crm.veevavault.com/#object/account__v/V4TZ00001914S1Z", "Isaac Hees de Aveiro")</f>
        <v/>
      </c>
      <c r="C141" t="inlineStr">
        <is>
          <t>RJ0519172</t>
        </is>
      </c>
      <c r="D141" t="inlineStr">
        <is>
          <t>CLG / SNC</t>
        </is>
      </c>
      <c r="E141" t="inlineStr">
        <is>
          <t>Estrada dos Menezes, 850 - Salas 1502 A 1507</t>
        </is>
      </c>
      <c r="F141" t="inlineStr">
        <is>
          <t>Alcântara</t>
        </is>
      </c>
      <c r="G141" t="inlineStr">
        <is>
          <t>São Gonçalo</t>
        </is>
      </c>
      <c r="H141" t="inlineStr">
        <is>
          <t>RJ</t>
        </is>
      </c>
      <c r="I141" t="n">
        <v>5149</v>
      </c>
      <c r="J141" t="inlineStr">
        <is>
          <t>CAT 2</t>
        </is>
      </c>
      <c r="K141" t="inlineStr">
        <is>
          <t>Sim</t>
        </is>
      </c>
    </row>
    <row r="142">
      <c r="A142" s="1">
        <f>HYPERLINK("https://eurofarma-latam-crm.veevavault.com/#object/account__v/V4TZ000018NYB44", "Isaac de Aveiro Júnior")</f>
        <v/>
      </c>
      <c r="B142" s="1">
        <f>HYPERLINK("https://eurofarma-latam-crm.veevavault.com/#object/account__v/V4TZ000018NYB44", "Isaac Hees de Aveiro Júnior")</f>
        <v/>
      </c>
      <c r="C142" t="inlineStr">
        <is>
          <t>RJ1119532</t>
        </is>
      </c>
      <c r="D142" t="inlineStr">
        <is>
          <t>CLG / SNC</t>
        </is>
      </c>
      <c r="E142" t="inlineStr">
        <is>
          <t>Estrada dos Menezes, 850 - Salas 1502 A 1507</t>
        </is>
      </c>
      <c r="F142" t="inlineStr">
        <is>
          <t>Alcântara</t>
        </is>
      </c>
      <c r="G142" t="inlineStr">
        <is>
          <t>São Gonçalo</t>
        </is>
      </c>
      <c r="H142" t="inlineStr">
        <is>
          <t>RJ</t>
        </is>
      </c>
      <c r="I142" t="n">
        <v>5149</v>
      </c>
      <c r="J142" t="inlineStr">
        <is>
          <t>CAT 5</t>
        </is>
      </c>
      <c r="K142" t="inlineStr">
        <is>
          <t>Sim</t>
        </is>
      </c>
    </row>
    <row r="143">
      <c r="A143" s="1">
        <f>HYPERLINK("https://eurofarma-latam-crm.veevavault.com/#object/account__v/V4TZ00001914Q37", "Isabella Coutinho")</f>
        <v/>
      </c>
      <c r="B143" s="1">
        <f>HYPERLINK("https://eurofarma-latam-crm.veevavault.com/#object/account__v/V4TZ00001914Q37", "Isabella Braga Ribeiro Coutinho")</f>
        <v/>
      </c>
      <c r="C143" t="inlineStr">
        <is>
          <t>RJ0933066</t>
        </is>
      </c>
      <c r="D143" t="inlineStr">
        <is>
          <t>NEU</t>
        </is>
      </c>
      <c r="E143" t="inlineStr">
        <is>
          <t>Rua Visconde de Sepetiba, 935 - Sala 523</t>
        </is>
      </c>
      <c r="F143" t="inlineStr">
        <is>
          <t>Centro</t>
        </is>
      </c>
      <c r="G143" t="inlineStr">
        <is>
          <t>Niterói</t>
        </is>
      </c>
      <c r="H143" t="inlineStr">
        <is>
          <t>RJ</t>
        </is>
      </c>
      <c r="I143" t="n">
        <v>5149</v>
      </c>
      <c r="J143" t="inlineStr">
        <is>
          <t>CAT 1</t>
        </is>
      </c>
      <c r="K143" t="inlineStr">
        <is>
          <t>Sim</t>
        </is>
      </c>
    </row>
    <row r="144">
      <c r="A144" s="1">
        <f>HYPERLINK("https://eurofarma-latam-crm.veevavault.com/#object/account__v/V4TZ025E880V73T", "Isabelle Bastos")</f>
        <v/>
      </c>
      <c r="B144" s="1">
        <f>HYPERLINK("https://eurofarma-latam-crm.veevavault.com/#object/account__v/V4TZ025E880V73T", "Isabelle Cristina de Mattos Bastos")</f>
        <v/>
      </c>
      <c r="C144" t="inlineStr">
        <is>
          <t>RJ1322745</t>
        </is>
      </c>
      <c r="D144" t="inlineStr">
        <is>
          <t>CLG / PA</t>
        </is>
      </c>
      <c r="E144" t="inlineStr">
        <is>
          <t>Rua Sá Barreto, 107</t>
        </is>
      </c>
      <c r="F144" t="inlineStr">
        <is>
          <t>Fonseca</t>
        </is>
      </c>
      <c r="G144" t="inlineStr">
        <is>
          <t>Niterói</t>
        </is>
      </c>
      <c r="H144" t="inlineStr">
        <is>
          <t>RJ</t>
        </is>
      </c>
      <c r="I144" t="n">
        <v>5149</v>
      </c>
      <c r="J144" t="inlineStr">
        <is>
          <t>CAT 5</t>
        </is>
      </c>
      <c r="K144" t="inlineStr">
        <is>
          <t>Sim</t>
        </is>
      </c>
    </row>
    <row r="145">
      <c r="A145" s="1">
        <f>HYPERLINK("https://eurofarma-latam-crm.veevavault.com/#object/account__v/V4TZ00001916C8J", "Isabelle Mangelli")</f>
        <v/>
      </c>
      <c r="B145" s="1">
        <f>HYPERLINK("https://eurofarma-latam-crm.veevavault.com/#object/account__v/V4TZ00001916C8J", "Isabelle Tito Mangelli")</f>
        <v/>
      </c>
      <c r="C145" t="inlineStr">
        <is>
          <t>RJ1103750</t>
        </is>
      </c>
      <c r="D145" t="inlineStr">
        <is>
          <t>CLG / PA</t>
        </is>
      </c>
      <c r="E145" t="inlineStr">
        <is>
          <t>Avenida Presidente Kennedy, 207</t>
        </is>
      </c>
      <c r="F145" t="inlineStr">
        <is>
          <t>Brasilândia</t>
        </is>
      </c>
      <c r="G145" t="inlineStr">
        <is>
          <t>São Gonçalo</t>
        </is>
      </c>
      <c r="H145" t="inlineStr">
        <is>
          <t>RJ</t>
        </is>
      </c>
      <c r="I145" t="n">
        <v>5149</v>
      </c>
      <c r="J145" t="inlineStr">
        <is>
          <t>CAT 5</t>
        </is>
      </c>
      <c r="K145" t="inlineStr">
        <is>
          <t>Sim</t>
        </is>
      </c>
    </row>
    <row r="146">
      <c r="A146" s="1">
        <f>HYPERLINK("https://eurofarma-latam-crm.veevavault.com/#object/account__v/V4TZ000018NYYED", "Isac Lacerda")</f>
        <v/>
      </c>
      <c r="B146" s="1">
        <f>HYPERLINK("https://eurofarma-latam-crm.veevavault.com/#object/account__v/V4TZ000018NYYED", "Isac Borges Lacerda")</f>
        <v/>
      </c>
      <c r="C146" t="inlineStr">
        <is>
          <t>RJ1014668</t>
        </is>
      </c>
      <c r="D146" t="inlineStr">
        <is>
          <t>ORT</t>
        </is>
      </c>
      <c r="E146" t="inlineStr">
        <is>
          <t>Rua Gavião Peixoto, 340</t>
        </is>
      </c>
      <c r="F146" t="inlineStr">
        <is>
          <t>Icaraí</t>
        </is>
      </c>
      <c r="G146" t="inlineStr">
        <is>
          <t>Niterói</t>
        </is>
      </c>
      <c r="H146" t="inlineStr">
        <is>
          <t>RJ</t>
        </is>
      </c>
      <c r="I146" t="n">
        <v>5149</v>
      </c>
      <c r="J146" t="inlineStr">
        <is>
          <t>CAT 4</t>
        </is>
      </c>
      <c r="K146" t="inlineStr">
        <is>
          <t>Sim</t>
        </is>
      </c>
    </row>
    <row r="147">
      <c r="A147" s="1">
        <f>HYPERLINK("https://eurofarma-latam-crm.veevavault.com/#object/account__v/V4TZ025E8D6MB55", "Isadora Telles")</f>
        <v/>
      </c>
      <c r="B147" s="1">
        <f>HYPERLINK("https://eurofarma-latam-crm.veevavault.com/#object/account__v/V4TZ025E8D6MB55", "Isadora Rosa Telles")</f>
        <v/>
      </c>
      <c r="C147" t="inlineStr">
        <is>
          <t>MG0106744</t>
        </is>
      </c>
      <c r="D147" t="inlineStr">
        <is>
          <t>CLG / PA</t>
        </is>
      </c>
      <c r="E147" t="inlineStr">
        <is>
          <t>Estrada Prefeito Álvaro de Carvalho Júnior, S/N</t>
        </is>
      </c>
      <c r="F147" t="inlineStr">
        <is>
          <t>Nancilândia</t>
        </is>
      </c>
      <c r="G147" t="inlineStr">
        <is>
          <t>Itaboraí</t>
        </is>
      </c>
      <c r="H147" t="inlineStr">
        <is>
          <t>RJ</t>
        </is>
      </c>
      <c r="I147" t="n">
        <v>5149</v>
      </c>
      <c r="J147" t="inlineStr">
        <is>
          <t>CAT 3</t>
        </is>
      </c>
      <c r="K147" t="inlineStr">
        <is>
          <t>Sim</t>
        </is>
      </c>
    </row>
    <row r="148">
      <c r="A148" s="1">
        <f>HYPERLINK("https://eurofarma-latam-crm.veevavault.com/#object/account__v/V4TZ00001915DS3", "Isaias Francisco da Silva")</f>
        <v/>
      </c>
      <c r="B148" s="1">
        <f>HYPERLINK("https://eurofarma-latam-crm.veevavault.com/#object/account__v/V4TZ00001915DS3", "Isaias Francisco Ferreira da Silva")</f>
        <v/>
      </c>
      <c r="C148" t="inlineStr">
        <is>
          <t>RJ0329873</t>
        </is>
      </c>
      <c r="D148" t="inlineStr">
        <is>
          <t>NEU</t>
        </is>
      </c>
      <c r="E148" t="inlineStr">
        <is>
          <t>Rua Comandante Ary Parreiras, 327 - Casa</t>
        </is>
      </c>
      <c r="F148" t="inlineStr">
        <is>
          <t>Venda das Pedras</t>
        </is>
      </c>
      <c r="G148" t="inlineStr">
        <is>
          <t>Itaboraí</t>
        </is>
      </c>
      <c r="H148" t="inlineStr">
        <is>
          <t>RJ</t>
        </is>
      </c>
      <c r="I148" t="n">
        <v>5149</v>
      </c>
      <c r="J148" t="inlineStr">
        <is>
          <t>CAT 2</t>
        </is>
      </c>
      <c r="K148" t="inlineStr">
        <is>
          <t>Sim</t>
        </is>
      </c>
    </row>
    <row r="149">
      <c r="A149" s="1">
        <f>HYPERLINK("https://eurofarma-latam-crm.veevavault.com/#object/account__v/V4TZ000019134GY", "Ivana do Carmo")</f>
        <v/>
      </c>
      <c r="B149" s="1">
        <f>HYPERLINK("https://eurofarma-latam-crm.veevavault.com/#object/account__v/V4TZ000019134GY", "Ivana Moraes do Carmo")</f>
        <v/>
      </c>
      <c r="C149" t="inlineStr">
        <is>
          <t>RJ0942243,SP0081412</t>
        </is>
      </c>
      <c r="D149" t="inlineStr">
        <is>
          <t>PED</t>
        </is>
      </c>
      <c r="E149" t="inlineStr">
        <is>
          <t>Rodovia BR-493, S/N</t>
        </is>
      </c>
      <c r="F149" t="inlineStr">
        <is>
          <t>Centro (Manilha)</t>
        </is>
      </c>
      <c r="G149" t="inlineStr">
        <is>
          <t>Itaboraí</t>
        </is>
      </c>
      <c r="H149" t="inlineStr">
        <is>
          <t>RJ</t>
        </is>
      </c>
      <c r="I149" t="n">
        <v>5149</v>
      </c>
      <c r="J149" t="inlineStr">
        <is>
          <t>CAT 5</t>
        </is>
      </c>
      <c r="K149" t="inlineStr">
        <is>
          <t>N�o</t>
        </is>
      </c>
    </row>
    <row r="150">
      <c r="A150" s="1">
        <f>HYPERLINK("https://eurofarma-latam-crm.veevavault.com/#object/account__v/V4TZ000018NYPMY", "Jadir Gonzaga")</f>
        <v/>
      </c>
      <c r="B150" s="1">
        <f>HYPERLINK("https://eurofarma-latam-crm.veevavault.com/#object/account__v/V4TZ000018NYPMY", "Jadir da Silva Gonzaga")</f>
        <v/>
      </c>
      <c r="C150" t="inlineStr">
        <is>
          <t>RJ0535892</t>
        </is>
      </c>
      <c r="D150" t="inlineStr">
        <is>
          <t>PED</t>
        </is>
      </c>
      <c r="E150" t="inlineStr">
        <is>
          <t>Rua Baster Pillar, S/N</t>
        </is>
      </c>
      <c r="F150" t="inlineStr">
        <is>
          <t>Parque Hotel</t>
        </is>
      </c>
      <c r="G150" t="inlineStr">
        <is>
          <t>Araruama</t>
        </is>
      </c>
      <c r="H150" t="inlineStr">
        <is>
          <t>RJ</t>
        </is>
      </c>
      <c r="I150" t="n">
        <v>5149</v>
      </c>
      <c r="J150" t="inlineStr">
        <is>
          <t>CAT 5</t>
        </is>
      </c>
      <c r="K150" t="inlineStr">
        <is>
          <t>Sim</t>
        </is>
      </c>
    </row>
    <row r="151">
      <c r="A151" s="1">
        <f>HYPERLINK("https://eurofarma-latam-crm.veevavault.com/#object/account__v/V4TZ000018NXNQD", "Jane Barros")</f>
        <v/>
      </c>
      <c r="B151" s="1">
        <f>HYPERLINK("https://eurofarma-latam-crm.veevavault.com/#object/account__v/V4TZ000018NXNQD", "Jane Freitas Barros")</f>
        <v/>
      </c>
      <c r="C151" t="inlineStr">
        <is>
          <t>RJ0852376</t>
        </is>
      </c>
      <c r="D151" t="inlineStr">
        <is>
          <t>PED</t>
        </is>
      </c>
      <c r="E151" t="inlineStr">
        <is>
          <t>Estrada Prefeito Álvaro de Carvalho Júnior, S/N</t>
        </is>
      </c>
      <c r="F151" t="inlineStr">
        <is>
          <t>Nancilândia</t>
        </is>
      </c>
      <c r="G151" t="inlineStr">
        <is>
          <t>Itaboraí</t>
        </is>
      </c>
      <c r="H151" t="inlineStr">
        <is>
          <t>RJ</t>
        </is>
      </c>
      <c r="I151" t="n">
        <v>5149</v>
      </c>
      <c r="J151" t="inlineStr">
        <is>
          <t>CAT 5</t>
        </is>
      </c>
      <c r="K151" t="inlineStr">
        <is>
          <t>Sim</t>
        </is>
      </c>
    </row>
    <row r="152">
      <c r="A152" s="1">
        <f>HYPERLINK("https://eurofarma-latam-crm.veevavault.com/#object/account__v/V4TZ00001914QLF", "Jane Santos")</f>
        <v/>
      </c>
      <c r="B152" s="1">
        <f>HYPERLINK("https://eurofarma-latam-crm.veevavault.com/#object/account__v/V4TZ00001914QLF", "Jane da Silva Santos")</f>
        <v/>
      </c>
      <c r="C152" t="inlineStr">
        <is>
          <t>RJ0471960</t>
        </is>
      </c>
      <c r="D152" t="inlineStr">
        <is>
          <t>GER</t>
        </is>
      </c>
      <c r="E152" t="inlineStr">
        <is>
          <t>Rua General Cadorna, 126</t>
        </is>
      </c>
      <c r="F152" t="inlineStr">
        <is>
          <t>Laranjal</t>
        </is>
      </c>
      <c r="G152" t="inlineStr">
        <is>
          <t>São Gonçalo</t>
        </is>
      </c>
      <c r="H152" t="inlineStr">
        <is>
          <t>RJ</t>
        </is>
      </c>
      <c r="I152" t="n">
        <v>5149</v>
      </c>
      <c r="J152" t="inlineStr">
        <is>
          <t>CAT 3</t>
        </is>
      </c>
      <c r="K152" t="inlineStr">
        <is>
          <t>Sim</t>
        </is>
      </c>
    </row>
    <row r="153">
      <c r="A153" s="1">
        <f>HYPERLINK("https://eurofarma-latam-crm.veevavault.com/#object/account__v/V4TZ000018NYEEE", "Jaqueline Araujo")</f>
        <v/>
      </c>
      <c r="B153" s="1">
        <f>HYPERLINK("https://eurofarma-latam-crm.veevavault.com/#object/account__v/V4TZ000018NYEEE", "Jaqueline Flôres Araujo")</f>
        <v/>
      </c>
      <c r="C153" t="inlineStr">
        <is>
          <t>RJ1197479</t>
        </is>
      </c>
      <c r="D153" t="inlineStr">
        <is>
          <t>PED</t>
        </is>
      </c>
      <c r="E153" t="inlineStr">
        <is>
          <t>Avenida Ernani do Amaral Peixoto, 36 - Sala 307</t>
        </is>
      </c>
      <c r="F153" t="inlineStr">
        <is>
          <t>Centro</t>
        </is>
      </c>
      <c r="G153" t="inlineStr">
        <is>
          <t>Niterói</t>
        </is>
      </c>
      <c r="H153" t="inlineStr">
        <is>
          <t>RJ</t>
        </is>
      </c>
      <c r="I153" t="n">
        <v>5149</v>
      </c>
      <c r="J153" t="inlineStr">
        <is>
          <t>CAT 5</t>
        </is>
      </c>
      <c r="K153" t="inlineStr">
        <is>
          <t>N�o</t>
        </is>
      </c>
    </row>
    <row r="154">
      <c r="A154" s="1">
        <f>HYPERLINK("https://eurofarma-latam-crm.veevavault.com/#object/account__v/V4TZ025E8C4QJB1", "Jaqueline de Queiroz")</f>
        <v/>
      </c>
      <c r="B154" s="1">
        <f>HYPERLINK("https://eurofarma-latam-crm.veevavault.com/#object/account__v/V4TZ025E8C4QJB1", "Jaqueline Oliveira Afonso de Queiroz")</f>
        <v/>
      </c>
      <c r="C154" t="inlineStr">
        <is>
          <t>RJ1361430,RJ3305807</t>
        </is>
      </c>
      <c r="D154" t="inlineStr">
        <is>
          <t>PED</t>
        </is>
      </c>
      <c r="E154" t="inlineStr">
        <is>
          <t>Rodovia BR-493, S/N</t>
        </is>
      </c>
      <c r="F154" t="inlineStr">
        <is>
          <t>Centro (Manilha)</t>
        </is>
      </c>
      <c r="G154" t="inlineStr">
        <is>
          <t>Itaboraí</t>
        </is>
      </c>
      <c r="H154" t="inlineStr">
        <is>
          <t>RJ</t>
        </is>
      </c>
      <c r="I154" t="n">
        <v>5149</v>
      </c>
      <c r="J154" t="inlineStr">
        <is>
          <t>CAT 5</t>
        </is>
      </c>
      <c r="K154" t="inlineStr">
        <is>
          <t>N�o</t>
        </is>
      </c>
    </row>
    <row r="155">
      <c r="A155" s="1">
        <f>HYPERLINK("https://eurofarma-latam-crm.veevavault.com/#object/account__v/V4TZ00001914JGQ", "Javier Trujillo")</f>
        <v/>
      </c>
      <c r="B155" s="1">
        <f>HYPERLINK("https://eurofarma-latam-crm.veevavault.com/#object/account__v/V4TZ00001914JGQ", "Javier Angel Guzman Trujillo")</f>
        <v/>
      </c>
      <c r="C155" t="inlineStr">
        <is>
          <t>RJ0635898</t>
        </is>
      </c>
      <c r="D155" t="inlineStr">
        <is>
          <t>ORT</t>
        </is>
      </c>
      <c r="E155" t="inlineStr">
        <is>
          <t>Rua General Cadorna, 126</t>
        </is>
      </c>
      <c r="F155" t="inlineStr">
        <is>
          <t>Laranjal</t>
        </is>
      </c>
      <c r="G155" t="inlineStr">
        <is>
          <t>São Gonçalo</t>
        </is>
      </c>
      <c r="H155" t="inlineStr">
        <is>
          <t>RJ</t>
        </is>
      </c>
      <c r="I155" t="n">
        <v>5149</v>
      </c>
      <c r="J155" t="inlineStr">
        <is>
          <t>CAT 3</t>
        </is>
      </c>
      <c r="K155" t="inlineStr">
        <is>
          <t>Sim</t>
        </is>
      </c>
    </row>
    <row r="156">
      <c r="A156" s="1">
        <f>HYPERLINK("https://eurofarma-latam-crm.veevavault.com/#object/account__v/V4TZ025E8F7IKIW", "Jéssica Helena Pires")</f>
        <v/>
      </c>
      <c r="B156" s="1">
        <f>HYPERLINK("https://eurofarma-latam-crm.veevavault.com/#object/account__v/V4TZ025E8F7IKIW", "Jéssica Helena Eugênio Pires")</f>
        <v/>
      </c>
      <c r="C156" t="inlineStr">
        <is>
          <t>RJ1366423</t>
        </is>
      </c>
      <c r="D156" t="inlineStr">
        <is>
          <t>CLG / PA</t>
        </is>
      </c>
      <c r="E156" t="inlineStr">
        <is>
          <t>Rua Osório Costa, S/N</t>
        </is>
      </c>
      <c r="F156" t="inlineStr">
        <is>
          <t>Colubande</t>
        </is>
      </c>
      <c r="G156" t="inlineStr">
        <is>
          <t>São Gonçalo</t>
        </is>
      </c>
      <c r="H156" t="inlineStr">
        <is>
          <t>RJ</t>
        </is>
      </c>
      <c r="I156" t="n">
        <v>5149</v>
      </c>
      <c r="J156" t="inlineStr">
        <is>
          <t>CAT 5</t>
        </is>
      </c>
      <c r="K156" t="inlineStr">
        <is>
          <t>N�o</t>
        </is>
      </c>
    </row>
    <row r="157">
      <c r="A157" s="1">
        <f>HYPERLINK("https://eurofarma-latam-crm.veevavault.com/#object/account__v/V4TZ025E85OT9YR", "Jessica Telles")</f>
        <v/>
      </c>
      <c r="B157" s="1">
        <f>HYPERLINK("https://eurofarma-latam-crm.veevavault.com/#object/account__v/V4TZ025E85OT9YR", "Jessica Cardozo Telles")</f>
        <v/>
      </c>
      <c r="C157" t="inlineStr">
        <is>
          <t>RJ1311506</t>
        </is>
      </c>
      <c r="D157" t="inlineStr">
        <is>
          <t>CLG / PA</t>
        </is>
      </c>
      <c r="E157" t="inlineStr">
        <is>
          <t>Rua Vinte e Cinco-A, 23 - Sala 503, 506 e 510</t>
        </is>
      </c>
      <c r="F157" t="inlineStr">
        <is>
          <t>Vila Santa Cecília</t>
        </is>
      </c>
      <c r="G157" t="inlineStr">
        <is>
          <t>Volta Redonda</t>
        </is>
      </c>
      <c r="H157" t="inlineStr">
        <is>
          <t>RJ</t>
        </is>
      </c>
      <c r="I157" t="n">
        <v>5149</v>
      </c>
      <c r="J157" t="inlineStr">
        <is>
          <t>CAT 4</t>
        </is>
      </c>
      <c r="K157" t="inlineStr">
        <is>
          <t>Sim</t>
        </is>
      </c>
    </row>
    <row r="158">
      <c r="A158" s="1">
        <f>HYPERLINK("https://eurofarma-latam-crm.veevavault.com/#object/account__v/V4TZ00001913YO4", "João Antônio Tavares")</f>
        <v/>
      </c>
      <c r="B158" s="1">
        <f>HYPERLINK("https://eurofarma-latam-crm.veevavault.com/#object/account__v/V4TZ00001913YO4", "João Antônio Nicoli Tavares")</f>
        <v/>
      </c>
      <c r="C158" t="inlineStr">
        <is>
          <t>MG0115859,RJ1170937</t>
        </is>
      </c>
      <c r="D158" t="inlineStr">
        <is>
          <t>CLG / PA</t>
        </is>
      </c>
      <c r="E158" t="inlineStr">
        <is>
          <t>Rua São Clemente, S/N</t>
        </is>
      </c>
      <c r="F158" t="inlineStr">
        <is>
          <t>Botafogo</t>
        </is>
      </c>
      <c r="G158" t="inlineStr">
        <is>
          <t>Rio de Janeiro</t>
        </is>
      </c>
      <c r="H158" t="inlineStr">
        <is>
          <t>RJ</t>
        </is>
      </c>
      <c r="I158" t="n">
        <v>5149</v>
      </c>
      <c r="J158" t="inlineStr">
        <is>
          <t>CAT 5</t>
        </is>
      </c>
      <c r="K158" t="inlineStr">
        <is>
          <t>N�o</t>
        </is>
      </c>
    </row>
    <row r="159">
      <c r="A159" s="1">
        <f>HYPERLINK("https://eurofarma-latam-crm.veevavault.com/#object/account__v/V4TZ000018NYGU2", "João Baptista Antunes")</f>
        <v/>
      </c>
      <c r="B159" s="1">
        <f>HYPERLINK("https://eurofarma-latam-crm.veevavault.com/#object/account__v/V4TZ000018NYGU2", "João Baptista Ferreira Antunes")</f>
        <v/>
      </c>
      <c r="C159" t="inlineStr">
        <is>
          <t>RJ0019121</t>
        </is>
      </c>
      <c r="D159" t="inlineStr">
        <is>
          <t>CLG</t>
        </is>
      </c>
      <c r="E159" t="inlineStr">
        <is>
          <t>Avenida Vinte e Dois de Maio, S/N - KM 34</t>
        </is>
      </c>
      <c r="F159" t="inlineStr">
        <is>
          <t>Colônia</t>
        </is>
      </c>
      <c r="G159" t="inlineStr">
        <is>
          <t>Itaboraí</t>
        </is>
      </c>
      <c r="H159" t="inlineStr">
        <is>
          <t>RJ</t>
        </is>
      </c>
      <c r="I159" t="n">
        <v>5149</v>
      </c>
      <c r="J159" t="inlineStr">
        <is>
          <t>CAT 3</t>
        </is>
      </c>
      <c r="K159" t="inlineStr">
        <is>
          <t>Sim</t>
        </is>
      </c>
    </row>
    <row r="160">
      <c r="A160" s="1">
        <f>HYPERLINK("https://eurofarma-latam-crm.veevavault.com/#object/account__v/V4TZ000018NYJSI", "Joao Caetano")</f>
        <v/>
      </c>
      <c r="B160" s="1">
        <f>HYPERLINK("https://eurofarma-latam-crm.veevavault.com/#object/account__v/V4TZ000018NYJSI", "Joao Claudio de Sousa Caetano")</f>
        <v/>
      </c>
      <c r="C160" t="inlineStr">
        <is>
          <t>RJ0634328</t>
        </is>
      </c>
      <c r="D160" t="inlineStr">
        <is>
          <t>CLG</t>
        </is>
      </c>
      <c r="E160" t="inlineStr">
        <is>
          <t>Alameda São Boaventura, 540 - Bloco 2 Sala 401</t>
        </is>
      </c>
      <c r="F160" t="inlineStr">
        <is>
          <t>Fonseca</t>
        </is>
      </c>
      <c r="G160" t="inlineStr">
        <is>
          <t>Niterói</t>
        </is>
      </c>
      <c r="H160" t="inlineStr">
        <is>
          <t>RJ</t>
        </is>
      </c>
      <c r="I160" t="n">
        <v>5149</v>
      </c>
      <c r="J160" t="inlineStr">
        <is>
          <t>CAT 5</t>
        </is>
      </c>
      <c r="K160" t="inlineStr">
        <is>
          <t>Sim</t>
        </is>
      </c>
    </row>
    <row r="161">
      <c r="A161" s="1">
        <f>HYPERLINK("https://eurofarma-latam-crm.veevavault.com/#object/account__v/V4TZ000018NXH2P", "João de Lima Neto")</f>
        <v/>
      </c>
      <c r="B161" s="1">
        <f>HYPERLINK("https://eurofarma-latam-crm.veevavault.com/#object/account__v/V4TZ000018NXH2P", "João Franzen de Lima Neto")</f>
        <v/>
      </c>
      <c r="C161" t="inlineStr">
        <is>
          <t>RJ0379865</t>
        </is>
      </c>
      <c r="D161" t="inlineStr">
        <is>
          <t>PED</t>
        </is>
      </c>
      <c r="E161" t="inlineStr">
        <is>
          <t>Rua Yolanda Saad Abuzaid, 105 - Sala 204</t>
        </is>
      </c>
      <c r="F161" t="inlineStr">
        <is>
          <t>Alcântara</t>
        </is>
      </c>
      <c r="G161" t="inlineStr">
        <is>
          <t>São Gonçalo</t>
        </is>
      </c>
      <c r="H161" t="inlineStr">
        <is>
          <t>RJ</t>
        </is>
      </c>
      <c r="I161" t="n">
        <v>5149</v>
      </c>
      <c r="J161" t="inlineStr">
        <is>
          <t>CAT 5</t>
        </is>
      </c>
      <c r="K161" t="inlineStr">
        <is>
          <t>Sim</t>
        </is>
      </c>
    </row>
    <row r="162">
      <c r="A162" s="1">
        <f>HYPERLINK("https://eurofarma-latam-crm.veevavault.com/#object/account__v/V4TZ025E84WIT9S", "João de Paiva Filho")</f>
        <v/>
      </c>
      <c r="B162" s="1">
        <f>HYPERLINK("https://eurofarma-latam-crm.veevavault.com/#object/account__v/V4TZ025E84WIT9S", "João Ivan de Paiva Filho")</f>
        <v/>
      </c>
      <c r="C162" t="inlineStr">
        <is>
          <t>RJ1182943</t>
        </is>
      </c>
      <c r="D162" t="inlineStr">
        <is>
          <t>PED</t>
        </is>
      </c>
      <c r="E162" t="inlineStr">
        <is>
          <t>Praça Estefania de Carvalho, 26</t>
        </is>
      </c>
      <c r="F162" t="inlineStr">
        <is>
          <t>Zé Garoto</t>
        </is>
      </c>
      <c r="G162" t="inlineStr">
        <is>
          <t>São Gonçalo</t>
        </is>
      </c>
      <c r="H162" t="inlineStr">
        <is>
          <t>RJ</t>
        </is>
      </c>
      <c r="I162" t="n">
        <v>5149</v>
      </c>
      <c r="J162" t="inlineStr">
        <is>
          <t>CAT 4</t>
        </is>
      </c>
      <c r="K162" t="inlineStr">
        <is>
          <t>Sim</t>
        </is>
      </c>
    </row>
    <row r="163">
      <c r="A163" s="1">
        <f>HYPERLINK("https://eurofarma-latam-crm.veevavault.com/#object/account__v/V4TZ04ASGN19EJI", "Joao Ferreira")</f>
        <v/>
      </c>
      <c r="B163" s="1">
        <f>HYPERLINK("https://eurofarma-latam-crm.veevavault.com/#object/account__v/V4TZ04ASGN19EJI", "Joao Vitor Nunes Ferreira")</f>
        <v/>
      </c>
      <c r="C163" t="inlineStr">
        <is>
          <t>RJ1362214</t>
        </is>
      </c>
      <c r="D163" t="inlineStr">
        <is>
          <t>CLG / PA</t>
        </is>
      </c>
      <c r="E163" t="inlineStr">
        <is>
          <t>Rua Da Divineia, S/N</t>
        </is>
      </c>
      <c r="F163" t="inlineStr">
        <is>
          <t>Barra de Maricá</t>
        </is>
      </c>
      <c r="G163" t="inlineStr">
        <is>
          <t>Maricá</t>
        </is>
      </c>
      <c r="H163" t="inlineStr">
        <is>
          <t>RJ</t>
        </is>
      </c>
      <c r="I163" t="n">
        <v>5149</v>
      </c>
      <c r="J163" t="inlineStr">
        <is>
          <t>CAT 4</t>
        </is>
      </c>
      <c r="K163" t="inlineStr">
        <is>
          <t>Sim</t>
        </is>
      </c>
    </row>
    <row r="164">
      <c r="A164" s="1">
        <f>HYPERLINK("https://eurofarma-latam-crm.veevavault.com/#object/account__v/V4TZ00001913HB7", "João Francisco Soares")</f>
        <v/>
      </c>
      <c r="B164" s="1">
        <f>HYPERLINK("https://eurofarma-latam-crm.veevavault.com/#object/account__v/V4TZ00001913HB7", "João Francisco Valinho Soares")</f>
        <v/>
      </c>
      <c r="C164" t="inlineStr">
        <is>
          <t>RJ0294933</t>
        </is>
      </c>
      <c r="D164" t="inlineStr">
        <is>
          <t>ORT</t>
        </is>
      </c>
      <c r="E164" t="inlineStr">
        <is>
          <t>Rua Azamor José da Silva, 229</t>
        </is>
      </c>
      <c r="F164" t="inlineStr">
        <is>
          <t>Araçatiba</t>
        </is>
      </c>
      <c r="G164" t="inlineStr">
        <is>
          <t>Maricá</t>
        </is>
      </c>
      <c r="H164" t="inlineStr">
        <is>
          <t>RJ</t>
        </is>
      </c>
      <c r="I164" t="n">
        <v>5149</v>
      </c>
      <c r="J164" t="inlineStr">
        <is>
          <t>CAT 4</t>
        </is>
      </c>
      <c r="K164" t="inlineStr">
        <is>
          <t>Sim</t>
        </is>
      </c>
    </row>
    <row r="165">
      <c r="A165" s="1">
        <f>HYPERLINK("https://eurofarma-latam-crm.veevavault.com/#object/account__v/V4TZ000018NY8YV", "João Galan")</f>
        <v/>
      </c>
      <c r="B165" s="1">
        <f>HYPERLINK("https://eurofarma-latam-crm.veevavault.com/#object/account__v/V4TZ000018NY8YV", "João Vittor Fernandes Galan")</f>
        <v/>
      </c>
      <c r="C165" t="inlineStr">
        <is>
          <t>RJ1130447</t>
        </is>
      </c>
      <c r="D165" t="inlineStr">
        <is>
          <t>ORT</t>
        </is>
      </c>
      <c r="E165" t="inlineStr">
        <is>
          <t>Alameda São Boaventura, 321</t>
        </is>
      </c>
      <c r="F165" t="inlineStr">
        <is>
          <t>Fonseca</t>
        </is>
      </c>
      <c r="G165" t="inlineStr">
        <is>
          <t>Niterói</t>
        </is>
      </c>
      <c r="H165" t="inlineStr">
        <is>
          <t>RJ</t>
        </is>
      </c>
      <c r="I165" t="n">
        <v>5149</v>
      </c>
      <c r="J165" t="inlineStr">
        <is>
          <t>CAT 5</t>
        </is>
      </c>
      <c r="K165" t="inlineStr">
        <is>
          <t>Sim</t>
        </is>
      </c>
    </row>
    <row r="166">
      <c r="A166" s="1">
        <f>HYPERLINK("https://eurofarma-latam-crm.veevavault.com/#object/account__v/V4TZ000018NYILZ", "João Luiz Peixoto")</f>
        <v/>
      </c>
      <c r="B166" s="1">
        <f>HYPERLINK("https://eurofarma-latam-crm.veevavault.com/#object/account__v/V4TZ000018NYILZ", "João Luiz Pinto Peixoto")</f>
        <v/>
      </c>
      <c r="C166" t="inlineStr">
        <is>
          <t>RJ0495623</t>
        </is>
      </c>
      <c r="D166" t="inlineStr">
        <is>
          <t>ORL</t>
        </is>
      </c>
      <c r="E166" t="inlineStr">
        <is>
          <t>Rua Lopes Trovão, 448 - Sala 1102</t>
        </is>
      </c>
      <c r="F166" t="inlineStr">
        <is>
          <t>Icaraí</t>
        </is>
      </c>
      <c r="G166" t="inlineStr">
        <is>
          <t>Niterói</t>
        </is>
      </c>
      <c r="H166" t="inlineStr">
        <is>
          <t>RJ</t>
        </is>
      </c>
      <c r="I166" t="n">
        <v>5149</v>
      </c>
      <c r="J166" t="inlineStr">
        <is>
          <t>CAT 3</t>
        </is>
      </c>
      <c r="K166" t="inlineStr">
        <is>
          <t>Sim</t>
        </is>
      </c>
    </row>
    <row r="167">
      <c r="A167" s="1">
        <f>HYPERLINK("https://eurofarma-latam-crm.veevavault.com/#object/account__v/V4TZ025E8ELITFV", "João Vitor Jaegger")</f>
        <v/>
      </c>
      <c r="B167" s="1">
        <f>HYPERLINK("https://eurofarma-latam-crm.veevavault.com/#object/account__v/V4TZ025E8ELITFV", "João Vitor Queiroz Abreu Jaegger")</f>
        <v/>
      </c>
      <c r="C167" t="inlineStr">
        <is>
          <t>RJ1385180</t>
        </is>
      </c>
      <c r="D167" t="inlineStr">
        <is>
          <t>CLG / PA</t>
        </is>
      </c>
      <c r="E167" t="inlineStr">
        <is>
          <t>Rua Vicente de Lima Cleto, 296</t>
        </is>
      </c>
      <c r="F167" t="inlineStr">
        <is>
          <t>Nova Cidade</t>
        </is>
      </c>
      <c r="G167" t="inlineStr">
        <is>
          <t>São Gonçalo</t>
        </is>
      </c>
      <c r="H167" t="inlineStr">
        <is>
          <t>RJ</t>
        </is>
      </c>
      <c r="I167" t="n">
        <v>5149</v>
      </c>
      <c r="J167" t="inlineStr">
        <is>
          <t>CAT 5</t>
        </is>
      </c>
      <c r="K167" t="inlineStr">
        <is>
          <t>Sim</t>
        </is>
      </c>
    </row>
    <row r="168">
      <c r="A168" s="1">
        <f>HYPERLINK("https://eurofarma-latam-crm.veevavault.com/#object/account__v/V4TZ000018NXH73", "Jorge Lima")</f>
        <v/>
      </c>
      <c r="B168" s="1">
        <f>HYPERLINK("https://eurofarma-latam-crm.veevavault.com/#object/account__v/V4TZ000018NXH73", "Jorge Alves de Lima")</f>
        <v/>
      </c>
      <c r="C168" t="inlineStr">
        <is>
          <t>RJ0536437</t>
        </is>
      </c>
      <c r="D168" t="inlineStr">
        <is>
          <t>ORT</t>
        </is>
      </c>
      <c r="E168" t="inlineStr">
        <is>
          <t>Rua Joaquim Laranjeiras, S/N</t>
        </is>
      </c>
      <c r="F168" t="inlineStr">
        <is>
          <t>Miriambi</t>
        </is>
      </c>
      <c r="G168" t="inlineStr">
        <is>
          <t>São Gonçalo</t>
        </is>
      </c>
      <c r="H168" t="inlineStr">
        <is>
          <t>RJ</t>
        </is>
      </c>
      <c r="I168" t="n">
        <v>5149</v>
      </c>
      <c r="J168" t="inlineStr">
        <is>
          <t>CAT 3</t>
        </is>
      </c>
      <c r="K168" t="inlineStr">
        <is>
          <t>Sim</t>
        </is>
      </c>
    </row>
    <row r="169">
      <c r="A169" s="1">
        <f>HYPERLINK("https://eurofarma-latam-crm.veevavault.com/#object/account__v/V4TZ000018NXNHC", "Jorge Miguel Campos")</f>
        <v/>
      </c>
      <c r="B169" s="1">
        <f>HYPERLINK("https://eurofarma-latam-crm.veevavault.com/#object/account__v/V4TZ000018NXNHC", "Jorge Miguel Serafim Campos")</f>
        <v/>
      </c>
      <c r="C169" t="inlineStr">
        <is>
          <t>RJ0548469</t>
        </is>
      </c>
      <c r="D169" t="inlineStr">
        <is>
          <t>PED</t>
        </is>
      </c>
      <c r="E169" t="inlineStr">
        <is>
          <t>Rua da Conceição, 188 - Sala 2404a</t>
        </is>
      </c>
      <c r="F169" t="inlineStr">
        <is>
          <t>Centro</t>
        </is>
      </c>
      <c r="G169" t="inlineStr">
        <is>
          <t>Niterói</t>
        </is>
      </c>
      <c r="H169" t="inlineStr">
        <is>
          <t>RJ</t>
        </is>
      </c>
      <c r="I169" t="n">
        <v>5149</v>
      </c>
      <c r="J169" t="inlineStr">
        <is>
          <t>CAT 4</t>
        </is>
      </c>
      <c r="K169" t="inlineStr">
        <is>
          <t>Sim</t>
        </is>
      </c>
    </row>
    <row r="170">
      <c r="A170" s="1">
        <f>HYPERLINK("https://eurofarma-latam-crm.veevavault.com/#object/account__v/V4TZ00001915ML1", "José Antonio e Silva")</f>
        <v/>
      </c>
      <c r="B170" s="1">
        <f>HYPERLINK("https://eurofarma-latam-crm.veevavault.com/#object/account__v/V4TZ00001915ML1", "José Antonio de Lima e Silva")</f>
        <v/>
      </c>
      <c r="C170" t="inlineStr">
        <is>
          <t>RJ0499408</t>
        </is>
      </c>
      <c r="D170" t="inlineStr">
        <is>
          <t>CLG</t>
        </is>
      </c>
      <c r="E170" t="inlineStr">
        <is>
          <t>Rua Doutor Pereira dos Santos, 107 - Sala 307</t>
        </is>
      </c>
      <c r="F170" t="inlineStr">
        <is>
          <t>Centro</t>
        </is>
      </c>
      <c r="G170" t="inlineStr">
        <is>
          <t>Itaboraí</t>
        </is>
      </c>
      <c r="H170" t="inlineStr">
        <is>
          <t>RJ</t>
        </is>
      </c>
      <c r="I170" t="n">
        <v>5149</v>
      </c>
      <c r="J170" t="inlineStr">
        <is>
          <t>CAT 5</t>
        </is>
      </c>
      <c r="K170" t="inlineStr">
        <is>
          <t>N�o</t>
        </is>
      </c>
    </row>
    <row r="171">
      <c r="A171" s="1">
        <f>HYPERLINK("https://eurofarma-latam-crm.veevavault.com/#object/account__v/V4TZ000018NYKNO", "José Augusto Martins")</f>
        <v/>
      </c>
      <c r="B171" s="1">
        <f>HYPERLINK("https://eurofarma-latam-crm.veevavault.com/#object/account__v/V4TZ000018NYKNO", "José Augusto Viegas Martins")</f>
        <v/>
      </c>
      <c r="C171" t="inlineStr">
        <is>
          <t>RJ0604892</t>
        </is>
      </c>
      <c r="D171" t="inlineStr">
        <is>
          <t>PSQ</t>
        </is>
      </c>
      <c r="E171" t="inlineStr">
        <is>
          <t>Rua João do Carmo, 206</t>
        </is>
      </c>
      <c r="F171" t="inlineStr">
        <is>
          <t>Centro</t>
        </is>
      </c>
      <c r="G171" t="inlineStr">
        <is>
          <t>Rio Bonito</t>
        </is>
      </c>
      <c r="H171" t="inlineStr">
        <is>
          <t>RJ</t>
        </is>
      </c>
      <c r="I171" t="n">
        <v>5149</v>
      </c>
      <c r="J171" t="inlineStr">
        <is>
          <t>CAT 1</t>
        </is>
      </c>
      <c r="K171" t="inlineStr">
        <is>
          <t>Sim</t>
        </is>
      </c>
    </row>
    <row r="172">
      <c r="A172" s="1">
        <f>HYPERLINK("https://eurofarma-latam-crm.veevavault.com/#object/account__v/V4TZ000018NY5PE", "Jose Sacre")</f>
        <v/>
      </c>
      <c r="B172" s="1">
        <f>HYPERLINK("https://eurofarma-latam-crm.veevavault.com/#object/account__v/V4TZ000018NY5PE", "Jose Mauro Carvalho Sacre")</f>
        <v/>
      </c>
      <c r="C172" t="inlineStr">
        <is>
          <t>RJ0475840</t>
        </is>
      </c>
      <c r="D172" t="inlineStr">
        <is>
          <t>PED</t>
        </is>
      </c>
      <c r="E172" t="inlineStr">
        <is>
          <t>Rua Doutor Alfredo Backer 280</t>
        </is>
      </c>
      <c r="F172" t="inlineStr">
        <is>
          <t>Alcântara</t>
        </is>
      </c>
      <c r="G172" t="inlineStr">
        <is>
          <t>São Gonçalo</t>
        </is>
      </c>
      <c r="H172" t="inlineStr">
        <is>
          <t>RJ</t>
        </is>
      </c>
      <c r="I172" t="n">
        <v>5149</v>
      </c>
      <c r="J172" t="inlineStr">
        <is>
          <t>CAT 5</t>
        </is>
      </c>
      <c r="K172" t="inlineStr">
        <is>
          <t>Sim</t>
        </is>
      </c>
    </row>
    <row r="173">
      <c r="A173" s="1">
        <f>HYPERLINK("https://eurofarma-latam-crm.veevavault.com/#object/account__v/V4TZ025E846PFMM", "Josenilson dos Anjos")</f>
        <v/>
      </c>
      <c r="B173" s="1">
        <f>HYPERLINK("https://eurofarma-latam-crm.veevavault.com/#object/account__v/V4TZ025E846PFMM", "Josenilson Fernando Rabelo dos Anjos")</f>
        <v/>
      </c>
      <c r="C173" t="inlineStr">
        <is>
          <t>RJ1124269</t>
        </is>
      </c>
      <c r="D173" t="inlineStr">
        <is>
          <t>CLG / PA</t>
        </is>
      </c>
      <c r="E173" t="inlineStr">
        <is>
          <t>Rodovia BR-493, S/N</t>
        </is>
      </c>
      <c r="F173" t="inlineStr">
        <is>
          <t>Centro (Manilha)</t>
        </is>
      </c>
      <c r="G173" t="inlineStr">
        <is>
          <t>Itaboraí</t>
        </is>
      </c>
      <c r="H173" t="inlineStr">
        <is>
          <t>RJ</t>
        </is>
      </c>
      <c r="I173" t="n">
        <v>5149</v>
      </c>
      <c r="J173" t="inlineStr">
        <is>
          <t>CAT 5</t>
        </is>
      </c>
      <c r="K173" t="inlineStr">
        <is>
          <t>Sim</t>
        </is>
      </c>
    </row>
    <row r="174">
      <c r="A174" s="1">
        <f>HYPERLINK("https://eurofarma-latam-crm.veevavault.com/#object/account__v/V4TZ00001914I0Q", "Julia de Andrade")</f>
        <v/>
      </c>
      <c r="B174" s="1">
        <f>HYPERLINK("https://eurofarma-latam-crm.veevavault.com/#object/account__v/V4TZ00001914I0Q", "Julia Marques de Andrade")</f>
        <v/>
      </c>
      <c r="C174" t="inlineStr">
        <is>
          <t>RJ1196715</t>
        </is>
      </c>
      <c r="D174" t="inlineStr">
        <is>
          <t>CLG / PA</t>
        </is>
      </c>
      <c r="E174" t="inlineStr">
        <is>
          <t>Rua Combu, 191</t>
        </is>
      </c>
      <c r="F174" t="inlineStr">
        <is>
          <t>Jardim Carioca</t>
        </is>
      </c>
      <c r="G174" t="inlineStr">
        <is>
          <t>Rio de Janeiro</t>
        </is>
      </c>
      <c r="H174" t="inlineStr">
        <is>
          <t>RJ</t>
        </is>
      </c>
      <c r="I174" t="n">
        <v>5149</v>
      </c>
      <c r="J174" t="inlineStr">
        <is>
          <t>CAT 5</t>
        </is>
      </c>
      <c r="K174" t="inlineStr">
        <is>
          <t>Sim</t>
        </is>
      </c>
    </row>
    <row r="175">
      <c r="A175" s="1">
        <f>HYPERLINK("https://eurofarma-latam-crm.veevavault.com/#object/account__v/V4TZ04ASGM4M84Z", "Júlia Valente")</f>
        <v/>
      </c>
      <c r="B175" s="1">
        <f>HYPERLINK("https://eurofarma-latam-crm.veevavault.com/#object/account__v/V4TZ04ASGM4M84Z", "Júlia Medeiros Valente")</f>
        <v/>
      </c>
      <c r="C175" t="inlineStr">
        <is>
          <t>RJ1391108</t>
        </is>
      </c>
      <c r="D175" t="inlineStr">
        <is>
          <t>CLG / PA</t>
        </is>
      </c>
      <c r="E175" t="inlineStr">
        <is>
          <t>Rua Osório Costa, S/N</t>
        </is>
      </c>
      <c r="F175" t="inlineStr">
        <is>
          <t>Colubande</t>
        </is>
      </c>
      <c r="G175" t="inlineStr">
        <is>
          <t>São Gonçalo</t>
        </is>
      </c>
      <c r="H175" t="inlineStr">
        <is>
          <t>RJ</t>
        </is>
      </c>
      <c r="I175" t="n">
        <v>5149</v>
      </c>
      <c r="J175" t="inlineStr">
        <is>
          <t>CAT 5</t>
        </is>
      </c>
      <c r="K175" t="inlineStr">
        <is>
          <t>N�o</t>
        </is>
      </c>
    </row>
    <row r="176">
      <c r="A176" s="1">
        <f>HYPERLINK("https://eurofarma-latam-crm.veevavault.com/#object/account__v/V4TZ025E8BW6WP4", "Juliana Lessa")</f>
        <v/>
      </c>
      <c r="B176" s="1">
        <f>HYPERLINK("https://eurofarma-latam-crm.veevavault.com/#object/account__v/V4TZ025E8BW6WP4", "Juliana de Oliveira Lessa")</f>
        <v/>
      </c>
      <c r="C176" t="inlineStr">
        <is>
          <t>RJ1357140</t>
        </is>
      </c>
      <c r="D176" t="inlineStr">
        <is>
          <t>PED</t>
        </is>
      </c>
      <c r="E176" t="inlineStr">
        <is>
          <t>Rua Sá Barreto, 107</t>
        </is>
      </c>
      <c r="F176" t="inlineStr">
        <is>
          <t>Fonseca</t>
        </is>
      </c>
      <c r="G176" t="inlineStr">
        <is>
          <t>Niterói</t>
        </is>
      </c>
      <c r="H176" t="inlineStr">
        <is>
          <t>RJ</t>
        </is>
      </c>
      <c r="I176" t="n">
        <v>5149</v>
      </c>
      <c r="J176" t="inlineStr">
        <is>
          <t>CAT 4</t>
        </is>
      </c>
      <c r="K176" t="inlineStr">
        <is>
          <t>Sim</t>
        </is>
      </c>
    </row>
    <row r="177">
      <c r="A177" s="1">
        <f>HYPERLINK("https://eurofarma-latam-crm.veevavault.com/#object/account__v/V4TZ025E8BIYDLW", "Julio Manoel de Jesus")</f>
        <v/>
      </c>
      <c r="B177" s="1">
        <f>HYPERLINK("https://eurofarma-latam-crm.veevavault.com/#object/account__v/V4TZ025E8BIYDLW", "Julio Manoel Lúcio de Jesus")</f>
        <v/>
      </c>
      <c r="C177" t="inlineStr">
        <is>
          <t>RJ1365846</t>
        </is>
      </c>
      <c r="D177" t="inlineStr">
        <is>
          <t>CLG / PA</t>
        </is>
      </c>
      <c r="E177" t="inlineStr">
        <is>
          <t>Rua Reverendo Armando Ferreira, S/N</t>
        </is>
      </c>
      <c r="F177" t="inlineStr">
        <is>
          <t>Largo da Batalha</t>
        </is>
      </c>
      <c r="G177" t="inlineStr">
        <is>
          <t>Niterói</t>
        </is>
      </c>
      <c r="H177" t="inlineStr">
        <is>
          <t>RJ</t>
        </is>
      </c>
      <c r="I177" t="n">
        <v>5149</v>
      </c>
      <c r="J177" t="inlineStr">
        <is>
          <t>CAT 5</t>
        </is>
      </c>
      <c r="K177" t="inlineStr">
        <is>
          <t>N�o</t>
        </is>
      </c>
    </row>
    <row r="178">
      <c r="A178" s="1">
        <f>HYPERLINK("https://eurofarma-latam-crm.veevavault.com/#object/account__v/V4TZ025E8BHI6A7", "Julliana Pereira")</f>
        <v/>
      </c>
      <c r="B178" s="1">
        <f>HYPERLINK("https://eurofarma-latam-crm.veevavault.com/#object/account__v/V4TZ025E8BHI6A7", "Julliana Vieira Pereira")</f>
        <v/>
      </c>
      <c r="C178" t="inlineStr">
        <is>
          <t>RJ1357000</t>
        </is>
      </c>
      <c r="D178" t="inlineStr">
        <is>
          <t>CLG / PA</t>
        </is>
      </c>
      <c r="E178" t="inlineStr">
        <is>
          <t>Rua Irineu Ferreira Pinto, S/N</t>
        </is>
      </c>
      <c r="F178" t="inlineStr">
        <is>
          <t>Ponta Grossa</t>
        </is>
      </c>
      <c r="G178" t="inlineStr">
        <is>
          <t>Maricá</t>
        </is>
      </c>
      <c r="H178" t="inlineStr">
        <is>
          <t>RJ</t>
        </is>
      </c>
      <c r="I178" t="n">
        <v>5149</v>
      </c>
      <c r="J178" t="inlineStr">
        <is>
          <t>CAT 5</t>
        </is>
      </c>
      <c r="K178" t="inlineStr">
        <is>
          <t>Sim</t>
        </is>
      </c>
    </row>
    <row r="179">
      <c r="A179" s="1">
        <f>HYPERLINK("https://eurofarma-latam-crm.veevavault.com/#object/account__v/V4TZ025E8F9FEOP", "Karen Muniz")</f>
        <v/>
      </c>
      <c r="B179" s="1">
        <f>HYPERLINK("https://eurofarma-latam-crm.veevavault.com/#object/account__v/V4TZ025E8F9FEOP", "Karen Duran Muniz")</f>
        <v/>
      </c>
      <c r="C179" t="inlineStr">
        <is>
          <t>RJ1356941</t>
        </is>
      </c>
      <c r="D179" t="inlineStr">
        <is>
          <t>PED</t>
        </is>
      </c>
      <c r="E179" t="inlineStr">
        <is>
          <t>Estrada do Pacheco, 1051</t>
        </is>
      </c>
      <c r="F179" t="inlineStr">
        <is>
          <t>Pacheco</t>
        </is>
      </c>
      <c r="G179" t="inlineStr">
        <is>
          <t>São Gonçalo</t>
        </is>
      </c>
      <c r="H179" t="inlineStr">
        <is>
          <t>RJ</t>
        </is>
      </c>
      <c r="I179" t="n">
        <v>5149</v>
      </c>
      <c r="J179" t="inlineStr">
        <is>
          <t>CAT 5</t>
        </is>
      </c>
      <c r="K179" t="inlineStr">
        <is>
          <t>Sim</t>
        </is>
      </c>
    </row>
    <row r="180">
      <c r="A180" s="1">
        <f>HYPERLINK("https://eurofarma-latam-crm.veevavault.com/#object/account__v/V4TZ00001915NWG", "Karla Martins")</f>
        <v/>
      </c>
      <c r="B180" s="1">
        <f>HYPERLINK("https://eurofarma-latam-crm.veevavault.com/#object/account__v/V4TZ00001915NWG", "Karla da Costa Martins")</f>
        <v/>
      </c>
      <c r="C180" t="inlineStr">
        <is>
          <t>RJ0608111</t>
        </is>
      </c>
      <c r="D180" t="inlineStr">
        <is>
          <t>GER</t>
        </is>
      </c>
      <c r="E180" t="inlineStr">
        <is>
          <t>Rua Doutor Nilo Peçanha, 110</t>
        </is>
      </c>
      <c r="F180" t="inlineStr">
        <is>
          <t>Centro</t>
        </is>
      </c>
      <c r="G180" t="inlineStr">
        <is>
          <t>São Gonçalo</t>
        </is>
      </c>
      <c r="H180" t="inlineStr">
        <is>
          <t>RJ</t>
        </is>
      </c>
      <c r="I180" t="n">
        <v>5149</v>
      </c>
      <c r="J180" t="inlineStr">
        <is>
          <t>CAT 4</t>
        </is>
      </c>
      <c r="K180" t="inlineStr">
        <is>
          <t>Sim</t>
        </is>
      </c>
    </row>
    <row r="181">
      <c r="A181" s="1">
        <f>HYPERLINK("https://eurofarma-latam-crm.veevavault.com/#object/account__v/V4TZ000018NYV04", "Katia Maria Ganino")</f>
        <v/>
      </c>
      <c r="B181" s="1">
        <f>HYPERLINK("https://eurofarma-latam-crm.veevavault.com/#object/account__v/V4TZ000018NYV04", "Katia Maria Cupolillo Ganino")</f>
        <v/>
      </c>
      <c r="C181" t="inlineStr">
        <is>
          <t>RJ0329070</t>
        </is>
      </c>
      <c r="D181" t="inlineStr">
        <is>
          <t>CLG</t>
        </is>
      </c>
      <c r="E181" t="inlineStr">
        <is>
          <t>Rua Miguel de Frias, 09</t>
        </is>
      </c>
      <c r="F181" t="inlineStr">
        <is>
          <t>Icaraí</t>
        </is>
      </c>
      <c r="G181" t="inlineStr">
        <is>
          <t>Niterói</t>
        </is>
      </c>
      <c r="H181" t="inlineStr">
        <is>
          <t>RJ</t>
        </is>
      </c>
      <c r="I181" t="n">
        <v>5149</v>
      </c>
      <c r="J181" t="inlineStr">
        <is>
          <t>CAT 5</t>
        </is>
      </c>
      <c r="K181" t="inlineStr">
        <is>
          <t>N�o</t>
        </is>
      </c>
    </row>
    <row r="182">
      <c r="A182" s="1">
        <f>HYPERLINK("https://eurofarma-latam-crm.veevavault.com/#object/account__v/V4TZ000018NYR1F", "Kevin de Souza")</f>
        <v/>
      </c>
      <c r="B182" s="1">
        <f>HYPERLINK("https://eurofarma-latam-crm.veevavault.com/#object/account__v/V4TZ000018NYR1F", "Kevin Brito de Souza")</f>
        <v/>
      </c>
      <c r="C182" t="inlineStr">
        <is>
          <t>MG0071022,RJ1195964</t>
        </is>
      </c>
      <c r="D182" t="inlineStr">
        <is>
          <t>CLG / PA</t>
        </is>
      </c>
      <c r="E182" t="inlineStr">
        <is>
          <t>Estrada do Pacheco, 1051</t>
        </is>
      </c>
      <c r="F182" t="inlineStr">
        <is>
          <t>Pacheco</t>
        </is>
      </c>
      <c r="G182" t="inlineStr">
        <is>
          <t>São Gonçalo</t>
        </is>
      </c>
      <c r="H182" t="inlineStr">
        <is>
          <t>RJ</t>
        </is>
      </c>
      <c r="I182" t="n">
        <v>5149</v>
      </c>
      <c r="J182" t="inlineStr">
        <is>
          <t>CAT 5</t>
        </is>
      </c>
      <c r="K182" t="inlineStr">
        <is>
          <t>Sim</t>
        </is>
      </c>
    </row>
    <row r="183">
      <c r="A183" s="1">
        <f>HYPERLINK("https://eurofarma-latam-crm.veevavault.com/#object/account__v/V4TZ025E85WNBXV", "Kíllian Pott")</f>
        <v/>
      </c>
      <c r="B183" s="1">
        <f>HYPERLINK("https://eurofarma-latam-crm.veevavault.com/#object/account__v/V4TZ025E85WNBXV", "Kíllian dos Reis Pott")</f>
        <v/>
      </c>
      <c r="C183" t="inlineStr">
        <is>
          <t>RJ1317148</t>
        </is>
      </c>
      <c r="D183" t="inlineStr">
        <is>
          <t>PED</t>
        </is>
      </c>
      <c r="E183" t="inlineStr">
        <is>
          <t>Rua Baster Pillar, S/N</t>
        </is>
      </c>
      <c r="F183" t="inlineStr">
        <is>
          <t>Parque Hotel</t>
        </is>
      </c>
      <c r="G183" t="inlineStr">
        <is>
          <t>Araruama</t>
        </is>
      </c>
      <c r="H183" t="inlineStr">
        <is>
          <t>RJ</t>
        </is>
      </c>
      <c r="I183" t="n">
        <v>5149</v>
      </c>
      <c r="J183" t="inlineStr">
        <is>
          <t>CAT 5</t>
        </is>
      </c>
      <c r="K183" t="inlineStr">
        <is>
          <t>Sim</t>
        </is>
      </c>
    </row>
    <row r="184">
      <c r="A184" s="1">
        <f>HYPERLINK("https://eurofarma-latam-crm.veevavault.com/#object/account__v/V4TZ000018NY2KC", "Kimio Nitta")</f>
        <v/>
      </c>
      <c r="B184" s="1">
        <f>HYPERLINK("https://eurofarma-latam-crm.veevavault.com/#object/account__v/V4TZ000018NY2KC", "Kimio Nitta")</f>
        <v/>
      </c>
      <c r="C184" t="inlineStr">
        <is>
          <t>RJ0138017</t>
        </is>
      </c>
      <c r="D184" t="inlineStr">
        <is>
          <t>ORT</t>
        </is>
      </c>
      <c r="E184" t="inlineStr">
        <is>
          <t>Rua Manuel João Gonçalves, 204</t>
        </is>
      </c>
      <c r="F184" t="inlineStr">
        <is>
          <t>Alcântara</t>
        </is>
      </c>
      <c r="G184" t="inlineStr">
        <is>
          <t>São Gonçalo</t>
        </is>
      </c>
      <c r="H184" t="inlineStr">
        <is>
          <t>RJ</t>
        </is>
      </c>
      <c r="I184" t="n">
        <v>5149</v>
      </c>
      <c r="J184" t="inlineStr">
        <is>
          <t>CAT 5</t>
        </is>
      </c>
      <c r="K184" t="inlineStr">
        <is>
          <t>Sim</t>
        </is>
      </c>
    </row>
    <row r="185">
      <c r="A185" s="1">
        <f>HYPERLINK("https://eurofarma-latam-crm.veevavault.com/#object/account__v/V4TZ025E8EZXABV", "Laila Lourenço")</f>
        <v/>
      </c>
      <c r="B185" s="1">
        <f>HYPERLINK("https://eurofarma-latam-crm.veevavault.com/#object/account__v/V4TZ025E8EZXABV", "Laila Pimentel Lourenço")</f>
        <v/>
      </c>
      <c r="C185" t="inlineStr">
        <is>
          <t>RJ1377073</t>
        </is>
      </c>
      <c r="D185" t="inlineStr">
        <is>
          <t>CLG / PA</t>
        </is>
      </c>
      <c r="E185" t="inlineStr">
        <is>
          <t>Rua Osório Costa, S/N</t>
        </is>
      </c>
      <c r="F185" t="inlineStr">
        <is>
          <t>Colubande</t>
        </is>
      </c>
      <c r="G185" t="inlineStr">
        <is>
          <t>São Gonçalo</t>
        </is>
      </c>
      <c r="H185" t="inlineStr">
        <is>
          <t>RJ</t>
        </is>
      </c>
      <c r="I185" t="n">
        <v>5149</v>
      </c>
      <c r="J185" t="inlineStr">
        <is>
          <t>CAT 5</t>
        </is>
      </c>
      <c r="K185" t="inlineStr">
        <is>
          <t>N�o</t>
        </is>
      </c>
    </row>
    <row r="186">
      <c r="A186" s="1">
        <f>HYPERLINK("https://eurofarma-latam-crm.veevavault.com/#object/account__v/V4T000000011059", "Laila Soares")</f>
        <v/>
      </c>
      <c r="B186" s="1">
        <f>HYPERLINK("https://eurofarma-latam-crm.veevavault.com/#object/account__v/V4T000000011059", "Laila Costa Moreira Soares")</f>
        <v/>
      </c>
      <c r="C186" t="inlineStr">
        <is>
          <t>RJ1410995</t>
        </is>
      </c>
      <c r="D186" t="inlineStr">
        <is>
          <t>CLG / PA</t>
        </is>
      </c>
      <c r="E186" t="inlineStr">
        <is>
          <t>Rua Desembargador Ferreira Pinto, 721 - Parte</t>
        </is>
      </c>
      <c r="F186" t="inlineStr">
        <is>
          <t>Centro</t>
        </is>
      </c>
      <c r="G186" t="inlineStr">
        <is>
          <t>Itaboraí</t>
        </is>
      </c>
      <c r="H186" t="inlineStr">
        <is>
          <t>RJ</t>
        </is>
      </c>
      <c r="I186" t="n">
        <v>5149</v>
      </c>
      <c r="J186" t="inlineStr"/>
      <c r="K186" t="inlineStr"/>
    </row>
    <row r="187">
      <c r="A187" s="1">
        <f>HYPERLINK("https://eurofarma-latam-crm.veevavault.com/#object/account__v/V4TZ000018NZB7I", "Larissa Fernandes")</f>
        <v/>
      </c>
      <c r="B187" s="1">
        <f>HYPERLINK("https://eurofarma-latam-crm.veevavault.com/#object/account__v/V4TZ000018NZB7I", "Larissa Caldeira Fernandes")</f>
        <v/>
      </c>
      <c r="C187" t="inlineStr">
        <is>
          <t>RJ1230271</t>
        </is>
      </c>
      <c r="D187" t="inlineStr">
        <is>
          <t>CLG / PA</t>
        </is>
      </c>
      <c r="E187" t="inlineStr">
        <is>
          <t>Rua Olindo Pereira, S/N</t>
        </is>
      </c>
      <c r="F187" t="inlineStr">
        <is>
          <t>Porto Velho</t>
        </is>
      </c>
      <c r="G187" t="inlineStr">
        <is>
          <t>São Gonçalo</t>
        </is>
      </c>
      <c r="H187" t="inlineStr">
        <is>
          <t>RJ</t>
        </is>
      </c>
      <c r="I187" t="n">
        <v>5149</v>
      </c>
      <c r="J187" t="inlineStr">
        <is>
          <t>CAT 5</t>
        </is>
      </c>
      <c r="K187" t="inlineStr">
        <is>
          <t>N�o</t>
        </is>
      </c>
    </row>
    <row r="188">
      <c r="A188" s="1">
        <f>HYPERLINK("https://eurofarma-latam-crm.veevavault.com/#object/account__v/V4TZ025E8BRMR1R", "Larissa Mattos")</f>
        <v/>
      </c>
      <c r="B188" s="1">
        <f>HYPERLINK("https://eurofarma-latam-crm.veevavault.com/#object/account__v/V4TZ025E8BRMR1R", "Larissa da Silveira Mattos")</f>
        <v/>
      </c>
      <c r="C188" t="inlineStr">
        <is>
          <t>RJ1356798</t>
        </is>
      </c>
      <c r="D188" t="inlineStr">
        <is>
          <t>PED</t>
        </is>
      </c>
      <c r="E188" t="inlineStr">
        <is>
          <t>Praça Estefania de Carvalho, 26</t>
        </is>
      </c>
      <c r="F188" t="inlineStr">
        <is>
          <t>Zé Garoto</t>
        </is>
      </c>
      <c r="G188" t="inlineStr">
        <is>
          <t>São Gonçalo</t>
        </is>
      </c>
      <c r="H188" t="inlineStr">
        <is>
          <t>RJ</t>
        </is>
      </c>
      <c r="I188" t="n">
        <v>5149</v>
      </c>
      <c r="J188" t="inlineStr">
        <is>
          <t>CAT 5</t>
        </is>
      </c>
      <c r="K188" t="inlineStr">
        <is>
          <t>N�o</t>
        </is>
      </c>
    </row>
    <row r="189">
      <c r="A189" s="1">
        <f>HYPERLINK("https://eurofarma-latam-crm.veevavault.com/#object/account__v/V4TZ025E8BS90TM", "Larissa Neves")</f>
        <v/>
      </c>
      <c r="B189" s="1">
        <f>HYPERLINK("https://eurofarma-latam-crm.veevavault.com/#object/account__v/V4TZ025E8BS90TM", "Larissa Lorrhan Santos Neves")</f>
        <v/>
      </c>
      <c r="C189" t="inlineStr">
        <is>
          <t>MG0104581,RJ1347250</t>
        </is>
      </c>
      <c r="D189" t="inlineStr">
        <is>
          <t>CLG / PA</t>
        </is>
      </c>
      <c r="E189" t="inlineStr">
        <is>
          <t>Rodovia BR-493, S/N</t>
        </is>
      </c>
      <c r="F189" t="inlineStr">
        <is>
          <t>Centro (Manilha)</t>
        </is>
      </c>
      <c r="G189" t="inlineStr">
        <is>
          <t>Itaboraí</t>
        </is>
      </c>
      <c r="H189" t="inlineStr">
        <is>
          <t>RJ</t>
        </is>
      </c>
      <c r="I189" t="n">
        <v>5149</v>
      </c>
      <c r="J189" t="inlineStr">
        <is>
          <t>CAT 5</t>
        </is>
      </c>
      <c r="K189" t="inlineStr">
        <is>
          <t>Sim</t>
        </is>
      </c>
    </row>
    <row r="190">
      <c r="A190" s="1">
        <f>HYPERLINK("https://eurofarma-latam-crm.veevavault.com/#object/account__v/V4TZ025E84WE3O2", "Larissa Rocha")</f>
        <v/>
      </c>
      <c r="B190" s="1">
        <f>HYPERLINK("https://eurofarma-latam-crm.veevavault.com/#object/account__v/V4TZ025E84WE3O2", "Larissa Silvestre Teixeira Rocha")</f>
        <v/>
      </c>
      <c r="C190" t="inlineStr">
        <is>
          <t>RJ1308025</t>
        </is>
      </c>
      <c r="D190" t="inlineStr">
        <is>
          <t>PED</t>
        </is>
      </c>
      <c r="E190" t="inlineStr">
        <is>
          <t>Estrada da Gávea, 577</t>
        </is>
      </c>
      <c r="F190" t="inlineStr">
        <is>
          <t>Gávea</t>
        </is>
      </c>
      <c r="G190" t="inlineStr">
        <is>
          <t>Rio de Janeiro</t>
        </is>
      </c>
      <c r="H190" t="inlineStr">
        <is>
          <t>RJ</t>
        </is>
      </c>
      <c r="I190" t="n">
        <v>5149</v>
      </c>
      <c r="J190" t="inlineStr">
        <is>
          <t>CAT 4</t>
        </is>
      </c>
      <c r="K190" t="inlineStr">
        <is>
          <t>Sim</t>
        </is>
      </c>
    </row>
    <row r="191">
      <c r="A191" s="1">
        <f>HYPERLINK("https://eurofarma-latam-crm.veevavault.com/#object/account__v/V4TZ025E859AFN9", "Larissa Silva")</f>
        <v/>
      </c>
      <c r="B191" s="1">
        <f>HYPERLINK("https://eurofarma-latam-crm.veevavault.com/#object/account__v/V4TZ025E859AFN9", "Larissa Matheus Silva")</f>
        <v/>
      </c>
      <c r="C191" t="inlineStr">
        <is>
          <t>RJ1311859</t>
        </is>
      </c>
      <c r="D191" t="inlineStr">
        <is>
          <t>CLG / PA</t>
        </is>
      </c>
      <c r="E191" t="inlineStr">
        <is>
          <t>Praça Estefania de Carvalho, 26</t>
        </is>
      </c>
      <c r="F191" t="inlineStr">
        <is>
          <t>Zé Garoto</t>
        </is>
      </c>
      <c r="G191" t="inlineStr">
        <is>
          <t>São Gonçalo</t>
        </is>
      </c>
      <c r="H191" t="inlineStr">
        <is>
          <t>RJ</t>
        </is>
      </c>
      <c r="I191" t="n">
        <v>5149</v>
      </c>
      <c r="J191" t="inlineStr">
        <is>
          <t>CAT 4</t>
        </is>
      </c>
      <c r="K191" t="inlineStr">
        <is>
          <t>Sim</t>
        </is>
      </c>
    </row>
    <row r="192">
      <c r="A192" s="1">
        <f>HYPERLINK("https://eurofarma-latam-crm.veevavault.com/#object/account__v/V4TZ000018NYQHP", "Leila de Lamatta")</f>
        <v/>
      </c>
      <c r="B192" s="1">
        <f>HYPERLINK("https://eurofarma-latam-crm.veevavault.com/#object/account__v/V4TZ000018NYQHP", "Leila Ribeiro de Lamatta")</f>
        <v/>
      </c>
      <c r="C192" t="inlineStr">
        <is>
          <t>RJ0452418</t>
        </is>
      </c>
      <c r="D192" t="inlineStr">
        <is>
          <t>CLG / PA</t>
        </is>
      </c>
      <c r="E192" t="inlineStr">
        <is>
          <t>Rodovia BR-101, S/N - Km 265</t>
        </is>
      </c>
      <c r="F192" t="inlineStr">
        <is>
          <t>Praça Cruzeiro</t>
        </is>
      </c>
      <c r="G192" t="inlineStr">
        <is>
          <t>Rio Bonito</t>
        </is>
      </c>
      <c r="H192" t="inlineStr">
        <is>
          <t>RJ</t>
        </is>
      </c>
      <c r="I192" t="n">
        <v>5149</v>
      </c>
      <c r="J192" t="inlineStr">
        <is>
          <t>CAT 4</t>
        </is>
      </c>
      <c r="K192" t="inlineStr">
        <is>
          <t>Sim</t>
        </is>
      </c>
    </row>
    <row r="193">
      <c r="A193" s="1">
        <f>HYPERLINK("https://eurofarma-latam-crm.veevavault.com/#object/account__v/V4TZ04ASGMC8JFZ", "Leonardo Filho")</f>
        <v/>
      </c>
      <c r="B193" s="1">
        <f>HYPERLINK("https://eurofarma-latam-crm.veevavault.com/#object/account__v/V4TZ04ASGMC8JFZ", "Leonardo Carvalho Lattanzi Filho")</f>
        <v/>
      </c>
      <c r="C193" t="inlineStr">
        <is>
          <t>RJ1377679</t>
        </is>
      </c>
      <c r="D193" t="inlineStr">
        <is>
          <t>CLG / PA</t>
        </is>
      </c>
      <c r="E193" t="inlineStr">
        <is>
          <t>Rua Osório Costa, S/N</t>
        </is>
      </c>
      <c r="F193" t="inlineStr">
        <is>
          <t>Colubande</t>
        </is>
      </c>
      <c r="G193" t="inlineStr">
        <is>
          <t>São Gonçalo</t>
        </is>
      </c>
      <c r="H193" t="inlineStr">
        <is>
          <t>RJ</t>
        </is>
      </c>
      <c r="I193" t="n">
        <v>5149</v>
      </c>
      <c r="J193" t="inlineStr">
        <is>
          <t>CAT 5</t>
        </is>
      </c>
      <c r="K193" t="inlineStr">
        <is>
          <t>Sim</t>
        </is>
      </c>
    </row>
    <row r="194">
      <c r="A194" s="1">
        <f>HYPERLINK("https://eurofarma-latam-crm.veevavault.com/#object/account__v/V4TZ0000191652G", "Leonardo Oba")</f>
        <v/>
      </c>
      <c r="B194" s="1">
        <f>HYPERLINK("https://eurofarma-latam-crm.veevavault.com/#object/account__v/V4TZ0000191652G", "Leonardo Hayato Araujo Oba")</f>
        <v/>
      </c>
      <c r="C194" t="inlineStr">
        <is>
          <t>RJ1096591</t>
        </is>
      </c>
      <c r="D194" t="inlineStr">
        <is>
          <t>CLG / SNC</t>
        </is>
      </c>
      <c r="E194" t="inlineStr">
        <is>
          <t>Rua Oswaldo Cruz, S/N</t>
        </is>
      </c>
      <c r="F194" t="inlineStr">
        <is>
          <t>Bananal</t>
        </is>
      </c>
      <c r="G194" t="inlineStr">
        <is>
          <t>Guapimirim</t>
        </is>
      </c>
      <c r="H194" t="inlineStr">
        <is>
          <t>RJ</t>
        </is>
      </c>
      <c r="I194" t="n">
        <v>5149</v>
      </c>
      <c r="J194" t="inlineStr">
        <is>
          <t>CAT 4</t>
        </is>
      </c>
      <c r="K194" t="inlineStr">
        <is>
          <t>Sim</t>
        </is>
      </c>
    </row>
    <row r="195">
      <c r="A195" s="1">
        <f>HYPERLINK("https://eurofarma-latam-crm.veevavault.com/#object/account__v/V4TZ00001913393", "Letícia da Fonseca")</f>
        <v/>
      </c>
      <c r="B195" s="1">
        <f>HYPERLINK("https://eurofarma-latam-crm.veevavault.com/#object/account__v/V4TZ00001913393", "Letícia Souza da Fonseca")</f>
        <v/>
      </c>
      <c r="C195" t="inlineStr">
        <is>
          <t>RJ0921475</t>
        </is>
      </c>
      <c r="D195" t="inlineStr">
        <is>
          <t>RMT</t>
        </is>
      </c>
      <c r="E195" t="inlineStr">
        <is>
          <t>Rua Miguel de Frias, 51 - Sala 707</t>
        </is>
      </c>
      <c r="F195" t="inlineStr">
        <is>
          <t>Icaraí</t>
        </is>
      </c>
      <c r="G195" t="inlineStr">
        <is>
          <t>Niterói</t>
        </is>
      </c>
      <c r="H195" t="inlineStr">
        <is>
          <t>RJ</t>
        </is>
      </c>
      <c r="I195" t="n">
        <v>5149</v>
      </c>
      <c r="J195" t="inlineStr">
        <is>
          <t>CAT 2</t>
        </is>
      </c>
      <c r="K195" t="inlineStr">
        <is>
          <t>Sim</t>
        </is>
      </c>
    </row>
    <row r="196">
      <c r="A196" s="1">
        <f>HYPERLINK("https://eurofarma-latam-crm.veevavault.com/#object/account__v/V4TZ04ASGMSTK18", "Letícia Souza")</f>
        <v/>
      </c>
      <c r="B196" s="1">
        <f>HYPERLINK("https://eurofarma-latam-crm.veevavault.com/#object/account__v/V4TZ04ASGMSTK18", "Letícia Raquel Carvalho De Souza")</f>
        <v/>
      </c>
      <c r="C196" t="inlineStr">
        <is>
          <t>RJ1383604</t>
        </is>
      </c>
      <c r="D196" t="inlineStr">
        <is>
          <t>CLG / PA</t>
        </is>
      </c>
      <c r="E196" t="inlineStr">
        <is>
          <t>Rodovia BR-493, S/N</t>
        </is>
      </c>
      <c r="F196" t="inlineStr">
        <is>
          <t>Centro (Manilha)</t>
        </is>
      </c>
      <c r="G196" t="inlineStr">
        <is>
          <t>Itaboraí</t>
        </is>
      </c>
      <c r="H196" t="inlineStr">
        <is>
          <t>RJ</t>
        </is>
      </c>
      <c r="I196" t="n">
        <v>5149</v>
      </c>
      <c r="J196" t="inlineStr"/>
      <c r="K196" t="inlineStr"/>
    </row>
    <row r="197">
      <c r="A197" s="1">
        <f>HYPERLINK("https://eurofarma-latam-crm.veevavault.com/#object/account__v/V4TZ000018NXQVX", "Lisia de Faria")</f>
        <v/>
      </c>
      <c r="B197" s="1">
        <f>HYPERLINK("https://eurofarma-latam-crm.veevavault.com/#object/account__v/V4TZ000018NXQVX", "Lisia Silva de Faria")</f>
        <v/>
      </c>
      <c r="C197" t="inlineStr">
        <is>
          <t>RJ0506086</t>
        </is>
      </c>
      <c r="D197" t="inlineStr">
        <is>
          <t>PSQ</t>
        </is>
      </c>
      <c r="E197" t="inlineStr">
        <is>
          <t>Rua República, S/N</t>
        </is>
      </c>
      <c r="F197" t="inlineStr">
        <is>
          <t>Vila Ideal</t>
        </is>
      </c>
      <c r="G197" t="inlineStr">
        <is>
          <t>Duque de Caxias</t>
        </is>
      </c>
      <c r="H197" t="inlineStr">
        <is>
          <t>RJ</t>
        </is>
      </c>
      <c r="I197" t="n">
        <v>5149</v>
      </c>
      <c r="J197" t="inlineStr"/>
      <c r="K197" t="inlineStr"/>
    </row>
    <row r="198">
      <c r="A198" s="1">
        <f>HYPERLINK("https://eurofarma-latam-crm.veevavault.com/#object/account__v/V4TZ00001912WT6", "Loide Rego")</f>
        <v/>
      </c>
      <c r="B198" s="1">
        <f>HYPERLINK("https://eurofarma-latam-crm.veevavault.com/#object/account__v/V4TZ00001912WT6", "Loide de Oliveira Rego")</f>
        <v/>
      </c>
      <c r="C198" t="inlineStr">
        <is>
          <t>RJ0318830</t>
        </is>
      </c>
      <c r="D198" t="inlineStr">
        <is>
          <t>PED</t>
        </is>
      </c>
      <c r="E198" t="inlineStr">
        <is>
          <t>Rua Manuel João Gonçalves, 204</t>
        </is>
      </c>
      <c r="F198" t="inlineStr">
        <is>
          <t>Alcântara</t>
        </is>
      </c>
      <c r="G198" t="inlineStr">
        <is>
          <t>São Gonçalo</t>
        </is>
      </c>
      <c r="H198" t="inlineStr">
        <is>
          <t>RJ</t>
        </is>
      </c>
      <c r="I198" t="n">
        <v>5149</v>
      </c>
      <c r="J198" t="inlineStr">
        <is>
          <t>CAT 5</t>
        </is>
      </c>
      <c r="K198" t="inlineStr">
        <is>
          <t>Sim</t>
        </is>
      </c>
    </row>
    <row r="199">
      <c r="A199" s="1">
        <f>HYPERLINK("https://eurofarma-latam-crm.veevavault.com/#object/account__v/V4TZ000019139GH", "Louise Massaud")</f>
        <v/>
      </c>
      <c r="B199" s="1">
        <f>HYPERLINK("https://eurofarma-latam-crm.veevavault.com/#object/account__v/V4TZ000019139GH", "Louise Lutterbach Massaud")</f>
        <v/>
      </c>
      <c r="C199" t="inlineStr">
        <is>
          <t>RJ0859567</t>
        </is>
      </c>
      <c r="D199" t="inlineStr">
        <is>
          <t>CLG / PA</t>
        </is>
      </c>
      <c r="E199" t="inlineStr">
        <is>
          <t>Avenida Brasil, 108 - Quadra 51 Lote 19</t>
        </is>
      </c>
      <c r="F199" t="inlineStr">
        <is>
          <t>Vila São Luís</t>
        </is>
      </c>
      <c r="G199" t="inlineStr">
        <is>
          <t>Duque de Caxias</t>
        </is>
      </c>
      <c r="H199" t="inlineStr">
        <is>
          <t>RJ</t>
        </is>
      </c>
      <c r="I199" t="n">
        <v>5149</v>
      </c>
      <c r="J199" t="inlineStr">
        <is>
          <t>CAT 5</t>
        </is>
      </c>
      <c r="K199" t="inlineStr">
        <is>
          <t>Sim</t>
        </is>
      </c>
    </row>
    <row r="200">
      <c r="A200" s="1">
        <f>HYPERLINK("https://eurofarma-latam-crm.veevavault.com/#object/account__v/V4TZ025E89TBHQR", "Lucas Gabriel Lopes")</f>
        <v/>
      </c>
      <c r="B200" s="1">
        <f>HYPERLINK("https://eurofarma-latam-crm.veevavault.com/#object/account__v/V4TZ025E89TBHQR", "Lucas Gabriel Silva Lopes")</f>
        <v/>
      </c>
      <c r="C200" t="inlineStr">
        <is>
          <t>RJ1339567</t>
        </is>
      </c>
      <c r="D200" t="inlineStr">
        <is>
          <t>CLG / PA</t>
        </is>
      </c>
      <c r="E200" t="inlineStr">
        <is>
          <t>Rua 42, S/N - Qd 82 Lotmto C</t>
        </is>
      </c>
      <c r="F200" t="inlineStr">
        <is>
          <t>Grande Rio</t>
        </is>
      </c>
      <c r="G200" t="inlineStr">
        <is>
          <t>Rio das Ostras</t>
        </is>
      </c>
      <c r="H200" t="inlineStr">
        <is>
          <t>RJ</t>
        </is>
      </c>
      <c r="I200" t="n">
        <v>5149</v>
      </c>
      <c r="J200" t="inlineStr">
        <is>
          <t>CAT 4</t>
        </is>
      </c>
      <c r="K200" t="inlineStr">
        <is>
          <t>Sim</t>
        </is>
      </c>
    </row>
    <row r="201">
      <c r="A201" s="1">
        <f>HYPERLINK("https://eurofarma-latam-crm.veevavault.com/#object/account__v/V4TZ025E82RBE5X", "Lucas Hobaik")</f>
        <v/>
      </c>
      <c r="B201" s="1">
        <f>HYPERLINK("https://eurofarma-latam-crm.veevavault.com/#object/account__v/V4TZ025E82RBE5X", "Lucas Vasques de Paula Hobaik")</f>
        <v/>
      </c>
      <c r="C201" t="inlineStr">
        <is>
          <t>RJ1268694</t>
        </is>
      </c>
      <c r="D201" t="inlineStr">
        <is>
          <t>PED</t>
        </is>
      </c>
      <c r="E201" t="inlineStr">
        <is>
          <t>Avenida Ayrton Senna, 2000</t>
        </is>
      </c>
      <c r="F201" t="inlineStr">
        <is>
          <t>Barra da Tijuca</t>
        </is>
      </c>
      <c r="G201" t="inlineStr">
        <is>
          <t>Rio de Janeiro</t>
        </is>
      </c>
      <c r="H201" t="inlineStr">
        <is>
          <t>RJ</t>
        </is>
      </c>
      <c r="I201" t="n">
        <v>5149</v>
      </c>
      <c r="J201" t="inlineStr">
        <is>
          <t>CAT 5</t>
        </is>
      </c>
      <c r="K201" t="inlineStr">
        <is>
          <t>Sim</t>
        </is>
      </c>
    </row>
    <row r="202">
      <c r="A202" s="1">
        <f>HYPERLINK("https://eurofarma-latam-crm.veevavault.com/#object/account__v/V4TZ00001913DU5", "Lucas Santos")</f>
        <v/>
      </c>
      <c r="B202" s="1">
        <f>HYPERLINK("https://eurofarma-latam-crm.veevavault.com/#object/account__v/V4TZ00001913DU5", "Lucas Vargas Santos")</f>
        <v/>
      </c>
      <c r="C202" t="inlineStr">
        <is>
          <t>RJ1247824</t>
        </is>
      </c>
      <c r="D202" t="inlineStr">
        <is>
          <t>CLG / PA</t>
        </is>
      </c>
      <c r="E202" t="inlineStr">
        <is>
          <t>Estrada Prefeito Álvaro de Carvalho Júnior, S/N</t>
        </is>
      </c>
      <c r="F202" t="inlineStr">
        <is>
          <t>Nancilândia</t>
        </is>
      </c>
      <c r="G202" t="inlineStr">
        <is>
          <t>Itaboraí</t>
        </is>
      </c>
      <c r="H202" t="inlineStr">
        <is>
          <t>RJ</t>
        </is>
      </c>
      <c r="I202" t="n">
        <v>5149</v>
      </c>
      <c r="J202" t="inlineStr">
        <is>
          <t>CAT 5</t>
        </is>
      </c>
      <c r="K202" t="inlineStr">
        <is>
          <t>N�o</t>
        </is>
      </c>
    </row>
    <row r="203">
      <c r="A203" s="1">
        <f>HYPERLINK("https://eurofarma-latam-crm.veevavault.com/#object/account__v/V4TZ000018NXIXN", "Lucia Carvalho")</f>
        <v/>
      </c>
      <c r="B203" s="1">
        <f>HYPERLINK("https://eurofarma-latam-crm.veevavault.com/#object/account__v/V4TZ000018NXIXN", "Lucia Pereira Carvalho")</f>
        <v/>
      </c>
      <c r="C203" t="inlineStr">
        <is>
          <t>RJ0591287</t>
        </is>
      </c>
      <c r="D203" t="inlineStr">
        <is>
          <t>PED</t>
        </is>
      </c>
      <c r="E203" t="inlineStr">
        <is>
          <t>Rua Lindolfo Collor, 8</t>
        </is>
      </c>
      <c r="F203" t="inlineStr">
        <is>
          <t>Cavaleiros</t>
        </is>
      </c>
      <c r="G203" t="inlineStr">
        <is>
          <t>Macaé</t>
        </is>
      </c>
      <c r="H203" t="inlineStr">
        <is>
          <t>RJ</t>
        </is>
      </c>
      <c r="I203" t="n">
        <v>5149</v>
      </c>
      <c r="J203" t="inlineStr">
        <is>
          <t>CAT 4</t>
        </is>
      </c>
      <c r="K203" t="inlineStr">
        <is>
          <t>Sim</t>
        </is>
      </c>
    </row>
    <row r="204">
      <c r="A204" s="1">
        <f>HYPERLINK("https://eurofarma-latam-crm.veevavault.com/#object/account__v/V4TZ000018NXPDF", "Luciana Pinheiro")</f>
        <v/>
      </c>
      <c r="B204" s="1">
        <f>HYPERLINK("https://eurofarma-latam-crm.veevavault.com/#object/account__v/V4TZ000018NXPDF", "Luciana Gomes Pinheiro")</f>
        <v/>
      </c>
      <c r="C204" t="inlineStr">
        <is>
          <t>RJ0738620</t>
        </is>
      </c>
      <c r="D204" t="inlineStr">
        <is>
          <t>CLG</t>
        </is>
      </c>
      <c r="E204" t="inlineStr">
        <is>
          <t>Rua Moncorvo Filho, 90</t>
        </is>
      </c>
      <c r="F204" t="inlineStr">
        <is>
          <t>Centro</t>
        </is>
      </c>
      <c r="G204" t="inlineStr">
        <is>
          <t>Rio de Janeiro</t>
        </is>
      </c>
      <c r="H204" t="inlineStr">
        <is>
          <t>RJ</t>
        </is>
      </c>
      <c r="I204" t="n">
        <v>5149</v>
      </c>
      <c r="J204" t="inlineStr">
        <is>
          <t>CAT 4</t>
        </is>
      </c>
      <c r="K204" t="inlineStr">
        <is>
          <t>Sim</t>
        </is>
      </c>
    </row>
    <row r="205">
      <c r="A205" s="1">
        <f>HYPERLINK("https://eurofarma-latam-crm.veevavault.com/#object/account__v/V4TZ000019133N2", "Luciano Silva")</f>
        <v/>
      </c>
      <c r="B205" s="1">
        <f>HYPERLINK("https://eurofarma-latam-crm.veevavault.com/#object/account__v/V4TZ000019133N2", "Luciano Bertonceli Silva")</f>
        <v/>
      </c>
      <c r="C205" t="inlineStr">
        <is>
          <t>RJ0917010</t>
        </is>
      </c>
      <c r="D205" t="inlineStr">
        <is>
          <t>ORL</t>
        </is>
      </c>
      <c r="E205" t="inlineStr">
        <is>
          <t>Rua César Xará, 781 - Bloco 01</t>
        </is>
      </c>
      <c r="F205" t="inlineStr">
        <is>
          <t>Quissamã</t>
        </is>
      </c>
      <c r="G205" t="inlineStr">
        <is>
          <t>Itaboraí</t>
        </is>
      </c>
      <c r="H205" t="inlineStr">
        <is>
          <t>RJ</t>
        </is>
      </c>
      <c r="I205" t="n">
        <v>5149</v>
      </c>
      <c r="J205" t="inlineStr">
        <is>
          <t>CAT 4</t>
        </is>
      </c>
      <c r="K205" t="inlineStr">
        <is>
          <t>Sim</t>
        </is>
      </c>
    </row>
    <row r="206">
      <c r="A206" s="1">
        <f>HYPERLINK("https://eurofarma-latam-crm.veevavault.com/#object/account__v/V4TZ000018NY1FO", "Luis Vasquez")</f>
        <v/>
      </c>
      <c r="B206" s="1">
        <f>HYPERLINK("https://eurofarma-latam-crm.veevavault.com/#object/account__v/V4TZ000018NY1FO", "Luis Gonzales Vasquez")</f>
        <v/>
      </c>
      <c r="C206" t="inlineStr">
        <is>
          <t>RJ0669814</t>
        </is>
      </c>
      <c r="D206" t="inlineStr">
        <is>
          <t>ORT</t>
        </is>
      </c>
      <c r="E206" t="inlineStr">
        <is>
          <t>Rua Presidente Castelo Branco, 170</t>
        </is>
      </c>
      <c r="F206" t="inlineStr">
        <is>
          <t>Centro</t>
        </is>
      </c>
      <c r="G206" t="inlineStr">
        <is>
          <t>Itaboraí</t>
        </is>
      </c>
      <c r="H206" t="inlineStr">
        <is>
          <t>RJ</t>
        </is>
      </c>
      <c r="I206" t="n">
        <v>5149</v>
      </c>
      <c r="J206" t="inlineStr">
        <is>
          <t>CAT 2</t>
        </is>
      </c>
      <c r="K206" t="inlineStr">
        <is>
          <t>Sim</t>
        </is>
      </c>
    </row>
    <row r="207">
      <c r="A207" s="1">
        <f>HYPERLINK("https://eurofarma-latam-crm.veevavault.com/#object/account__v/V4TZ000018NYIMU", "Luiz Antônio Quaglia")</f>
        <v/>
      </c>
      <c r="B207" s="1">
        <f>HYPERLINK("https://eurofarma-latam-crm.veevavault.com/#object/account__v/V4TZ000018NYIMU", "Luiz Antônio Ramos Quaglia")</f>
        <v/>
      </c>
      <c r="C207" t="inlineStr">
        <is>
          <t>RJ0482738</t>
        </is>
      </c>
      <c r="D207" t="inlineStr">
        <is>
          <t>ORL</t>
        </is>
      </c>
      <c r="E207" t="inlineStr">
        <is>
          <t>Rua da Conceição, 15</t>
        </is>
      </c>
      <c r="F207" t="inlineStr">
        <is>
          <t>Centro</t>
        </is>
      </c>
      <c r="G207" t="inlineStr">
        <is>
          <t>Niterói</t>
        </is>
      </c>
      <c r="H207" t="inlineStr">
        <is>
          <t>RJ</t>
        </is>
      </c>
      <c r="I207" t="n">
        <v>5149</v>
      </c>
      <c r="J207" t="inlineStr">
        <is>
          <t>CAT 4</t>
        </is>
      </c>
      <c r="K207" t="inlineStr">
        <is>
          <t>Sim</t>
        </is>
      </c>
    </row>
    <row r="208">
      <c r="A208" s="1">
        <f>HYPERLINK("https://eurofarma-latam-crm.veevavault.com/#object/account__v/V4TZ025E86H3G66", "Luiz Carlos de Oliveira Junior")</f>
        <v/>
      </c>
      <c r="B208" s="1">
        <f>HYPERLINK("https://eurofarma-latam-crm.veevavault.com/#object/account__v/V4TZ025E86H3G66", "Luiz Carlos de Oliveira Junior")</f>
        <v/>
      </c>
      <c r="C208" t="inlineStr">
        <is>
          <t>RJ1320998</t>
        </is>
      </c>
      <c r="D208" t="inlineStr">
        <is>
          <t>CLG / PA</t>
        </is>
      </c>
      <c r="E208" t="inlineStr">
        <is>
          <t>Rodovia BR-493, S/N</t>
        </is>
      </c>
      <c r="F208" t="inlineStr">
        <is>
          <t>Centro (Manilha)</t>
        </is>
      </c>
      <c r="G208" t="inlineStr">
        <is>
          <t>Itaboraí</t>
        </is>
      </c>
      <c r="H208" t="inlineStr">
        <is>
          <t>RJ</t>
        </is>
      </c>
      <c r="I208" t="n">
        <v>5149</v>
      </c>
      <c r="J208" t="inlineStr">
        <is>
          <t>CAT 5</t>
        </is>
      </c>
      <c r="K208" t="inlineStr">
        <is>
          <t>N�o</t>
        </is>
      </c>
    </row>
    <row r="209">
      <c r="A209" s="1">
        <f>HYPERLINK("https://eurofarma-latam-crm.veevavault.com/#object/account__v/V4TZ000018NZ4ZB", "Luiz Cesar Ignácio")</f>
        <v/>
      </c>
      <c r="B209" s="1">
        <f>HYPERLINK("https://eurofarma-latam-crm.veevavault.com/#object/account__v/V4TZ000018NZ4ZB", "Luiz Cesar Guimarães Ignácio")</f>
        <v/>
      </c>
      <c r="C209" t="inlineStr">
        <is>
          <t>RJ0630918</t>
        </is>
      </c>
      <c r="D209" t="inlineStr">
        <is>
          <t>PSQ</t>
        </is>
      </c>
      <c r="E209" t="inlineStr">
        <is>
          <t>Rua Ator Paulo Gustavo, 160</t>
        </is>
      </c>
      <c r="F209" t="inlineStr">
        <is>
          <t>Icaraí</t>
        </is>
      </c>
      <c r="G209" t="inlineStr">
        <is>
          <t>Niterói</t>
        </is>
      </c>
      <c r="H209" t="inlineStr">
        <is>
          <t>RJ</t>
        </is>
      </c>
      <c r="I209" t="n">
        <v>5149</v>
      </c>
      <c r="J209" t="inlineStr">
        <is>
          <t>CAT 2</t>
        </is>
      </c>
      <c r="K209" t="inlineStr">
        <is>
          <t>Sim</t>
        </is>
      </c>
    </row>
    <row r="210">
      <c r="A210" s="1">
        <f>HYPERLINK("https://eurofarma-latam-crm.veevavault.com/#object/account__v/V4TZ025E86BW1KJ", "Luiz Eduardo Azevedo")</f>
        <v/>
      </c>
      <c r="B210" s="1">
        <f>HYPERLINK("https://eurofarma-latam-crm.veevavault.com/#object/account__v/V4TZ025E86BW1KJ", "Luiz Eduardo de Queiroz Azevedo")</f>
        <v/>
      </c>
      <c r="C210" t="inlineStr">
        <is>
          <t>RJ0952958</t>
        </is>
      </c>
      <c r="D210" t="inlineStr">
        <is>
          <t>ORT</t>
        </is>
      </c>
      <c r="E210" t="inlineStr">
        <is>
          <t>Avenida Amaro Cavalcanti, 495</t>
        </is>
      </c>
      <c r="F210" t="inlineStr">
        <is>
          <t>Méier</t>
        </is>
      </c>
      <c r="G210" t="inlineStr">
        <is>
          <t>Rio de Janeiro</t>
        </is>
      </c>
      <c r="H210" t="inlineStr">
        <is>
          <t>RJ</t>
        </is>
      </c>
      <c r="I210" t="n">
        <v>5149</v>
      </c>
      <c r="J210" t="inlineStr">
        <is>
          <t>CAT 4</t>
        </is>
      </c>
      <c r="K210" t="inlineStr">
        <is>
          <t>Sim</t>
        </is>
      </c>
    </row>
    <row r="211">
      <c r="A211" s="1">
        <f>HYPERLINK("https://eurofarma-latam-crm.veevavault.com/#object/account__v/V4TZ00001914VGA", "Luiz Fernando de Araújo")</f>
        <v/>
      </c>
      <c r="B211" s="1">
        <f>HYPERLINK("https://eurofarma-latam-crm.veevavault.com/#object/account__v/V4TZ00001914VGA", "Luiz Fernando Cappelli Toledo de Araújo")</f>
        <v/>
      </c>
      <c r="C211" t="inlineStr">
        <is>
          <t>RJ0850888</t>
        </is>
      </c>
      <c r="D211" t="inlineStr">
        <is>
          <t>ORT</t>
        </is>
      </c>
      <c r="E211" t="inlineStr">
        <is>
          <t>Rua Reverendo Armando Ferreira, S/N</t>
        </is>
      </c>
      <c r="F211" t="inlineStr">
        <is>
          <t>Largo da Batalha</t>
        </is>
      </c>
      <c r="G211" t="inlineStr">
        <is>
          <t>Niterói</t>
        </is>
      </c>
      <c r="H211" t="inlineStr">
        <is>
          <t>RJ</t>
        </is>
      </c>
      <c r="I211" t="n">
        <v>5149</v>
      </c>
      <c r="J211" t="inlineStr"/>
      <c r="K211" t="inlineStr"/>
    </row>
    <row r="212">
      <c r="A212" s="1">
        <f>HYPERLINK("https://eurofarma-latam-crm.veevavault.com/#object/account__v/V4TZ025E8EPCR92", "Luiz Oliveira")</f>
        <v/>
      </c>
      <c r="B212" s="1">
        <f>HYPERLINK("https://eurofarma-latam-crm.veevavault.com/#object/account__v/V4TZ025E8EPCR92", "Luiz Eduardo Dos Santos Medeiros De Oliveira")</f>
        <v/>
      </c>
      <c r="C212" t="inlineStr">
        <is>
          <t>RJ1365966</t>
        </is>
      </c>
      <c r="D212" t="inlineStr">
        <is>
          <t>PED</t>
        </is>
      </c>
      <c r="E212" t="inlineStr">
        <is>
          <t>Estrada do Pacheco, 1051</t>
        </is>
      </c>
      <c r="F212" t="inlineStr">
        <is>
          <t>Pacheco</t>
        </is>
      </c>
      <c r="G212" t="inlineStr">
        <is>
          <t>São Gonçalo</t>
        </is>
      </c>
      <c r="H212" t="inlineStr">
        <is>
          <t>RJ</t>
        </is>
      </c>
      <c r="I212" t="n">
        <v>5149</v>
      </c>
      <c r="J212" t="inlineStr">
        <is>
          <t>CAT 5</t>
        </is>
      </c>
      <c r="K212" t="inlineStr">
        <is>
          <t>N�o</t>
        </is>
      </c>
    </row>
    <row r="213">
      <c r="A213" s="1">
        <f>HYPERLINK("https://eurofarma-latam-crm.veevavault.com/#object/account__v/V4TZ025E8EY0AOR", "Luiza Motta")</f>
        <v/>
      </c>
      <c r="B213" s="1">
        <f>HYPERLINK("https://eurofarma-latam-crm.veevavault.com/#object/account__v/V4TZ025E8EY0AOR", "Luiza De Lemos Motta")</f>
        <v/>
      </c>
      <c r="C213" t="inlineStr">
        <is>
          <t>RJ1372612</t>
        </is>
      </c>
      <c r="D213" t="inlineStr">
        <is>
          <t>CLG / PA</t>
        </is>
      </c>
      <c r="E213" t="inlineStr">
        <is>
          <t>Rua da Gamboa, 303</t>
        </is>
      </c>
      <c r="F213" t="inlineStr">
        <is>
          <t>Gamboa</t>
        </is>
      </c>
      <c r="G213" t="inlineStr">
        <is>
          <t>Rio de Janeiro</t>
        </is>
      </c>
      <c r="H213" t="inlineStr">
        <is>
          <t>RJ</t>
        </is>
      </c>
      <c r="I213" t="n">
        <v>5149</v>
      </c>
      <c r="J213" t="inlineStr">
        <is>
          <t>CAT 5</t>
        </is>
      </c>
      <c r="K213" t="inlineStr">
        <is>
          <t>Sim</t>
        </is>
      </c>
    </row>
    <row r="214">
      <c r="A214" s="1">
        <f>HYPERLINK("https://eurofarma-latam-crm.veevavault.com/#object/account__v/V4TZ025E852ZKTN", "Maicon Natal")</f>
        <v/>
      </c>
      <c r="B214" s="1">
        <f>HYPERLINK("https://eurofarma-latam-crm.veevavault.com/#object/account__v/V4TZ025E852ZKTN", "Maicon Natal")</f>
        <v/>
      </c>
      <c r="C214" t="inlineStr">
        <is>
          <t>RJ1339532</t>
        </is>
      </c>
      <c r="D214" t="inlineStr">
        <is>
          <t>CLG / PA</t>
        </is>
      </c>
      <c r="E214" t="inlineStr">
        <is>
          <t>Rodovia BR-493, S/N</t>
        </is>
      </c>
      <c r="F214" t="inlineStr">
        <is>
          <t>Centro (Manilha)</t>
        </is>
      </c>
      <c r="G214" t="inlineStr">
        <is>
          <t>Itaboraí</t>
        </is>
      </c>
      <c r="H214" t="inlineStr">
        <is>
          <t>RJ</t>
        </is>
      </c>
      <c r="I214" t="n">
        <v>5149</v>
      </c>
      <c r="J214" t="inlineStr"/>
      <c r="K214" t="inlineStr"/>
    </row>
    <row r="215">
      <c r="A215" s="1">
        <f>HYPERLINK("https://eurofarma-latam-crm.veevavault.com/#object/account__v/V4TZ025E82NOOOT", "Manoel Figueiredo Neto")</f>
        <v/>
      </c>
      <c r="B215" s="1">
        <f>HYPERLINK("https://eurofarma-latam-crm.veevavault.com/#object/account__v/V4TZ025E82NOOOT", "Manoel Alves Figueiredo Neto")</f>
        <v/>
      </c>
      <c r="C215" t="inlineStr">
        <is>
          <t>MG0093432,RJ1280422</t>
        </is>
      </c>
      <c r="D215" t="inlineStr">
        <is>
          <t>PED</t>
        </is>
      </c>
      <c r="E215" t="inlineStr">
        <is>
          <t>Avenida Bispo Dom João da Mata, S/N</t>
        </is>
      </c>
      <c r="F215" t="inlineStr">
        <is>
          <t>Laranjal</t>
        </is>
      </c>
      <c r="G215" t="inlineStr">
        <is>
          <t>São Gonçalo</t>
        </is>
      </c>
      <c r="H215" t="inlineStr">
        <is>
          <t>RJ</t>
        </is>
      </c>
      <c r="I215" t="n">
        <v>5149</v>
      </c>
      <c r="J215" t="inlineStr">
        <is>
          <t>CAT 5</t>
        </is>
      </c>
      <c r="K215" t="inlineStr">
        <is>
          <t>N�o</t>
        </is>
      </c>
    </row>
    <row r="216">
      <c r="A216" s="1">
        <f>HYPERLINK("https://eurofarma-latam-crm.veevavault.com/#object/account__v/V4TZ000018NYLCQ", "Márcia da Cruz")</f>
        <v/>
      </c>
      <c r="B216" s="1">
        <f>HYPERLINK("https://eurofarma-latam-crm.veevavault.com/#object/account__v/V4TZ000018NYLCQ", "Márcia Coutinho da Cruz")</f>
        <v/>
      </c>
      <c r="C216" t="inlineStr">
        <is>
          <t>RJ1182250,SC0038203</t>
        </is>
      </c>
      <c r="D216" t="inlineStr">
        <is>
          <t>PED</t>
        </is>
      </c>
      <c r="E216" t="inlineStr">
        <is>
          <t>Rua Coronel Vitório, 934</t>
        </is>
      </c>
      <c r="F216" t="inlineStr">
        <is>
          <t>Centro</t>
        </is>
      </c>
      <c r="G216" t="inlineStr">
        <is>
          <t>Vargem Bonita</t>
        </is>
      </c>
      <c r="H216" t="inlineStr">
        <is>
          <t>SC</t>
        </is>
      </c>
      <c r="I216" t="n">
        <v>5149</v>
      </c>
      <c r="J216" t="inlineStr">
        <is>
          <t>CAT 5</t>
        </is>
      </c>
      <c r="K216" t="inlineStr">
        <is>
          <t>Sim</t>
        </is>
      </c>
    </row>
    <row r="217">
      <c r="A217" s="1">
        <f>HYPERLINK("https://eurofarma-latam-crm.veevavault.com/#object/account__v/V4TZ000018NYVKX", "Marcilio Souza")</f>
        <v/>
      </c>
      <c r="B217" s="1">
        <f>HYPERLINK("https://eurofarma-latam-crm.veevavault.com/#object/account__v/V4TZ000018NYVKX", "Marcilio Henrique de Souza")</f>
        <v/>
      </c>
      <c r="C217" t="inlineStr">
        <is>
          <t>RJ0454713</t>
        </is>
      </c>
      <c r="D217" t="inlineStr">
        <is>
          <t>CLG / SNC</t>
        </is>
      </c>
      <c r="E217" t="inlineStr">
        <is>
          <t>Avenida Luiz Fernando de Oliveira Nanci, S/N - Lote 08 Quadra04</t>
        </is>
      </c>
      <c r="F217" t="inlineStr">
        <is>
          <t>Nancilândia</t>
        </is>
      </c>
      <c r="G217" t="inlineStr">
        <is>
          <t>Itaboraí</t>
        </is>
      </c>
      <c r="H217" t="inlineStr">
        <is>
          <t>RJ</t>
        </is>
      </c>
      <c r="I217" t="n">
        <v>5149</v>
      </c>
      <c r="J217" t="inlineStr">
        <is>
          <t>CAT 1</t>
        </is>
      </c>
      <c r="K217" t="inlineStr">
        <is>
          <t>Sim</t>
        </is>
      </c>
    </row>
    <row r="218">
      <c r="A218" s="1">
        <f>HYPERLINK("https://eurofarma-latam-crm.veevavault.com/#object/account__v/V4TZ000018NXLM1", "Marcio Kleber da Costa")</f>
        <v/>
      </c>
      <c r="B218" s="1">
        <f>HYPERLINK("https://eurofarma-latam-crm.veevavault.com/#object/account__v/V4TZ000018NXLM1", "Marcio Kleber Pereira Torreao da Costa")</f>
        <v/>
      </c>
      <c r="C218" t="inlineStr">
        <is>
          <t>RJ0183905</t>
        </is>
      </c>
      <c r="D218" t="inlineStr">
        <is>
          <t>PED</t>
        </is>
      </c>
      <c r="E218" t="inlineStr">
        <is>
          <t>Rua Doutor Alfredo Backer, 374</t>
        </is>
      </c>
      <c r="F218" t="inlineStr">
        <is>
          <t>Alcântara</t>
        </is>
      </c>
      <c r="G218" t="inlineStr">
        <is>
          <t>São Gonçalo</t>
        </is>
      </c>
      <c r="H218" t="inlineStr">
        <is>
          <t>RJ</t>
        </is>
      </c>
      <c r="I218" t="n">
        <v>5149</v>
      </c>
      <c r="J218" t="inlineStr">
        <is>
          <t>CAT 5</t>
        </is>
      </c>
      <c r="K218" t="inlineStr">
        <is>
          <t>Sim</t>
        </is>
      </c>
    </row>
    <row r="219">
      <c r="A219" s="1">
        <f>HYPERLINK("https://eurofarma-latam-crm.veevavault.com/#object/account__v/V4TZ00001914OQA", "Marco Túlio Risso")</f>
        <v/>
      </c>
      <c r="B219" s="1">
        <f>HYPERLINK("https://eurofarma-latam-crm.veevavault.com/#object/account__v/V4TZ00001914OQA", "Marco Túlio de Andrade Risso")</f>
        <v/>
      </c>
      <c r="C219" t="inlineStr">
        <is>
          <t>RJ0565410</t>
        </is>
      </c>
      <c r="D219" t="inlineStr">
        <is>
          <t>CLG / SNC</t>
        </is>
      </c>
      <c r="E219" t="inlineStr">
        <is>
          <t>Avenida Pastor Martin Luther King Jr, 126 - Bloco A 3 Pavimento Salas 354/355</t>
        </is>
      </c>
      <c r="F219" t="inlineStr">
        <is>
          <t>Del Castilho</t>
        </is>
      </c>
      <c r="G219" t="inlineStr">
        <is>
          <t>Rio de Janeiro</t>
        </is>
      </c>
      <c r="H219" t="inlineStr">
        <is>
          <t>RJ</t>
        </is>
      </c>
      <c r="I219" t="n">
        <v>5149</v>
      </c>
      <c r="J219" t="inlineStr">
        <is>
          <t>CAT 1</t>
        </is>
      </c>
      <c r="K219" t="inlineStr">
        <is>
          <t>Sim</t>
        </is>
      </c>
    </row>
    <row r="220">
      <c r="A220" s="1">
        <f>HYPERLINK("https://eurofarma-latam-crm.veevavault.com/#object/account__v/V4TZ04ASGMZOXNX", "Marcos Cardoso")</f>
        <v/>
      </c>
      <c r="B220" s="1">
        <f>HYPERLINK("https://eurofarma-latam-crm.veevavault.com/#object/account__v/V4TZ04ASGMZOXNX", "Marcos Vinícius Dos Santos Ribeiro Cardoso")</f>
        <v/>
      </c>
      <c r="C220" t="inlineStr">
        <is>
          <t>RJ1380572</t>
        </is>
      </c>
      <c r="D220" t="inlineStr">
        <is>
          <t>CLG / PA</t>
        </is>
      </c>
      <c r="E220" t="inlineStr">
        <is>
          <t>Rodovia BR-493, S/N</t>
        </is>
      </c>
      <c r="F220" t="inlineStr">
        <is>
          <t>Centro (Manilha)</t>
        </is>
      </c>
      <c r="G220" t="inlineStr">
        <is>
          <t>Itaboraí</t>
        </is>
      </c>
      <c r="H220" t="inlineStr">
        <is>
          <t>RJ</t>
        </is>
      </c>
      <c r="I220" t="n">
        <v>5149</v>
      </c>
      <c r="J220" t="inlineStr">
        <is>
          <t>CAT 5</t>
        </is>
      </c>
      <c r="K220" t="inlineStr">
        <is>
          <t>N�o</t>
        </is>
      </c>
    </row>
    <row r="221">
      <c r="A221" s="1">
        <f>HYPERLINK("https://eurofarma-latam-crm.veevavault.com/#object/account__v/V4TZ000018NXK0Q", "Marduk Delgado")</f>
        <v/>
      </c>
      <c r="B221" s="1">
        <f>HYPERLINK("https://eurofarma-latam-crm.veevavault.com/#object/account__v/V4TZ000018NXK0Q", "Marduk Contreras Delgado")</f>
        <v/>
      </c>
      <c r="C221" t="inlineStr">
        <is>
          <t>RJ0707023</t>
        </is>
      </c>
      <c r="D221" t="inlineStr">
        <is>
          <t>END</t>
        </is>
      </c>
      <c r="E221" t="inlineStr">
        <is>
          <t>Rua Nelson Silva, 379</t>
        </is>
      </c>
      <c r="F221" t="inlineStr">
        <is>
          <t>Centro</t>
        </is>
      </c>
      <c r="G221" t="inlineStr">
        <is>
          <t>Itaboraí</t>
        </is>
      </c>
      <c r="H221" t="inlineStr">
        <is>
          <t>RJ</t>
        </is>
      </c>
      <c r="I221" t="n">
        <v>5149</v>
      </c>
      <c r="J221" t="inlineStr">
        <is>
          <t>CAT 1</t>
        </is>
      </c>
      <c r="K221" t="inlineStr">
        <is>
          <t>Sim</t>
        </is>
      </c>
    </row>
    <row r="222">
      <c r="A222" s="1">
        <f>HYPERLINK("https://eurofarma-latam-crm.veevavault.com/#object/account__v/V4TZ000018NYQDV", "Maria Albuquerque")</f>
        <v/>
      </c>
      <c r="B222" s="1">
        <f>HYPERLINK("https://eurofarma-latam-crm.veevavault.com/#object/account__v/V4TZ000018NYQDV", "Maria Jose Cavalcante de Albuquerque")</f>
        <v/>
      </c>
      <c r="C222" t="inlineStr">
        <is>
          <t>RJ0601882</t>
        </is>
      </c>
      <c r="D222" t="inlineStr">
        <is>
          <t>GER</t>
        </is>
      </c>
      <c r="E222" t="inlineStr">
        <is>
          <t>Avenida General Osvaldo Cordeiro de Farias, 466</t>
        </is>
      </c>
      <c r="F222" t="inlineStr">
        <is>
          <t>Marechal Hermes</t>
        </is>
      </c>
      <c r="G222" t="inlineStr">
        <is>
          <t>Rio de Janeiro</t>
        </is>
      </c>
      <c r="H222" t="inlineStr">
        <is>
          <t>RJ</t>
        </is>
      </c>
      <c r="I222" t="n">
        <v>5149</v>
      </c>
      <c r="J222" t="inlineStr">
        <is>
          <t>CAT 4</t>
        </is>
      </c>
      <c r="K222" t="inlineStr">
        <is>
          <t>Sim</t>
        </is>
      </c>
    </row>
    <row r="223">
      <c r="A223" s="1">
        <f>HYPERLINK("https://eurofarma-latam-crm.veevavault.com/#object/account__v/V4TZ00001915KZ8", "Maria Amélia Barros")</f>
        <v/>
      </c>
      <c r="B223" s="1">
        <f>HYPERLINK("https://eurofarma-latam-crm.veevavault.com/#object/account__v/V4TZ00001915KZ8", "Maria Amélia da Cunha Barros")</f>
        <v/>
      </c>
      <c r="C223" t="inlineStr">
        <is>
          <t>RJ0822094</t>
        </is>
      </c>
      <c r="D223" t="inlineStr">
        <is>
          <t>CLG / END</t>
        </is>
      </c>
      <c r="E223" t="inlineStr">
        <is>
          <t>Avenida Almirante Ary Parreiras, 660</t>
        </is>
      </c>
      <c r="F223" t="inlineStr">
        <is>
          <t>Icaraí</t>
        </is>
      </c>
      <c r="G223" t="inlineStr">
        <is>
          <t>Niterói</t>
        </is>
      </c>
      <c r="H223" t="inlineStr">
        <is>
          <t>RJ</t>
        </is>
      </c>
      <c r="I223" t="n">
        <v>5149</v>
      </c>
      <c r="J223" t="inlineStr">
        <is>
          <t>CAT 4</t>
        </is>
      </c>
      <c r="K223" t="inlineStr">
        <is>
          <t>N�o</t>
        </is>
      </c>
    </row>
    <row r="224">
      <c r="A224" s="1">
        <f>HYPERLINK("https://eurofarma-latam-crm.veevavault.com/#object/account__v/V4TZ000018NY1AK", "Maria Cristina de Figueiredo")</f>
        <v/>
      </c>
      <c r="B224" s="1">
        <f>HYPERLINK("https://eurofarma-latam-crm.veevavault.com/#object/account__v/V4TZ000018NY1AK", "Maria Cristina de Figueiredo")</f>
        <v/>
      </c>
      <c r="C224" t="inlineStr">
        <is>
          <t>RJ0503774</t>
        </is>
      </c>
      <c r="D224" t="inlineStr">
        <is>
          <t>GER</t>
        </is>
      </c>
      <c r="E224" t="inlineStr">
        <is>
          <t>Rua Yolanda Saad Abuzaid, 150 - Sl 1003</t>
        </is>
      </c>
      <c r="F224" t="inlineStr">
        <is>
          <t>Alcântara</t>
        </is>
      </c>
      <c r="G224" t="inlineStr">
        <is>
          <t>São Gonçalo</t>
        </is>
      </c>
      <c r="H224" t="inlineStr">
        <is>
          <t>RJ</t>
        </is>
      </c>
      <c r="I224" t="n">
        <v>5149</v>
      </c>
      <c r="J224" t="inlineStr">
        <is>
          <t>CAT 3</t>
        </is>
      </c>
      <c r="K224" t="inlineStr">
        <is>
          <t>Sim</t>
        </is>
      </c>
    </row>
    <row r="225">
      <c r="A225" s="1">
        <f>HYPERLINK("https://eurofarma-latam-crm.veevavault.com/#object/account__v/V4TZ000019157Z9", "Maria de Fatima de Queiroz")</f>
        <v/>
      </c>
      <c r="B225" s="1">
        <f>HYPERLINK("https://eurofarma-latam-crm.veevavault.com/#object/account__v/V4TZ000019157Z9", "Maria de Fatima Cantuaria de Queiroz")</f>
        <v/>
      </c>
      <c r="C225" t="inlineStr">
        <is>
          <t>RJ0434395,SP0071053</t>
        </is>
      </c>
      <c r="D225" t="inlineStr">
        <is>
          <t>CLG / END</t>
        </is>
      </c>
      <c r="E225" t="inlineStr">
        <is>
          <t>Praça Carlos Gianelli</t>
        </is>
      </c>
      <c r="F225" t="inlineStr">
        <is>
          <t>Alcântara</t>
        </is>
      </c>
      <c r="G225" t="inlineStr">
        <is>
          <t>São Gonçalo</t>
        </is>
      </c>
      <c r="H225" t="inlineStr">
        <is>
          <t>RJ</t>
        </is>
      </c>
      <c r="I225" t="n">
        <v>5149</v>
      </c>
      <c r="J225" t="inlineStr">
        <is>
          <t>CAT 3</t>
        </is>
      </c>
      <c r="K225" t="inlineStr">
        <is>
          <t>Sim</t>
        </is>
      </c>
    </row>
    <row r="226">
      <c r="A226" s="1">
        <f>HYPERLINK("https://eurofarma-latam-crm.veevavault.com/#object/account__v/V4TZ00001913D7T", "Maria do Carmo Fernandes")</f>
        <v/>
      </c>
      <c r="B226" s="1">
        <f>HYPERLINK("https://eurofarma-latam-crm.veevavault.com/#object/account__v/V4TZ00001913D7T", "Maria do Carmo Duque Estrada Tenório Cavalcanti Fernandes")</f>
        <v/>
      </c>
      <c r="C226" t="inlineStr">
        <is>
          <t>RJ0252484</t>
        </is>
      </c>
      <c r="D226" t="inlineStr">
        <is>
          <t>NEU</t>
        </is>
      </c>
      <c r="E226" t="inlineStr">
        <is>
          <t>Alameda Pio XII, S/N</t>
        </is>
      </c>
      <c r="F226" t="inlineStr">
        <is>
          <t>Centro</t>
        </is>
      </c>
      <c r="G226" t="inlineStr">
        <is>
          <t>São Gonçalo</t>
        </is>
      </c>
      <c r="H226" t="inlineStr">
        <is>
          <t>RJ</t>
        </is>
      </c>
      <c r="I226" t="n">
        <v>5149</v>
      </c>
      <c r="J226" t="inlineStr">
        <is>
          <t>CAT 3</t>
        </is>
      </c>
      <c r="K226" t="inlineStr">
        <is>
          <t>Sim</t>
        </is>
      </c>
    </row>
    <row r="227">
      <c r="A227" s="1">
        <f>HYPERLINK("https://eurofarma-latam-crm.veevavault.com/#object/account__v/V4TZ025E8BV7TCK", "Maria Eduarda Rebello")</f>
        <v/>
      </c>
      <c r="B227" s="1">
        <f>HYPERLINK("https://eurofarma-latam-crm.veevavault.com/#object/account__v/V4TZ025E8BV7TCK", "Maria Eduarda Senra Rebello")</f>
        <v/>
      </c>
      <c r="C227" t="inlineStr">
        <is>
          <t>RJ1356895</t>
        </is>
      </c>
      <c r="D227" t="inlineStr">
        <is>
          <t>CLG / PA</t>
        </is>
      </c>
      <c r="E227" t="inlineStr">
        <is>
          <t>Rua Judith Maurício de Paula, 40</t>
        </is>
      </c>
      <c r="F227" t="inlineStr">
        <is>
          <t>Iucas</t>
        </is>
      </c>
      <c r="G227" t="inlineStr">
        <is>
          <t>Teresópolis</t>
        </is>
      </c>
      <c r="H227" t="inlineStr">
        <is>
          <t>RJ</t>
        </is>
      </c>
      <c r="I227" t="n">
        <v>5149</v>
      </c>
      <c r="J227" t="inlineStr">
        <is>
          <t>CAT 5</t>
        </is>
      </c>
      <c r="K227" t="inlineStr">
        <is>
          <t>Sim</t>
        </is>
      </c>
    </row>
    <row r="228">
      <c r="A228" s="1">
        <f>HYPERLINK("https://eurofarma-latam-crm.veevavault.com/#object/account__v/V4TZ025E88G06XR", "Maria Eduarda Silva")</f>
        <v/>
      </c>
      <c r="B228" s="1">
        <f>HYPERLINK("https://eurofarma-latam-crm.veevavault.com/#object/account__v/V4TZ025E88G06XR", "Maria Eduarda Oliveira Silva")</f>
        <v/>
      </c>
      <c r="C228" t="inlineStr">
        <is>
          <t>RJ1325280</t>
        </is>
      </c>
      <c r="D228" t="inlineStr">
        <is>
          <t>CLG / PA</t>
        </is>
      </c>
      <c r="E228" t="inlineStr">
        <is>
          <t>Rua da Gamboa, 303</t>
        </is>
      </c>
      <c r="F228" t="inlineStr">
        <is>
          <t>Gamboa</t>
        </is>
      </c>
      <c r="G228" t="inlineStr">
        <is>
          <t>Rio de Janeiro</t>
        </is>
      </c>
      <c r="H228" t="inlineStr">
        <is>
          <t>RJ</t>
        </is>
      </c>
      <c r="I228" t="n">
        <v>5149</v>
      </c>
      <c r="J228" t="inlineStr">
        <is>
          <t>CAT 4</t>
        </is>
      </c>
      <c r="K228" t="inlineStr">
        <is>
          <t>N�o</t>
        </is>
      </c>
    </row>
    <row r="229">
      <c r="A229" s="1">
        <f>HYPERLINK("https://eurofarma-latam-crm.veevavault.com/#object/account__v/V4TZ000018NXN7X", "Maria Rocha")</f>
        <v/>
      </c>
      <c r="B229" s="1">
        <f>HYPERLINK("https://eurofarma-latam-crm.veevavault.com/#object/account__v/V4TZ000018NXN7X", "Maria Manuela Sampaio Gomes Pereira Rocha")</f>
        <v/>
      </c>
      <c r="C229" t="inlineStr">
        <is>
          <t>RJ0307015</t>
        </is>
      </c>
      <c r="D229" t="inlineStr">
        <is>
          <t>CLG / END</t>
        </is>
      </c>
      <c r="E229" t="inlineStr">
        <is>
          <t>Avenida Luiz Fernando de Oliveira Nanci, S/N - Lote 18 Quadra 4</t>
        </is>
      </c>
      <c r="F229" t="inlineStr">
        <is>
          <t>Nancilândia</t>
        </is>
      </c>
      <c r="G229" t="inlineStr">
        <is>
          <t>Itaboraí</t>
        </is>
      </c>
      <c r="H229" t="inlineStr">
        <is>
          <t>RJ</t>
        </is>
      </c>
      <c r="I229" t="n">
        <v>5149</v>
      </c>
      <c r="J229" t="inlineStr">
        <is>
          <t>CAT 5</t>
        </is>
      </c>
      <c r="K229" t="inlineStr">
        <is>
          <t>Sim</t>
        </is>
      </c>
    </row>
    <row r="230">
      <c r="A230" s="1">
        <f>HYPERLINK("https://eurofarma-latam-crm.veevavault.com/#object/account__v/V4TZ000018NXTTO", "Maria Souza")</f>
        <v/>
      </c>
      <c r="B230" s="1">
        <f>HYPERLINK("https://eurofarma-latam-crm.veevavault.com/#object/account__v/V4TZ000018NXTTO", "Maria Jacqueline Muniz de Souza")</f>
        <v/>
      </c>
      <c r="C230" t="inlineStr">
        <is>
          <t>RJ0634735</t>
        </is>
      </c>
      <c r="D230" t="inlineStr">
        <is>
          <t>CLG</t>
        </is>
      </c>
      <c r="E230" t="inlineStr">
        <is>
          <t>Rua Sílvio Romero, 50 - Loja 4</t>
        </is>
      </c>
      <c r="F230" t="inlineStr">
        <is>
          <t>Alcântara</t>
        </is>
      </c>
      <c r="G230" t="inlineStr">
        <is>
          <t>São Gonçalo</t>
        </is>
      </c>
      <c r="H230" t="inlineStr">
        <is>
          <t>RJ</t>
        </is>
      </c>
      <c r="I230" t="n">
        <v>5149</v>
      </c>
      <c r="J230" t="inlineStr">
        <is>
          <t>CAT 5</t>
        </is>
      </c>
      <c r="K230" t="inlineStr">
        <is>
          <t>Sim</t>
        </is>
      </c>
    </row>
    <row r="231">
      <c r="A231" s="1">
        <f>HYPERLINK("https://eurofarma-latam-crm.veevavault.com/#object/account__v/V4TZ000019154AH", "Maria Teixeira")</f>
        <v/>
      </c>
      <c r="B231" s="1">
        <f>HYPERLINK("https://eurofarma-latam-crm.veevavault.com/#object/account__v/V4TZ000019154AH", "Maria José Teixeira")</f>
        <v/>
      </c>
      <c r="C231" t="inlineStr">
        <is>
          <t>RJ0425539</t>
        </is>
      </c>
      <c r="D231" t="inlineStr">
        <is>
          <t>CLG</t>
        </is>
      </c>
      <c r="E231" t="inlineStr">
        <is>
          <t>Rua Yolanda Saad Abuzaid, 150 - Salas 808 e 809</t>
        </is>
      </c>
      <c r="F231" t="inlineStr">
        <is>
          <t>Alcântara</t>
        </is>
      </c>
      <c r="G231" t="inlineStr">
        <is>
          <t>São Gonçalo</t>
        </is>
      </c>
      <c r="H231" t="inlineStr">
        <is>
          <t>RJ</t>
        </is>
      </c>
      <c r="I231" t="n">
        <v>5149</v>
      </c>
      <c r="J231" t="inlineStr">
        <is>
          <t>CAT 4</t>
        </is>
      </c>
      <c r="K231" t="inlineStr">
        <is>
          <t>Sim</t>
        </is>
      </c>
    </row>
    <row r="232">
      <c r="A232" s="1">
        <f>HYPERLINK("https://eurofarma-latam-crm.veevavault.com/#object/account__v/V4TZ025E8C0916S", "Mariana de Souza")</f>
        <v/>
      </c>
      <c r="B232" s="1">
        <f>HYPERLINK("https://eurofarma-latam-crm.veevavault.com/#object/account__v/V4TZ025E8C0916S", "Mariana Carriello Coutinho de Souza")</f>
        <v/>
      </c>
      <c r="C232" t="inlineStr">
        <is>
          <t>RJ1357034</t>
        </is>
      </c>
      <c r="D232" t="inlineStr">
        <is>
          <t>CLG / PA</t>
        </is>
      </c>
      <c r="E232" t="inlineStr">
        <is>
          <t>Rua Irineu Ferreira Pinto, S/N</t>
        </is>
      </c>
      <c r="F232" t="inlineStr">
        <is>
          <t>Ponta Grossa</t>
        </is>
      </c>
      <c r="G232" t="inlineStr">
        <is>
          <t>Maricá</t>
        </is>
      </c>
      <c r="H232" t="inlineStr">
        <is>
          <t>RJ</t>
        </is>
      </c>
      <c r="I232" t="n">
        <v>5149</v>
      </c>
      <c r="J232" t="inlineStr">
        <is>
          <t>CAT 4</t>
        </is>
      </c>
      <c r="K232" t="inlineStr">
        <is>
          <t>N�o</t>
        </is>
      </c>
    </row>
    <row r="233">
      <c r="A233" s="1">
        <f>HYPERLINK("https://eurofarma-latam-crm.veevavault.com/#object/account__v/V4TZ025E85SBGZH", "Marianna Silva")</f>
        <v/>
      </c>
      <c r="B233" s="1">
        <f>HYPERLINK("https://eurofarma-latam-crm.veevavault.com/#object/account__v/V4TZ025E85SBGZH", "Marianna Gomes da Silva")</f>
        <v/>
      </c>
      <c r="C233" t="inlineStr">
        <is>
          <t>RJ1305972</t>
        </is>
      </c>
      <c r="D233" t="inlineStr">
        <is>
          <t>CLG / PA</t>
        </is>
      </c>
      <c r="E233" t="inlineStr">
        <is>
          <t>Rua Frei Caneca, 50</t>
        </is>
      </c>
      <c r="F233" t="inlineStr">
        <is>
          <t>Centro</t>
        </is>
      </c>
      <c r="G233" t="inlineStr">
        <is>
          <t>Rio de Janeiro</t>
        </is>
      </c>
      <c r="H233" t="inlineStr">
        <is>
          <t>RJ</t>
        </is>
      </c>
      <c r="I233" t="n">
        <v>5149</v>
      </c>
      <c r="J233" t="inlineStr">
        <is>
          <t>CAT 4</t>
        </is>
      </c>
      <c r="K233" t="inlineStr">
        <is>
          <t>Sim</t>
        </is>
      </c>
    </row>
    <row r="234">
      <c r="A234" s="1">
        <f>HYPERLINK("https://eurofarma-latam-crm.veevavault.com/#object/account__v/V4TZ025E8F7IRJJ", "Marina Andreolli")</f>
        <v/>
      </c>
      <c r="B234" s="1">
        <f>HYPERLINK("https://eurofarma-latam-crm.veevavault.com/#object/account__v/V4TZ025E8F7IRJJ", "Marina Coube Gerk Andreolli")</f>
        <v/>
      </c>
      <c r="C234" t="inlineStr">
        <is>
          <t>RJ1361911</t>
        </is>
      </c>
      <c r="D234" t="inlineStr">
        <is>
          <t>CLG / PA</t>
        </is>
      </c>
      <c r="E234" t="inlineStr">
        <is>
          <t>Rua Osório Costa, S/N</t>
        </is>
      </c>
      <c r="F234" t="inlineStr">
        <is>
          <t>Colubande</t>
        </is>
      </c>
      <c r="G234" t="inlineStr">
        <is>
          <t>São Gonçalo</t>
        </is>
      </c>
      <c r="H234" t="inlineStr">
        <is>
          <t>RJ</t>
        </is>
      </c>
      <c r="I234" t="n">
        <v>5149</v>
      </c>
      <c r="J234" t="inlineStr">
        <is>
          <t>CAT 5</t>
        </is>
      </c>
      <c r="K234" t="inlineStr">
        <is>
          <t>Sim</t>
        </is>
      </c>
    </row>
    <row r="235">
      <c r="A235" s="1">
        <f>HYPERLINK("https://eurofarma-latam-crm.veevavault.com/#object/account__v/V4TZ00001914AUM", "Mário Alberto Jaime")</f>
        <v/>
      </c>
      <c r="B235" s="1">
        <f>HYPERLINK("https://eurofarma-latam-crm.veevavault.com/#object/account__v/V4TZ00001914AUM", "Mário Alberto Insignares Jaime")</f>
        <v/>
      </c>
      <c r="C235" t="inlineStr">
        <is>
          <t>RJ0583744</t>
        </is>
      </c>
      <c r="D235" t="inlineStr">
        <is>
          <t>RMT</t>
        </is>
      </c>
      <c r="E235" t="inlineStr">
        <is>
          <t>Avenida Jansen de Melo, S/N</t>
        </is>
      </c>
      <c r="F235" t="inlineStr">
        <is>
          <t>Centro</t>
        </is>
      </c>
      <c r="G235" t="inlineStr">
        <is>
          <t>Niterói</t>
        </is>
      </c>
      <c r="H235" t="inlineStr">
        <is>
          <t>RJ</t>
        </is>
      </c>
      <c r="I235" t="n">
        <v>5149</v>
      </c>
      <c r="J235" t="inlineStr">
        <is>
          <t>CAT 3</t>
        </is>
      </c>
      <c r="K235" t="inlineStr">
        <is>
          <t>Sim</t>
        </is>
      </c>
    </row>
    <row r="236">
      <c r="A236" s="1">
        <f>HYPERLINK("https://eurofarma-latam-crm.veevavault.com/#object/account__v/V4TZ000019162HG", "Mario Javarys")</f>
        <v/>
      </c>
      <c r="B236" s="1">
        <f>HYPERLINK("https://eurofarma-latam-crm.veevavault.com/#object/account__v/V4TZ000019162HG", "Mario Jose Javarys")</f>
        <v/>
      </c>
      <c r="C236" t="inlineStr">
        <is>
          <t>RJ0399945</t>
        </is>
      </c>
      <c r="D236" t="inlineStr">
        <is>
          <t>CLG</t>
        </is>
      </c>
      <c r="E236" t="inlineStr">
        <is>
          <t>Estrada Prefeito Álvaro de Carvalho Júnior, S/N</t>
        </is>
      </c>
      <c r="F236" t="inlineStr">
        <is>
          <t>Nancilândia</t>
        </is>
      </c>
      <c r="G236" t="inlineStr">
        <is>
          <t>Itaboraí</t>
        </is>
      </c>
      <c r="H236" t="inlineStr">
        <is>
          <t>RJ</t>
        </is>
      </c>
      <c r="I236" t="n">
        <v>5149</v>
      </c>
      <c r="J236" t="inlineStr">
        <is>
          <t>CAT 5</t>
        </is>
      </c>
      <c r="K236" t="inlineStr">
        <is>
          <t>N�o</t>
        </is>
      </c>
    </row>
    <row r="237">
      <c r="A237" s="1">
        <f>HYPERLINK("https://eurofarma-latam-crm.veevavault.com/#object/account__v/V4TZ000018NXK2M", "Mario Netto")</f>
        <v/>
      </c>
      <c r="B237" s="1">
        <f>HYPERLINK("https://eurofarma-latam-crm.veevavault.com/#object/account__v/V4TZ000018NXK2M", "Mario Roberto Pereira Netto")</f>
        <v/>
      </c>
      <c r="C237" t="inlineStr">
        <is>
          <t>RJ0277900</t>
        </is>
      </c>
      <c r="D237" t="inlineStr">
        <is>
          <t>PED</t>
        </is>
      </c>
      <c r="E237" t="inlineStr">
        <is>
          <t>Rua Manuel João Gonçalves, 204</t>
        </is>
      </c>
      <c r="F237" t="inlineStr">
        <is>
          <t>Alcântara</t>
        </is>
      </c>
      <c r="G237" t="inlineStr">
        <is>
          <t>São Gonçalo</t>
        </is>
      </c>
      <c r="H237" t="inlineStr">
        <is>
          <t>RJ</t>
        </is>
      </c>
      <c r="I237" t="n">
        <v>5149</v>
      </c>
      <c r="J237" t="inlineStr">
        <is>
          <t>CAT 4</t>
        </is>
      </c>
      <c r="K237" t="inlineStr">
        <is>
          <t>Sim</t>
        </is>
      </c>
    </row>
    <row r="238">
      <c r="A238" s="1">
        <f>HYPERLINK("https://eurofarma-latam-crm.veevavault.com/#object/account__v/V4TZ00001914816", "Marta Reis")</f>
        <v/>
      </c>
      <c r="B238" s="1">
        <f>HYPERLINK("https://eurofarma-latam-crm.veevavault.com/#object/account__v/V4TZ00001914816", "Marta Medeiros Cruz de Sousa Reis")</f>
        <v/>
      </c>
      <c r="C238" t="inlineStr">
        <is>
          <t>RJ0629448,SP0232823</t>
        </is>
      </c>
      <c r="D238" t="inlineStr">
        <is>
          <t>PSQ</t>
        </is>
      </c>
      <c r="E238" t="inlineStr">
        <is>
          <t>Estrada das Mirindibas Quadra 30 Lote 01</t>
        </is>
      </c>
      <c r="F238" t="inlineStr">
        <is>
          <t>Jardim Primavera</t>
        </is>
      </c>
      <c r="G238" t="inlineStr">
        <is>
          <t>Duque de Caxias</t>
        </is>
      </c>
      <c r="H238" t="inlineStr">
        <is>
          <t>RJ</t>
        </is>
      </c>
      <c r="I238" t="n">
        <v>5149</v>
      </c>
      <c r="J238" t="inlineStr">
        <is>
          <t>CAT 1</t>
        </is>
      </c>
      <c r="K238" t="inlineStr">
        <is>
          <t>Sim</t>
        </is>
      </c>
    </row>
    <row r="239">
      <c r="A239" s="1">
        <f>HYPERLINK("https://eurofarma-latam-crm.veevavault.com/#object/account__v/V4TZ000018NYX4O", "Martha Tudela")</f>
        <v/>
      </c>
      <c r="B239" s="1">
        <f>HYPERLINK("https://eurofarma-latam-crm.veevavault.com/#object/account__v/V4TZ000018NYX4O", "Martha Beatriz Valda Tudela")</f>
        <v/>
      </c>
      <c r="C239" t="inlineStr">
        <is>
          <t>RJ0558841</t>
        </is>
      </c>
      <c r="D239" t="inlineStr">
        <is>
          <t>CLG</t>
        </is>
      </c>
      <c r="E239" t="inlineStr">
        <is>
          <t>Rua Nelson Silva, 379</t>
        </is>
      </c>
      <c r="F239" t="inlineStr">
        <is>
          <t>Centro</t>
        </is>
      </c>
      <c r="G239" t="inlineStr">
        <is>
          <t>Itaboraí</t>
        </is>
      </c>
      <c r="H239" t="inlineStr">
        <is>
          <t>RJ</t>
        </is>
      </c>
      <c r="I239" t="n">
        <v>5149</v>
      </c>
      <c r="J239" t="inlineStr">
        <is>
          <t>CAT 5</t>
        </is>
      </c>
      <c r="K239" t="inlineStr">
        <is>
          <t>N�o</t>
        </is>
      </c>
    </row>
    <row r="240">
      <c r="A240" s="1">
        <f>HYPERLINK("https://eurofarma-latam-crm.veevavault.com/#object/account__v/V4TZ000018NXVEG", "Mauricio Gaspar")</f>
        <v/>
      </c>
      <c r="B240" s="1">
        <f>HYPERLINK("https://eurofarma-latam-crm.veevavault.com/#object/account__v/V4TZ000018NXVEG", "Mauricio Guimaraes Gaspar")</f>
        <v/>
      </c>
      <c r="C240" t="inlineStr">
        <is>
          <t>RJ0357792</t>
        </is>
      </c>
      <c r="D240" t="inlineStr">
        <is>
          <t>PED</t>
        </is>
      </c>
      <c r="E240" t="inlineStr">
        <is>
          <t>Rua Visconde de Pirajá, 550 - Salas 508 e 509</t>
        </is>
      </c>
      <c r="F240" t="inlineStr">
        <is>
          <t>Ipanema</t>
        </is>
      </c>
      <c r="G240" t="inlineStr">
        <is>
          <t>Rio de Janeiro</t>
        </is>
      </c>
      <c r="H240" t="inlineStr">
        <is>
          <t>RJ</t>
        </is>
      </c>
      <c r="I240" t="n">
        <v>5149</v>
      </c>
      <c r="J240" t="inlineStr">
        <is>
          <t>CAT 5</t>
        </is>
      </c>
      <c r="K240" t="inlineStr">
        <is>
          <t>Sim</t>
        </is>
      </c>
    </row>
    <row r="241">
      <c r="A241" s="1">
        <f>HYPERLINK("https://eurofarma-latam-crm.veevavault.com/#object/account__v/V4TZ00001914CCE", "Mikaela Loyola")</f>
        <v/>
      </c>
      <c r="B241" s="1">
        <f>HYPERLINK("https://eurofarma-latam-crm.veevavault.com/#object/account__v/V4TZ00001914CCE", "Mikaela Mendoza Loyola")</f>
        <v/>
      </c>
      <c r="C241" t="inlineStr">
        <is>
          <t>RJ1237268</t>
        </is>
      </c>
      <c r="D241" t="inlineStr">
        <is>
          <t>CLG / PA</t>
        </is>
      </c>
      <c r="E241" t="inlineStr">
        <is>
          <t>Avenida Bispo Dom João da Mata, S/N</t>
        </is>
      </c>
      <c r="F241" t="inlineStr">
        <is>
          <t>Laranjal</t>
        </is>
      </c>
      <c r="G241" t="inlineStr">
        <is>
          <t>São Gonçalo</t>
        </is>
      </c>
      <c r="H241" t="inlineStr">
        <is>
          <t>RJ</t>
        </is>
      </c>
      <c r="I241" t="n">
        <v>5149</v>
      </c>
      <c r="J241" t="inlineStr">
        <is>
          <t>CAT 5</t>
        </is>
      </c>
      <c r="K241" t="inlineStr">
        <is>
          <t>Sim</t>
        </is>
      </c>
    </row>
    <row r="242">
      <c r="A242" s="1">
        <f>HYPERLINK("https://eurofarma-latam-crm.veevavault.com/#object/account__v/V4TZ025E8F15RHF", "Milena Pontes")</f>
        <v/>
      </c>
      <c r="B242" s="1">
        <f>HYPERLINK("https://eurofarma-latam-crm.veevavault.com/#object/account__v/V4TZ025E8F15RHF", "Milena Rodrigues Pontes")</f>
        <v/>
      </c>
      <c r="C242" t="inlineStr">
        <is>
          <t>RJ1376749</t>
        </is>
      </c>
      <c r="D242" t="inlineStr">
        <is>
          <t>CLG / PA</t>
        </is>
      </c>
      <c r="E242" t="inlineStr">
        <is>
          <t>Rua Nelson Ramos, 733</t>
        </is>
      </c>
      <c r="F242" t="inlineStr">
        <is>
          <t>Centro</t>
        </is>
      </c>
      <c r="G242" t="inlineStr">
        <is>
          <t>Nova Iguaçu</t>
        </is>
      </c>
      <c r="H242" t="inlineStr">
        <is>
          <t>RJ</t>
        </is>
      </c>
      <c r="I242" t="n">
        <v>5149</v>
      </c>
      <c r="J242" t="inlineStr">
        <is>
          <t>CAT 5</t>
        </is>
      </c>
      <c r="K242" t="inlineStr">
        <is>
          <t>N�o</t>
        </is>
      </c>
    </row>
    <row r="243">
      <c r="A243" s="1">
        <f>HYPERLINK("https://eurofarma-latam-crm.veevavault.com/#object/account__v/V4TZ00001915FAA", "Monica da Veiga")</f>
        <v/>
      </c>
      <c r="B243" s="1">
        <f>HYPERLINK("https://eurofarma-latam-crm.veevavault.com/#object/account__v/V4TZ00001915FAA", "Monica Silva Palmier da Veiga")</f>
        <v/>
      </c>
      <c r="C243" t="inlineStr">
        <is>
          <t>RJ0523239</t>
        </is>
      </c>
      <c r="D243" t="inlineStr">
        <is>
          <t>PED</t>
        </is>
      </c>
      <c r="E243" t="inlineStr">
        <is>
          <t>Rua Miguel de Frias, 77 - Salas 812 à 816</t>
        </is>
      </c>
      <c r="F243" t="inlineStr">
        <is>
          <t>Icaraí</t>
        </is>
      </c>
      <c r="G243" t="inlineStr">
        <is>
          <t>Niterói</t>
        </is>
      </c>
      <c r="H243" t="inlineStr">
        <is>
          <t>RJ</t>
        </is>
      </c>
      <c r="I243" t="n">
        <v>5149</v>
      </c>
      <c r="J243" t="inlineStr">
        <is>
          <t>CAT 5</t>
        </is>
      </c>
      <c r="K243" t="inlineStr">
        <is>
          <t>Sim</t>
        </is>
      </c>
    </row>
    <row r="244">
      <c r="A244" s="1">
        <f>HYPERLINK("https://eurofarma-latam-crm.veevavault.com/#object/account__v/V4TZ00001914CFI", "Monica Quinto")</f>
        <v/>
      </c>
      <c r="B244" s="1">
        <f>HYPERLINK("https://eurofarma-latam-crm.veevavault.com/#object/account__v/V4TZ00001914CFI", "Monica Alcantara Quinto")</f>
        <v/>
      </c>
      <c r="C244" t="inlineStr">
        <is>
          <t>RJ0833371</t>
        </is>
      </c>
      <c r="D244" t="inlineStr">
        <is>
          <t>CLG / PA</t>
        </is>
      </c>
      <c r="E244" t="inlineStr">
        <is>
          <t>Rua Desembargador Ferreira Pinto, 721 - Parte</t>
        </is>
      </c>
      <c r="F244" t="inlineStr">
        <is>
          <t>Centro</t>
        </is>
      </c>
      <c r="G244" t="inlineStr">
        <is>
          <t>Itaboraí</t>
        </is>
      </c>
      <c r="H244" t="inlineStr">
        <is>
          <t>RJ</t>
        </is>
      </c>
      <c r="I244" t="n">
        <v>5149</v>
      </c>
      <c r="J244" t="inlineStr">
        <is>
          <t>CAT 5</t>
        </is>
      </c>
      <c r="K244" t="inlineStr">
        <is>
          <t>Sim</t>
        </is>
      </c>
    </row>
    <row r="245">
      <c r="A245" s="1">
        <f>HYPERLINK("https://eurofarma-latam-crm.veevavault.com/#object/account__v/V4TZ025E8BKC4NO", "Murillo Silva")</f>
        <v/>
      </c>
      <c r="B245" s="1">
        <f>HYPERLINK("https://eurofarma-latam-crm.veevavault.com/#object/account__v/V4TZ025E8BKC4NO", "Murillo Henrique Azevedo Da Silva")</f>
        <v/>
      </c>
      <c r="C245" t="inlineStr">
        <is>
          <t>RJ1356771</t>
        </is>
      </c>
      <c r="D245" t="inlineStr">
        <is>
          <t>CLG / PA</t>
        </is>
      </c>
      <c r="E245" t="inlineStr">
        <is>
          <t>Rua Euclides Paulo da Silva, S/N</t>
        </is>
      </c>
      <c r="F245" t="inlineStr">
        <is>
          <t>Inoã (Inoã)</t>
        </is>
      </c>
      <c r="G245" t="inlineStr">
        <is>
          <t>Maricá</t>
        </is>
      </c>
      <c r="H245" t="inlineStr">
        <is>
          <t>RJ</t>
        </is>
      </c>
      <c r="I245" t="n">
        <v>5149</v>
      </c>
      <c r="J245" t="inlineStr">
        <is>
          <t>CAT 5</t>
        </is>
      </c>
      <c r="K245" t="inlineStr">
        <is>
          <t>Sim</t>
        </is>
      </c>
    </row>
    <row r="246">
      <c r="A246" s="1">
        <f>HYPERLINK("https://eurofarma-latam-crm.veevavault.com/#object/account__v/V4TZ000018NXIPO", "Natalia da Silva")</f>
        <v/>
      </c>
      <c r="B246" s="1">
        <f>HYPERLINK("https://eurofarma-latam-crm.veevavault.com/#object/account__v/V4TZ000018NXIPO", "Natalia Carrano da Silva")</f>
        <v/>
      </c>
      <c r="C246" t="inlineStr">
        <is>
          <t>RJ1018604</t>
        </is>
      </c>
      <c r="D246" t="inlineStr">
        <is>
          <t>END</t>
        </is>
      </c>
      <c r="E246" t="inlineStr">
        <is>
          <t>Estrada Raul Veiga, 500</t>
        </is>
      </c>
      <c r="F246" t="inlineStr">
        <is>
          <t>Raul Veiga</t>
        </is>
      </c>
      <c r="G246" t="inlineStr">
        <is>
          <t>São Gonçalo</t>
        </is>
      </c>
      <c r="H246" t="inlineStr">
        <is>
          <t>RJ</t>
        </is>
      </c>
      <c r="I246" t="n">
        <v>5149</v>
      </c>
      <c r="J246" t="inlineStr">
        <is>
          <t>CAT 3</t>
        </is>
      </c>
      <c r="K246" t="inlineStr">
        <is>
          <t>Sim</t>
        </is>
      </c>
    </row>
    <row r="247">
      <c r="A247" s="1">
        <f>HYPERLINK("https://eurofarma-latam-crm.veevavault.com/#object/account__v/V4TZ025E84C186P", "Natanny Pereira")</f>
        <v/>
      </c>
      <c r="B247" s="1">
        <f>HYPERLINK("https://eurofarma-latam-crm.veevavault.com/#object/account__v/V4TZ025E84C186P", "Natanny Mendes Pereira")</f>
        <v/>
      </c>
      <c r="C247" t="inlineStr">
        <is>
          <t>RJ1196685</t>
        </is>
      </c>
      <c r="D247" t="inlineStr">
        <is>
          <t>CLG / SNC</t>
        </is>
      </c>
      <c r="E247" t="inlineStr">
        <is>
          <t>Rua Visconde Seabra, S/N</t>
        </is>
      </c>
      <c r="F247" t="inlineStr">
        <is>
          <t>Guaxindiba</t>
        </is>
      </c>
      <c r="G247" t="inlineStr">
        <is>
          <t>São Gonçalo</t>
        </is>
      </c>
      <c r="H247" t="inlineStr">
        <is>
          <t>RJ</t>
        </is>
      </c>
      <c r="I247" t="n">
        <v>5149</v>
      </c>
      <c r="J247" t="inlineStr">
        <is>
          <t>CAT 4</t>
        </is>
      </c>
      <c r="K247" t="inlineStr">
        <is>
          <t>Sim</t>
        </is>
      </c>
    </row>
    <row r="248">
      <c r="A248" s="1">
        <f>HYPERLINK("https://eurofarma-latam-crm.veevavault.com/#object/account__v/V4TZ000019156RE", "Nelson Pereira Filho")</f>
        <v/>
      </c>
      <c r="B248" s="1">
        <f>HYPERLINK("https://eurofarma-latam-crm.veevavault.com/#object/account__v/V4TZ000019156RE", "Nelson Cid Pereira Filho")</f>
        <v/>
      </c>
      <c r="C248" t="inlineStr">
        <is>
          <t>RJ0582130</t>
        </is>
      </c>
      <c r="D248" t="inlineStr">
        <is>
          <t>CLG</t>
        </is>
      </c>
      <c r="E248" t="inlineStr">
        <is>
          <t>Rua Francisco Raphael de Barros, 115 - Loja 01</t>
        </is>
      </c>
      <c r="F248" t="inlineStr">
        <is>
          <t>Centro (Manilha)</t>
        </is>
      </c>
      <c r="G248" t="inlineStr">
        <is>
          <t>Itaboraí</t>
        </is>
      </c>
      <c r="H248" t="inlineStr">
        <is>
          <t>RJ</t>
        </is>
      </c>
      <c r="I248" t="n">
        <v>5149</v>
      </c>
      <c r="J248" t="inlineStr"/>
      <c r="K248" t="inlineStr"/>
    </row>
    <row r="249">
      <c r="A249" s="1">
        <f>HYPERLINK("https://eurofarma-latam-crm.veevavault.com/#object/account__v/V4TZ04ASGM66LAP", "Nicoli Seraphim")</f>
        <v/>
      </c>
      <c r="B249" s="1">
        <f>HYPERLINK("https://eurofarma-latam-crm.veevavault.com/#object/account__v/V4TZ04ASGM66LAP", "Nicoli Maggini Seraphim")</f>
        <v/>
      </c>
      <c r="C249" t="inlineStr">
        <is>
          <t>RJ1391913</t>
        </is>
      </c>
      <c r="D249" t="inlineStr">
        <is>
          <t>CLG / PA</t>
        </is>
      </c>
      <c r="E249" t="inlineStr">
        <is>
          <t>Rua Osório Costa, S/N</t>
        </is>
      </c>
      <c r="F249" t="inlineStr">
        <is>
          <t>Colubande</t>
        </is>
      </c>
      <c r="G249" t="inlineStr">
        <is>
          <t>São Gonçalo</t>
        </is>
      </c>
      <c r="H249" t="inlineStr">
        <is>
          <t>RJ</t>
        </is>
      </c>
      <c r="I249" t="n">
        <v>5149</v>
      </c>
      <c r="J249" t="inlineStr"/>
      <c r="K249" t="inlineStr"/>
    </row>
    <row r="250">
      <c r="A250" s="1">
        <f>HYPERLINK("https://eurofarma-latam-crm.veevavault.com/#object/account__v/V4TZ025E89CDNNE", "Noelson Moraes")</f>
        <v/>
      </c>
      <c r="B250" s="1">
        <f>HYPERLINK("https://eurofarma-latam-crm.veevavault.com/#object/account__v/V4TZ025E89CDNNE", "Noelson Ramos Moraes")</f>
        <v/>
      </c>
      <c r="C250" t="inlineStr">
        <is>
          <t>RJ0893390</t>
        </is>
      </c>
      <c r="D250" t="inlineStr">
        <is>
          <t>PSQ</t>
        </is>
      </c>
      <c r="E250" t="inlineStr">
        <is>
          <t>Rua Promotor Ciro Olímpio da Mata, 358</t>
        </is>
      </c>
      <c r="F250" t="inlineStr">
        <is>
          <t>Jardim Imperial</t>
        </is>
      </c>
      <c r="G250" t="inlineStr">
        <is>
          <t>Itaboraí</t>
        </is>
      </c>
      <c r="H250" t="inlineStr">
        <is>
          <t>RJ</t>
        </is>
      </c>
      <c r="I250" t="n">
        <v>5149</v>
      </c>
      <c r="J250" t="inlineStr">
        <is>
          <t>CAT 4</t>
        </is>
      </c>
      <c r="K250" t="inlineStr">
        <is>
          <t>N�o</t>
        </is>
      </c>
    </row>
    <row r="251">
      <c r="A251" s="1">
        <f>HYPERLINK("https://eurofarma-latam-crm.veevavault.com/#object/account__v/V4TZ025E83TBBGE", "Olívia Maria Sousa")</f>
        <v/>
      </c>
      <c r="B251" s="1">
        <f>HYPERLINK("https://eurofarma-latam-crm.veevavault.com/#object/account__v/V4TZ025E83TBBGE", "Olívia Maria Santos Sousa")</f>
        <v/>
      </c>
      <c r="C251" t="inlineStr">
        <is>
          <t>RJ1198432</t>
        </is>
      </c>
      <c r="D251" t="inlineStr">
        <is>
          <t>ORT</t>
        </is>
      </c>
      <c r="E251" t="inlineStr">
        <is>
          <t>Rua Osório Costa, S/N</t>
        </is>
      </c>
      <c r="F251" t="inlineStr">
        <is>
          <t>Colubande</t>
        </is>
      </c>
      <c r="G251" t="inlineStr">
        <is>
          <t>São Gonçalo</t>
        </is>
      </c>
      <c r="H251" t="inlineStr">
        <is>
          <t>RJ</t>
        </is>
      </c>
      <c r="I251" t="n">
        <v>5149</v>
      </c>
      <c r="J251" t="inlineStr">
        <is>
          <t>CAT 5</t>
        </is>
      </c>
      <c r="K251" t="inlineStr">
        <is>
          <t>Sim</t>
        </is>
      </c>
    </row>
    <row r="252">
      <c r="A252" s="1">
        <f>HYPERLINK("https://eurofarma-latam-crm.veevavault.com/#object/account__v/V4TZ000018NYK22", "Omar Ruiz")</f>
        <v/>
      </c>
      <c r="B252" s="1">
        <f>HYPERLINK("https://eurofarma-latam-crm.veevavault.com/#object/account__v/V4TZ000018NYK22", "Omar Plaza Ruiz")</f>
        <v/>
      </c>
      <c r="C252" t="inlineStr">
        <is>
          <t>RJ0635758</t>
        </is>
      </c>
      <c r="D252" t="inlineStr">
        <is>
          <t>CLG</t>
        </is>
      </c>
      <c r="E252" t="inlineStr">
        <is>
          <t>Avenida Vinte e Dois de Maio, 1233 - 5 Andar Sala 104</t>
        </is>
      </c>
      <c r="F252" t="inlineStr">
        <is>
          <t>Centro</t>
        </is>
      </c>
      <c r="G252" t="inlineStr">
        <is>
          <t>Itaboraí</t>
        </is>
      </c>
      <c r="H252" t="inlineStr">
        <is>
          <t>RJ</t>
        </is>
      </c>
      <c r="I252" t="n">
        <v>5149</v>
      </c>
      <c r="J252" t="inlineStr">
        <is>
          <t>CAT 5</t>
        </is>
      </c>
      <c r="K252" t="inlineStr">
        <is>
          <t>Sim</t>
        </is>
      </c>
    </row>
    <row r="253">
      <c r="A253" s="1">
        <f>HYPERLINK("https://eurofarma-latam-crm.veevavault.com/#object/account__v/V4TZ00001914EA7", "Otto Alexandre Moreira")</f>
        <v/>
      </c>
      <c r="B253" s="1">
        <f>HYPERLINK("https://eurofarma-latam-crm.veevavault.com/#object/account__v/V4TZ00001914EA7", "Otto Alexandre Goncalves Moreira")</f>
        <v/>
      </c>
      <c r="C253" t="inlineStr">
        <is>
          <t>RJ0579984</t>
        </is>
      </c>
      <c r="D253" t="inlineStr">
        <is>
          <t>URO</t>
        </is>
      </c>
      <c r="E253" t="inlineStr">
        <is>
          <t>Rua Presidente Castelo Branco, 170</t>
        </is>
      </c>
      <c r="F253" t="inlineStr">
        <is>
          <t>Centro</t>
        </is>
      </c>
      <c r="G253" t="inlineStr">
        <is>
          <t>Itaboraí</t>
        </is>
      </c>
      <c r="H253" t="inlineStr">
        <is>
          <t>RJ</t>
        </is>
      </c>
      <c r="I253" t="n">
        <v>5149</v>
      </c>
      <c r="J253" t="inlineStr">
        <is>
          <t>CAT 4</t>
        </is>
      </c>
      <c r="K253" t="inlineStr">
        <is>
          <t>Sim</t>
        </is>
      </c>
    </row>
    <row r="254">
      <c r="A254" s="1">
        <f>HYPERLINK("https://eurofarma-latam-crm.veevavault.com/#object/account__v/V4TZ000018NY8M6", "Pablo Monteiro")</f>
        <v/>
      </c>
      <c r="B254" s="1">
        <f>HYPERLINK("https://eurofarma-latam-crm.veevavault.com/#object/account__v/V4TZ000018NY8M6", "Pablo Ferreira Monteiro")</f>
        <v/>
      </c>
      <c r="C254" t="inlineStr">
        <is>
          <t>RJ0878740</t>
        </is>
      </c>
      <c r="D254" t="inlineStr">
        <is>
          <t>END</t>
        </is>
      </c>
      <c r="E254" t="inlineStr">
        <is>
          <t>Avenida Luiz Fernando de Oliveira Nanci, 9 - Quadra 04</t>
        </is>
      </c>
      <c r="F254" t="inlineStr">
        <is>
          <t>Nancilândia</t>
        </is>
      </c>
      <c r="G254" t="inlineStr">
        <is>
          <t>Itaboraí</t>
        </is>
      </c>
      <c r="H254" t="inlineStr">
        <is>
          <t>RJ</t>
        </is>
      </c>
      <c r="I254" t="n">
        <v>5149</v>
      </c>
      <c r="J254" t="inlineStr"/>
      <c r="K254" t="inlineStr"/>
    </row>
    <row r="255">
      <c r="A255" s="1">
        <f>HYPERLINK("https://eurofarma-latam-crm.veevavault.com/#object/account__v/V4TZ000018NYFTW", "Pablo Teixeira")</f>
        <v/>
      </c>
      <c r="B255" s="1">
        <f>HYPERLINK("https://eurofarma-latam-crm.veevavault.com/#object/account__v/V4TZ000018NYFTW", "Pablo Caldeira Teixeira")</f>
        <v/>
      </c>
      <c r="C255" t="inlineStr">
        <is>
          <t>RJ0642428</t>
        </is>
      </c>
      <c r="D255" t="inlineStr">
        <is>
          <t>ORT</t>
        </is>
      </c>
      <c r="E255" t="inlineStr">
        <is>
          <t>Rua Doutor Pereira dos Santos, 107 - Salas 324 à 326</t>
        </is>
      </c>
      <c r="F255" t="inlineStr">
        <is>
          <t>Centro</t>
        </is>
      </c>
      <c r="G255" t="inlineStr">
        <is>
          <t>Itaboraí</t>
        </is>
      </c>
      <c r="H255" t="inlineStr">
        <is>
          <t>RJ</t>
        </is>
      </c>
      <c r="I255" t="n">
        <v>5149</v>
      </c>
      <c r="J255" t="inlineStr">
        <is>
          <t>CAT 1</t>
        </is>
      </c>
      <c r="K255" t="inlineStr">
        <is>
          <t>Sim</t>
        </is>
      </c>
    </row>
    <row r="256">
      <c r="A256" s="1">
        <f>HYPERLINK("https://eurofarma-latam-crm.veevavault.com/#object/account__v/V4TZ000018NYAB2", "Patricia Deccax")</f>
        <v/>
      </c>
      <c r="B256" s="1">
        <f>HYPERLINK("https://eurofarma-latam-crm.veevavault.com/#object/account__v/V4TZ000018NYAB2", "Patricia da Silva Pereira Deccax")</f>
        <v/>
      </c>
      <c r="C256" t="inlineStr">
        <is>
          <t>RJ0710571</t>
        </is>
      </c>
      <c r="D256" t="inlineStr">
        <is>
          <t>CLG</t>
        </is>
      </c>
      <c r="E256" t="inlineStr">
        <is>
          <t>Rua Ator Paulo Gustavo, 26 - Sala 1207</t>
        </is>
      </c>
      <c r="F256" t="inlineStr">
        <is>
          <t>Icaraí</t>
        </is>
      </c>
      <c r="G256" t="inlineStr">
        <is>
          <t>Niterói</t>
        </is>
      </c>
      <c r="H256" t="inlineStr">
        <is>
          <t>RJ</t>
        </is>
      </c>
      <c r="I256" t="n">
        <v>5149</v>
      </c>
      <c r="J256" t="inlineStr">
        <is>
          <t>CAT 4</t>
        </is>
      </c>
      <c r="K256" t="inlineStr">
        <is>
          <t>Sim</t>
        </is>
      </c>
    </row>
    <row r="257">
      <c r="A257" s="1">
        <f>HYPERLINK("https://eurofarma-latam-crm.veevavault.com/#object/account__v/V4TZ000018NYO4O", "Paula Monnerat")</f>
        <v/>
      </c>
      <c r="B257" s="1">
        <f>HYPERLINK("https://eurofarma-latam-crm.veevavault.com/#object/account__v/V4TZ000018NYO4O", "Paula Machado Monnerat")</f>
        <v/>
      </c>
      <c r="C257" t="inlineStr">
        <is>
          <t>RJ1235559</t>
        </is>
      </c>
      <c r="D257" t="inlineStr">
        <is>
          <t>CLG / PA</t>
        </is>
      </c>
      <c r="E257" t="inlineStr">
        <is>
          <t>Rua da Gamboa, 303</t>
        </is>
      </c>
      <c r="F257" t="inlineStr">
        <is>
          <t>Gamboa</t>
        </is>
      </c>
      <c r="G257" t="inlineStr">
        <is>
          <t>Rio de Janeiro</t>
        </is>
      </c>
      <c r="H257" t="inlineStr">
        <is>
          <t>RJ</t>
        </is>
      </c>
      <c r="I257" t="n">
        <v>5149</v>
      </c>
      <c r="J257" t="inlineStr">
        <is>
          <t>CAT 5</t>
        </is>
      </c>
      <c r="K257" t="inlineStr">
        <is>
          <t>N�o</t>
        </is>
      </c>
    </row>
    <row r="258">
      <c r="A258" s="1">
        <f>HYPERLINK("https://eurofarma-latam-crm.veevavault.com/#object/account__v/V4TZ000018NYFMG", "Paula Motta")</f>
        <v/>
      </c>
      <c r="B258" s="1">
        <f>HYPERLINK("https://eurofarma-latam-crm.veevavault.com/#object/account__v/V4TZ000018NYFMG", "Paula Andrade da Motta")</f>
        <v/>
      </c>
      <c r="C258" t="inlineStr">
        <is>
          <t>RJ1212320</t>
        </is>
      </c>
      <c r="D258" t="inlineStr">
        <is>
          <t>PED</t>
        </is>
      </c>
      <c r="E258" t="inlineStr">
        <is>
          <t>Praça Estefania de Carvalho, 26</t>
        </is>
      </c>
      <c r="F258" t="inlineStr">
        <is>
          <t>Zé Garoto</t>
        </is>
      </c>
      <c r="G258" t="inlineStr">
        <is>
          <t>São Gonçalo</t>
        </is>
      </c>
      <c r="H258" t="inlineStr">
        <is>
          <t>RJ</t>
        </is>
      </c>
      <c r="I258" t="n">
        <v>5149</v>
      </c>
      <c r="J258" t="inlineStr">
        <is>
          <t>CAT 5</t>
        </is>
      </c>
      <c r="K258" t="inlineStr">
        <is>
          <t>N�o</t>
        </is>
      </c>
    </row>
    <row r="259">
      <c r="A259" s="1">
        <f>HYPERLINK("https://eurofarma-latam-crm.veevavault.com/#object/account__v/V4TZ0000191608J", "Paulo Cesar de Azevedo")</f>
        <v/>
      </c>
      <c r="B259" s="1">
        <f>HYPERLINK("https://eurofarma-latam-crm.veevavault.com/#object/account__v/V4TZ0000191608J", "Paulo Cesar Carvalho Alvares de Azevedo")</f>
        <v/>
      </c>
      <c r="C259" t="inlineStr">
        <is>
          <t>RJ0542432</t>
        </is>
      </c>
      <c r="D259" t="inlineStr">
        <is>
          <t>CLG</t>
        </is>
      </c>
      <c r="E259" t="inlineStr">
        <is>
          <t>Rua Manuel João Gonçalves, 206</t>
        </is>
      </c>
      <c r="F259" t="inlineStr">
        <is>
          <t>Alcântara</t>
        </is>
      </c>
      <c r="G259" t="inlineStr">
        <is>
          <t>São Gonçalo</t>
        </is>
      </c>
      <c r="H259" t="inlineStr">
        <is>
          <t>RJ</t>
        </is>
      </c>
      <c r="I259" t="n">
        <v>5149</v>
      </c>
      <c r="J259" t="inlineStr">
        <is>
          <t>CAT 3</t>
        </is>
      </c>
      <c r="K259" t="inlineStr">
        <is>
          <t>Sim</t>
        </is>
      </c>
    </row>
    <row r="260">
      <c r="A260" s="1">
        <f>HYPERLINK("https://eurofarma-latam-crm.veevavault.com/#object/account__v/V4TZ000018NXQU6", "Paulo Cesar Santo Junior")</f>
        <v/>
      </c>
      <c r="B260" s="1">
        <f>HYPERLINK("https://eurofarma-latam-crm.veevavault.com/#object/account__v/V4TZ000018NXQU6", "Paulo Cesar do Espirito Santo Junior")</f>
        <v/>
      </c>
      <c r="C260" t="inlineStr">
        <is>
          <t>RJ0640808</t>
        </is>
      </c>
      <c r="D260" t="inlineStr">
        <is>
          <t>CLG / SNC</t>
        </is>
      </c>
      <c r="E260" t="inlineStr">
        <is>
          <t>Rua Manuel João Gonçalves, 204</t>
        </is>
      </c>
      <c r="F260" t="inlineStr">
        <is>
          <t>Alcântara</t>
        </is>
      </c>
      <c r="G260" t="inlineStr">
        <is>
          <t>São Gonçalo</t>
        </is>
      </c>
      <c r="H260" t="inlineStr">
        <is>
          <t>RJ</t>
        </is>
      </c>
      <c r="I260" t="n">
        <v>5149</v>
      </c>
      <c r="J260" t="inlineStr">
        <is>
          <t>CAT 2</t>
        </is>
      </c>
      <c r="K260" t="inlineStr">
        <is>
          <t>Sim</t>
        </is>
      </c>
    </row>
    <row r="261">
      <c r="A261" s="1">
        <f>HYPERLINK("https://eurofarma-latam-crm.veevavault.com/#object/account__v/V4TZ025E88DV6Y9", "Paulo Fillipe dos Santos")</f>
        <v/>
      </c>
      <c r="B261" s="1">
        <f>HYPERLINK("https://eurofarma-latam-crm.veevavault.com/#object/account__v/V4TZ025E88DV6Y9", "Paulo Fillipe Romeiro dos Santos")</f>
        <v/>
      </c>
      <c r="C261" t="inlineStr">
        <is>
          <t>RJ1323377</t>
        </is>
      </c>
      <c r="D261" t="inlineStr">
        <is>
          <t>PED</t>
        </is>
      </c>
      <c r="E261" t="inlineStr">
        <is>
          <t>Avenida Pastor Martin Luther King Jr, 10976</t>
        </is>
      </c>
      <c r="F261" t="inlineStr">
        <is>
          <t>Acari</t>
        </is>
      </c>
      <c r="G261" t="inlineStr">
        <is>
          <t>Rio de Janeiro</t>
        </is>
      </c>
      <c r="H261" t="inlineStr">
        <is>
          <t>RJ</t>
        </is>
      </c>
      <c r="I261" t="n">
        <v>5149</v>
      </c>
      <c r="J261" t="inlineStr"/>
      <c r="K261" t="inlineStr"/>
    </row>
    <row r="262">
      <c r="A262" s="1">
        <f>HYPERLINK("https://eurofarma-latam-crm.veevavault.com/#object/account__v/V4TZ00001915JUU", "Pedro Paulo de Moura")</f>
        <v/>
      </c>
      <c r="B262" s="1">
        <f>HYPERLINK("https://eurofarma-latam-crm.veevavault.com/#object/account__v/V4TZ00001915JUU", "Pedro Paulo Bêgo de Moura")</f>
        <v/>
      </c>
      <c r="C262" t="inlineStr">
        <is>
          <t>RJ1254561</t>
        </is>
      </c>
      <c r="D262" t="inlineStr">
        <is>
          <t>PSQ</t>
        </is>
      </c>
      <c r="E262" t="inlineStr">
        <is>
          <t>Avenida Nilo Peçanha, 50 - Grp 1509</t>
        </is>
      </c>
      <c r="F262" t="inlineStr">
        <is>
          <t>Centro</t>
        </is>
      </c>
      <c r="G262" t="inlineStr">
        <is>
          <t>Rio de Janeiro</t>
        </is>
      </c>
      <c r="H262" t="inlineStr">
        <is>
          <t>RJ</t>
        </is>
      </c>
      <c r="I262" t="n">
        <v>5149</v>
      </c>
      <c r="J262" t="inlineStr">
        <is>
          <t>CAT 3</t>
        </is>
      </c>
      <c r="K262" t="inlineStr">
        <is>
          <t>Sim</t>
        </is>
      </c>
    </row>
    <row r="263">
      <c r="A263" s="1">
        <f>HYPERLINK("https://eurofarma-latam-crm.veevavault.com/#object/account__v/V4TZ025E82RY932", "Rachel Calich")</f>
        <v/>
      </c>
      <c r="B263" s="1">
        <f>HYPERLINK("https://eurofarma-latam-crm.veevavault.com/#object/account__v/V4TZ025E82RY932", "Rachel Calich")</f>
        <v/>
      </c>
      <c r="C263" t="inlineStr">
        <is>
          <t>RJ1246895</t>
        </is>
      </c>
      <c r="D263" t="inlineStr">
        <is>
          <t>PED</t>
        </is>
      </c>
      <c r="E263" t="inlineStr">
        <is>
          <t>Estrada do Galeão, 2920</t>
        </is>
      </c>
      <c r="F263" t="inlineStr">
        <is>
          <t>Portuguesa</t>
        </is>
      </c>
      <c r="G263" t="inlineStr">
        <is>
          <t>Rio de Janeiro</t>
        </is>
      </c>
      <c r="H263" t="inlineStr">
        <is>
          <t>RJ</t>
        </is>
      </c>
      <c r="I263" t="n">
        <v>5149</v>
      </c>
      <c r="J263" t="inlineStr">
        <is>
          <t>CAT 5</t>
        </is>
      </c>
      <c r="K263" t="inlineStr">
        <is>
          <t>N�o</t>
        </is>
      </c>
    </row>
    <row r="264">
      <c r="A264" s="1">
        <f>HYPERLINK("https://eurofarma-latam-crm.veevavault.com/#object/account__v/V4TZ0000191501P", "Rafael de Lemos")</f>
        <v/>
      </c>
      <c r="B264" s="1">
        <f>HYPERLINK("https://eurofarma-latam-crm.veevavault.com/#object/account__v/V4TZ0000191501P", "Rafael Prudêncio de Lemos")</f>
        <v/>
      </c>
      <c r="C264" t="inlineStr">
        <is>
          <t>RJ1053191</t>
        </is>
      </c>
      <c r="D264" t="inlineStr">
        <is>
          <t>NEU</t>
        </is>
      </c>
      <c r="E264" t="inlineStr">
        <is>
          <t>Avenida Roberto Silveira, 1533 - Loja 01</t>
        </is>
      </c>
      <c r="F264" t="inlineStr">
        <is>
          <t>Flamengo</t>
        </is>
      </c>
      <c r="G264" t="inlineStr">
        <is>
          <t>Maricá</t>
        </is>
      </c>
      <c r="H264" t="inlineStr">
        <is>
          <t>RJ</t>
        </is>
      </c>
      <c r="I264" t="n">
        <v>5149</v>
      </c>
      <c r="J264" t="inlineStr">
        <is>
          <t>CAT 2</t>
        </is>
      </c>
      <c r="K264" t="inlineStr">
        <is>
          <t>Sim</t>
        </is>
      </c>
    </row>
    <row r="265">
      <c r="A265" s="1">
        <f>HYPERLINK("https://eurofarma-latam-crm.veevavault.com/#object/account__v/V4TZ025E83W2IR9", "Raíssa dos Reis")</f>
        <v/>
      </c>
      <c r="B265" s="1">
        <f>HYPERLINK("https://eurofarma-latam-crm.veevavault.com/#object/account__v/V4TZ025E83W2IR9", "Raíssa Barreto dos Reis")</f>
        <v/>
      </c>
      <c r="C265" t="inlineStr">
        <is>
          <t>RJ1288482</t>
        </is>
      </c>
      <c r="D265" t="inlineStr">
        <is>
          <t>CLG / PA</t>
        </is>
      </c>
      <c r="E265" t="inlineStr">
        <is>
          <t>Rua Oito de Dezembro, 717</t>
        </is>
      </c>
      <c r="F265" t="inlineStr">
        <is>
          <t>Maracanã</t>
        </is>
      </c>
      <c r="G265" t="inlineStr">
        <is>
          <t>Rio de Janeiro</t>
        </is>
      </c>
      <c r="H265" t="inlineStr">
        <is>
          <t>RJ</t>
        </is>
      </c>
      <c r="I265" t="n">
        <v>5149</v>
      </c>
      <c r="J265" t="inlineStr">
        <is>
          <t>CAT 5</t>
        </is>
      </c>
      <c r="K265" t="inlineStr">
        <is>
          <t>N�o</t>
        </is>
      </c>
    </row>
    <row r="266">
      <c r="A266" s="1">
        <f>HYPERLINK("https://eurofarma-latam-crm.veevavault.com/#object/account__v/V4TZ000018NYJ6S", "Raphael Joaquim Cyrillo")</f>
        <v/>
      </c>
      <c r="B266" s="1">
        <f>HYPERLINK("https://eurofarma-latam-crm.veevavault.com/#object/account__v/V4TZ000018NYJ6S", "Raphael Joaquim Teles Cyrillo")</f>
        <v/>
      </c>
      <c r="C266" t="inlineStr">
        <is>
          <t>RJ0760358</t>
        </is>
      </c>
      <c r="D266" t="inlineStr">
        <is>
          <t>ORL</t>
        </is>
      </c>
      <c r="E266" t="inlineStr">
        <is>
          <t>Rua Marquês de Paraná, 303</t>
        </is>
      </c>
      <c r="F266" t="inlineStr">
        <is>
          <t>Centro</t>
        </is>
      </c>
      <c r="G266" t="inlineStr">
        <is>
          <t>Niterói</t>
        </is>
      </c>
      <c r="H266" t="inlineStr">
        <is>
          <t>RJ</t>
        </is>
      </c>
      <c r="I266" t="n">
        <v>5149</v>
      </c>
      <c r="J266" t="inlineStr">
        <is>
          <t>CAT 3</t>
        </is>
      </c>
      <c r="K266" t="inlineStr">
        <is>
          <t>Sim</t>
        </is>
      </c>
    </row>
    <row r="267">
      <c r="A267" s="1">
        <f>HYPERLINK("https://eurofarma-latam-crm.veevavault.com/#object/account__v/V4TZ00001914Z1H", "Raphael Ribeiro")</f>
        <v/>
      </c>
      <c r="B267" s="1">
        <f>HYPERLINK("https://eurofarma-latam-crm.veevavault.com/#object/account__v/V4TZ00001914Z1H", "Raphael Teixeira Ribeiro")</f>
        <v/>
      </c>
      <c r="C267" t="inlineStr">
        <is>
          <t>RJ1269623</t>
        </is>
      </c>
      <c r="D267" t="inlineStr">
        <is>
          <t>CLG / PA</t>
        </is>
      </c>
      <c r="E267" t="inlineStr">
        <is>
          <t>Rua Vicente de Lima Cleto, 296</t>
        </is>
      </c>
      <c r="F267" t="inlineStr">
        <is>
          <t>Nova Cidade</t>
        </is>
      </c>
      <c r="G267" t="inlineStr">
        <is>
          <t>São Gonçalo</t>
        </is>
      </c>
      <c r="H267" t="inlineStr">
        <is>
          <t>RJ</t>
        </is>
      </c>
      <c r="I267" t="n">
        <v>5149</v>
      </c>
      <c r="J267" t="inlineStr">
        <is>
          <t>CAT 4</t>
        </is>
      </c>
      <c r="K267" t="inlineStr">
        <is>
          <t>Sim</t>
        </is>
      </c>
    </row>
    <row r="268">
      <c r="A268" s="1">
        <f>HYPERLINK("https://eurofarma-latam-crm.veevavault.com/#object/account__v/V4TZ025E8ENITN1", "Raquel da Silva")</f>
        <v/>
      </c>
      <c r="B268" s="1">
        <f>HYPERLINK("https://eurofarma-latam-crm.veevavault.com/#object/account__v/V4TZ025E8ENITN1", "Raquel Queres Mattos da Silva")</f>
        <v/>
      </c>
      <c r="C268" t="inlineStr">
        <is>
          <t>RJ1377624</t>
        </is>
      </c>
      <c r="D268" t="inlineStr">
        <is>
          <t>CLG / PA</t>
        </is>
      </c>
      <c r="E268" t="inlineStr">
        <is>
          <t>Rua Osório Costa, S/N</t>
        </is>
      </c>
      <c r="F268" t="inlineStr">
        <is>
          <t>Colubande</t>
        </is>
      </c>
      <c r="G268" t="inlineStr">
        <is>
          <t>São Gonçalo</t>
        </is>
      </c>
      <c r="H268" t="inlineStr">
        <is>
          <t>RJ</t>
        </is>
      </c>
      <c r="I268" t="n">
        <v>5149</v>
      </c>
      <c r="J268" t="inlineStr">
        <is>
          <t>CAT 5</t>
        </is>
      </c>
      <c r="K268" t="inlineStr">
        <is>
          <t>N�o</t>
        </is>
      </c>
    </row>
    <row r="269">
      <c r="A269" s="1">
        <f>HYPERLINK("https://eurofarma-latam-crm.veevavault.com/#object/account__v/V4TZ025E85R2N8Z", "Rebeca Rios")</f>
        <v/>
      </c>
      <c r="B269" s="1">
        <f>HYPERLINK("https://eurofarma-latam-crm.veevavault.com/#object/account__v/V4TZ025E85R2N8Z", "Rebeca Bittencourt Jaqueira Rios")</f>
        <v/>
      </c>
      <c r="C269" t="inlineStr">
        <is>
          <t>RJ1319779</t>
        </is>
      </c>
      <c r="D269" t="inlineStr">
        <is>
          <t>CLG / PA</t>
        </is>
      </c>
      <c r="E269" t="inlineStr">
        <is>
          <t>Estrada do Pacheco, 1051</t>
        </is>
      </c>
      <c r="F269" t="inlineStr">
        <is>
          <t>Pacheco</t>
        </is>
      </c>
      <c r="G269" t="inlineStr">
        <is>
          <t>São Gonçalo</t>
        </is>
      </c>
      <c r="H269" t="inlineStr">
        <is>
          <t>RJ</t>
        </is>
      </c>
      <c r="I269" t="n">
        <v>5149</v>
      </c>
      <c r="J269" t="inlineStr">
        <is>
          <t>CAT 5</t>
        </is>
      </c>
      <c r="K269" t="inlineStr">
        <is>
          <t>Sim</t>
        </is>
      </c>
    </row>
    <row r="270">
      <c r="A270" s="1">
        <f>HYPERLINK("https://eurofarma-latam-crm.veevavault.com/#object/account__v/V4TZ0000191566G", "Rebeca Sabroso")</f>
        <v/>
      </c>
      <c r="B270" s="1">
        <f>HYPERLINK("https://eurofarma-latam-crm.veevavault.com/#object/account__v/V4TZ0000191566G", "Rebeca Peregrina Pugliese Sabroso")</f>
        <v/>
      </c>
      <c r="C270" t="inlineStr">
        <is>
          <t>RJ1057030</t>
        </is>
      </c>
      <c r="D270" t="inlineStr">
        <is>
          <t>PED</t>
        </is>
      </c>
      <c r="E270" t="inlineStr">
        <is>
          <t>Rua Oswaldo Cruz, S/N</t>
        </is>
      </c>
      <c r="F270" t="inlineStr">
        <is>
          <t>Bananal</t>
        </is>
      </c>
      <c r="G270" t="inlineStr">
        <is>
          <t>Guapimirim</t>
        </is>
      </c>
      <c r="H270" t="inlineStr">
        <is>
          <t>RJ</t>
        </is>
      </c>
      <c r="I270" t="n">
        <v>5149</v>
      </c>
      <c r="J270" t="inlineStr">
        <is>
          <t>CAT 4</t>
        </is>
      </c>
      <c r="K270" t="inlineStr">
        <is>
          <t>Sim</t>
        </is>
      </c>
    </row>
    <row r="271">
      <c r="A271" s="1">
        <f>HYPERLINK("https://eurofarma-latam-crm.veevavault.com/#object/account__v/V4TZ000018NY2WH", "Renata Silva")</f>
        <v/>
      </c>
      <c r="B271" s="1">
        <f>HYPERLINK("https://eurofarma-latam-crm.veevavault.com/#object/account__v/V4TZ000018NY2WH", "Renata Freitas Silva")</f>
        <v/>
      </c>
      <c r="C271" t="inlineStr">
        <is>
          <t>RJ0923770</t>
        </is>
      </c>
      <c r="D271" t="inlineStr">
        <is>
          <t>ORL</t>
        </is>
      </c>
      <c r="E271" t="inlineStr">
        <is>
          <t>Rua Ator Paulo Gustavo, 160 - Sala 1315</t>
        </is>
      </c>
      <c r="F271" t="inlineStr">
        <is>
          <t>Icaraí</t>
        </is>
      </c>
      <c r="G271" t="inlineStr">
        <is>
          <t>Niterói</t>
        </is>
      </c>
      <c r="H271" t="inlineStr">
        <is>
          <t>RJ</t>
        </is>
      </c>
      <c r="I271" t="n">
        <v>5149</v>
      </c>
      <c r="J271" t="inlineStr">
        <is>
          <t>CAT 4</t>
        </is>
      </c>
      <c r="K271" t="inlineStr">
        <is>
          <t>Sim</t>
        </is>
      </c>
    </row>
    <row r="272">
      <c r="A272" s="1">
        <f>HYPERLINK("https://eurofarma-latam-crm.veevavault.com/#object/account__v/V4TZ00001914MO0", "Ricardo de Goes")</f>
        <v/>
      </c>
      <c r="B272" s="1">
        <f>HYPERLINK("https://eurofarma-latam-crm.veevavault.com/#object/account__v/V4TZ00001914MO0", "Ricardo Garcia de Goes")</f>
        <v/>
      </c>
      <c r="C272" t="inlineStr">
        <is>
          <t>RJ0472697</t>
        </is>
      </c>
      <c r="D272" t="inlineStr">
        <is>
          <t>NEU</t>
        </is>
      </c>
      <c r="E272" t="inlineStr">
        <is>
          <t>Rua Manuel João Gonçalves, 280 - : Parte;</t>
        </is>
      </c>
      <c r="F272" t="inlineStr">
        <is>
          <t>Alcântara</t>
        </is>
      </c>
      <c r="G272" t="inlineStr">
        <is>
          <t>São Gonçalo</t>
        </is>
      </c>
      <c r="H272" t="inlineStr">
        <is>
          <t>RJ</t>
        </is>
      </c>
      <c r="I272" t="n">
        <v>5149</v>
      </c>
      <c r="J272" t="inlineStr">
        <is>
          <t>CAT 2</t>
        </is>
      </c>
      <c r="K272" t="inlineStr">
        <is>
          <t>Sim</t>
        </is>
      </c>
    </row>
    <row r="273">
      <c r="A273" s="1">
        <f>HYPERLINK("https://eurofarma-latam-crm.veevavault.com/#object/account__v/V4TZ00001915EUZ", "Ricardo Drumond")</f>
        <v/>
      </c>
      <c r="B273" s="1">
        <f>HYPERLINK("https://eurofarma-latam-crm.veevavault.com/#object/account__v/V4TZ00001915EUZ", "Ricardo Malheiros Drumond")</f>
        <v/>
      </c>
      <c r="C273" t="inlineStr">
        <is>
          <t>RJ0669318</t>
        </is>
      </c>
      <c r="D273" t="inlineStr">
        <is>
          <t>END</t>
        </is>
      </c>
      <c r="E273" t="inlineStr">
        <is>
          <t>Rua Cândido Reis, 89</t>
        </is>
      </c>
      <c r="F273" t="inlineStr">
        <is>
          <t>Coelho</t>
        </is>
      </c>
      <c r="G273" t="inlineStr">
        <is>
          <t>São Gonçalo</t>
        </is>
      </c>
      <c r="H273" t="inlineStr">
        <is>
          <t>RJ</t>
        </is>
      </c>
      <c r="I273" t="n">
        <v>5149</v>
      </c>
      <c r="J273" t="inlineStr">
        <is>
          <t>CAT 3</t>
        </is>
      </c>
      <c r="K273" t="inlineStr">
        <is>
          <t>Sim</t>
        </is>
      </c>
    </row>
    <row r="274">
      <c r="A274" s="1">
        <f>HYPERLINK("https://eurofarma-latam-crm.veevavault.com/#object/account__v/V4TZ000018NYHGU", "Roberto Simonetti")</f>
        <v/>
      </c>
      <c r="B274" s="1">
        <f>HYPERLINK("https://eurofarma-latam-crm.veevavault.com/#object/account__v/V4TZ000018NYHGU", "Roberto Marino Simonetti")</f>
        <v/>
      </c>
      <c r="C274" t="inlineStr">
        <is>
          <t>RJ0187330</t>
        </is>
      </c>
      <c r="D274" t="inlineStr">
        <is>
          <t>PSQ</t>
        </is>
      </c>
      <c r="E274" t="inlineStr">
        <is>
          <t>Rua Gabriel Henrique de Farias Júnior, 61 - Quadra 81 Lote 07</t>
        </is>
      </c>
      <c r="F274" t="inlineStr">
        <is>
          <t>Centro</t>
        </is>
      </c>
      <c r="G274" t="inlineStr">
        <is>
          <t>Maricá</t>
        </is>
      </c>
      <c r="H274" t="inlineStr">
        <is>
          <t>RJ</t>
        </is>
      </c>
      <c r="I274" t="n">
        <v>5149</v>
      </c>
      <c r="J274" t="inlineStr">
        <is>
          <t>CAT 3</t>
        </is>
      </c>
      <c r="K274" t="inlineStr">
        <is>
          <t>Sim</t>
        </is>
      </c>
    </row>
    <row r="275">
      <c r="A275" s="1">
        <f>HYPERLINK("https://eurofarma-latam-crm.veevavault.com/#object/account__v/V4TZ000019145YF", "Robson Pimentel")</f>
        <v/>
      </c>
      <c r="B275" s="1">
        <f>HYPERLINK("https://eurofarma-latam-crm.veevavault.com/#object/account__v/V4TZ000019145YF", "Robson Azevedo Pimentel")</f>
        <v/>
      </c>
      <c r="C275" t="inlineStr">
        <is>
          <t>RJ0712760,SP0127512</t>
        </is>
      </c>
      <c r="D275" t="inlineStr"/>
      <c r="E275" t="inlineStr">
        <is>
          <t>Rua Doze de Fevereiro, 103 - Loja A/B e Lote 23A PA7190 QDR 4</t>
        </is>
      </c>
      <c r="F275" t="inlineStr">
        <is>
          <t>Bangu</t>
        </is>
      </c>
      <c r="G275" t="inlineStr">
        <is>
          <t>Rio de Janeiro</t>
        </is>
      </c>
      <c r="H275" t="inlineStr">
        <is>
          <t>RJ</t>
        </is>
      </c>
      <c r="I275" t="n">
        <v>5149</v>
      </c>
      <c r="J275" t="inlineStr"/>
      <c r="K275" t="inlineStr"/>
    </row>
    <row r="276">
      <c r="A276" s="1">
        <f>HYPERLINK("https://eurofarma-latam-crm.veevavault.com/#object/account__v/V4TZ00001913YEB", "Rodolfo Fred Behrsin")</f>
        <v/>
      </c>
      <c r="B276" s="1">
        <f>HYPERLINK("https://eurofarma-latam-crm.veevavault.com/#object/account__v/V4TZ00001913YEB", "Rodolfo Fred Behrsin")</f>
        <v/>
      </c>
      <c r="C276" t="inlineStr">
        <is>
          <t>RJ0588300</t>
        </is>
      </c>
      <c r="D276" t="inlineStr">
        <is>
          <t>CLG</t>
        </is>
      </c>
      <c r="E276" t="inlineStr">
        <is>
          <t>Rua Presidente Castelo Branco, 170</t>
        </is>
      </c>
      <c r="F276" t="inlineStr">
        <is>
          <t>Centro</t>
        </is>
      </c>
      <c r="G276" t="inlineStr">
        <is>
          <t>Itaboraí</t>
        </is>
      </c>
      <c r="H276" t="inlineStr">
        <is>
          <t>RJ</t>
        </is>
      </c>
      <c r="I276" t="n">
        <v>5149</v>
      </c>
      <c r="J276" t="inlineStr">
        <is>
          <t>CAT 3</t>
        </is>
      </c>
      <c r="K276" t="inlineStr">
        <is>
          <t>Sim</t>
        </is>
      </c>
    </row>
    <row r="277">
      <c r="A277" s="1">
        <f>HYPERLINK("https://eurofarma-latam-crm.veevavault.com/#object/account__v/V4TZ00001915UFJ", "Rodrigo da Costa")</f>
        <v/>
      </c>
      <c r="B277" s="1">
        <f>HYPERLINK("https://eurofarma-latam-crm.veevavault.com/#object/account__v/V4TZ00001915UFJ", "Rodrigo Flores da Costa")</f>
        <v/>
      </c>
      <c r="C277" t="inlineStr">
        <is>
          <t>RJ0774430</t>
        </is>
      </c>
      <c r="D277" t="inlineStr">
        <is>
          <t>PSQ</t>
        </is>
      </c>
      <c r="E277" t="inlineStr">
        <is>
          <t>Rua Alzira Vargas, S/N</t>
        </is>
      </c>
      <c r="F277" t="inlineStr">
        <is>
          <t>Santa Luzia</t>
        </is>
      </c>
      <c r="G277" t="inlineStr">
        <is>
          <t>São Gonçalo</t>
        </is>
      </c>
      <c r="H277" t="inlineStr">
        <is>
          <t>RJ</t>
        </is>
      </c>
      <c r="I277" t="n">
        <v>5149</v>
      </c>
      <c r="J277" t="inlineStr">
        <is>
          <t>CAT 1</t>
        </is>
      </c>
      <c r="K277" t="inlineStr">
        <is>
          <t>Sim</t>
        </is>
      </c>
    </row>
    <row r="278">
      <c r="A278" s="1">
        <f>HYPERLINK("https://eurofarma-latam-crm.veevavault.com/#object/account__v/V4TZ00001914MIH", "Rodrigo Pozzatti")</f>
        <v/>
      </c>
      <c r="B278" s="1">
        <f>HYPERLINK("https://eurofarma-latam-crm.veevavault.com/#object/account__v/V4TZ00001914MIH", "Rodrigo Roitman Pozzatti")</f>
        <v/>
      </c>
      <c r="C278" t="inlineStr">
        <is>
          <t>RJ1039326</t>
        </is>
      </c>
      <c r="D278" t="inlineStr">
        <is>
          <t>ORT</t>
        </is>
      </c>
      <c r="E278" t="inlineStr">
        <is>
          <t>Rua La Sale, 12</t>
        </is>
      </c>
      <c r="F278" t="inlineStr">
        <is>
          <t>Centro</t>
        </is>
      </c>
      <c r="G278" t="inlineStr">
        <is>
          <t>Niterói</t>
        </is>
      </c>
      <c r="H278" t="inlineStr">
        <is>
          <t>RJ</t>
        </is>
      </c>
      <c r="I278" t="n">
        <v>5149</v>
      </c>
      <c r="J278" t="inlineStr">
        <is>
          <t>CAT 5</t>
        </is>
      </c>
      <c r="K278" t="inlineStr">
        <is>
          <t>N�o</t>
        </is>
      </c>
    </row>
    <row r="279">
      <c r="A279" s="1">
        <f>HYPERLINK("https://eurofarma-latam-crm.veevavault.com/#object/account__v/V4TZ000018NXSPG", "Rojane dos Santos")</f>
        <v/>
      </c>
      <c r="B279" s="1">
        <f>HYPERLINK("https://eurofarma-latam-crm.veevavault.com/#object/account__v/V4TZ000018NXSPG", "Rojane Cunha dos Santos")</f>
        <v/>
      </c>
      <c r="C279" t="inlineStr">
        <is>
          <t>RJ0489284</t>
        </is>
      </c>
      <c r="D279" t="inlineStr">
        <is>
          <t>GAS</t>
        </is>
      </c>
      <c r="E279" t="inlineStr">
        <is>
          <t>Rua Manoel de Abreu, 9 - Parte</t>
        </is>
      </c>
      <c r="F279" t="inlineStr">
        <is>
          <t>Centro</t>
        </is>
      </c>
      <c r="G279" t="inlineStr">
        <is>
          <t>Niterói</t>
        </is>
      </c>
      <c r="H279" t="inlineStr">
        <is>
          <t>RJ</t>
        </is>
      </c>
      <c r="I279" t="n">
        <v>5149</v>
      </c>
      <c r="J279" t="inlineStr">
        <is>
          <t>CAT 2</t>
        </is>
      </c>
      <c r="K279" t="inlineStr">
        <is>
          <t>Sim</t>
        </is>
      </c>
    </row>
    <row r="280">
      <c r="A280" s="1">
        <f>HYPERLINK("https://eurofarma-latam-crm.veevavault.com/#object/account__v/V4TZ0000191428O", "Romulo Leporaes")</f>
        <v/>
      </c>
      <c r="B280" s="1">
        <f>HYPERLINK("https://eurofarma-latam-crm.veevavault.com/#object/account__v/V4TZ0000191428O", "Romulo Costa Almeida Leporaes")</f>
        <v/>
      </c>
      <c r="C280" t="inlineStr">
        <is>
          <t>RJ1174924</t>
        </is>
      </c>
      <c r="D280" t="inlineStr">
        <is>
          <t>PSQ</t>
        </is>
      </c>
      <c r="E280" t="inlineStr">
        <is>
          <t>Rod Washington Luiz, S/N - Km 113 7</t>
        </is>
      </c>
      <c r="F280" t="inlineStr">
        <is>
          <t>Vila Itamarati</t>
        </is>
      </c>
      <c r="G280" t="inlineStr">
        <is>
          <t>Duque de Caxias</t>
        </is>
      </c>
      <c r="H280" t="inlineStr">
        <is>
          <t>RJ</t>
        </is>
      </c>
      <c r="I280" t="n">
        <v>5149</v>
      </c>
      <c r="J280" t="inlineStr">
        <is>
          <t>CAT 2</t>
        </is>
      </c>
      <c r="K280" t="inlineStr">
        <is>
          <t>Sim</t>
        </is>
      </c>
    </row>
    <row r="281">
      <c r="A281" s="1">
        <f>HYPERLINK("https://eurofarma-latam-crm.veevavault.com/#object/account__v/V4TZ00001916BIK", "Ronaldo dos Santos")</f>
        <v/>
      </c>
      <c r="B281" s="1">
        <f>HYPERLINK("https://eurofarma-latam-crm.veevavault.com/#object/account__v/V4TZ00001916BIK", "Ronaldo Veiga dos Santos")</f>
        <v/>
      </c>
      <c r="C281" t="inlineStr">
        <is>
          <t>RJ0570670</t>
        </is>
      </c>
      <c r="D281" t="inlineStr">
        <is>
          <t>NEU</t>
        </is>
      </c>
      <c r="E281" t="inlineStr">
        <is>
          <t>Rua Nilo Pecanha, 123</t>
        </is>
      </c>
      <c r="F281" t="inlineStr">
        <is>
          <t>Centro</t>
        </is>
      </c>
      <c r="G281" t="inlineStr">
        <is>
          <t>Casimiro de Abreu</t>
        </is>
      </c>
      <c r="H281" t="inlineStr">
        <is>
          <t>RJ</t>
        </is>
      </c>
      <c r="I281" t="n">
        <v>5149</v>
      </c>
      <c r="J281" t="inlineStr">
        <is>
          <t>CAT 3</t>
        </is>
      </c>
      <c r="K281" t="inlineStr">
        <is>
          <t>Sim</t>
        </is>
      </c>
    </row>
    <row r="282">
      <c r="A282" s="1">
        <f>HYPERLINK("https://eurofarma-latam-crm.veevavault.com/#object/account__v/V4TZ00001915CO2", "Ronaldo Martins")</f>
        <v/>
      </c>
      <c r="B282" s="1">
        <f>HYPERLINK("https://eurofarma-latam-crm.veevavault.com/#object/account__v/V4TZ00001915CO2", "Ronaldo Madruga Martins")</f>
        <v/>
      </c>
      <c r="C282" t="inlineStr">
        <is>
          <t>RJ0281215</t>
        </is>
      </c>
      <c r="D282" t="inlineStr">
        <is>
          <t>PED</t>
        </is>
      </c>
      <c r="E282" t="inlineStr">
        <is>
          <t>Avenida Luiz Fernando de Oliveira Nanci, S/N - Lote 3 Quadra 10</t>
        </is>
      </c>
      <c r="F282" t="inlineStr">
        <is>
          <t>Nancilândia</t>
        </is>
      </c>
      <c r="G282" t="inlineStr">
        <is>
          <t>Itaboraí</t>
        </is>
      </c>
      <c r="H282" t="inlineStr">
        <is>
          <t>RJ</t>
        </is>
      </c>
      <c r="I282" t="n">
        <v>5149</v>
      </c>
      <c r="J282" t="inlineStr">
        <is>
          <t>CAT 5</t>
        </is>
      </c>
      <c r="K282" t="inlineStr">
        <is>
          <t>Sim</t>
        </is>
      </c>
    </row>
    <row r="283">
      <c r="A283" s="1">
        <f>HYPERLINK("https://eurofarma-latam-crm.veevavault.com/#object/account__v/V4TZ025E8DLO4P1", "Roque Boff")</f>
        <v/>
      </c>
      <c r="B283" s="1">
        <f>HYPERLINK("https://eurofarma-latam-crm.veevavault.com/#object/account__v/V4TZ025E8DLO4P1", "Roque Willians da Silva Boff")</f>
        <v/>
      </c>
      <c r="C283" t="inlineStr">
        <is>
          <t>RJ1371751</t>
        </is>
      </c>
      <c r="D283" t="inlineStr">
        <is>
          <t>CLG / PA</t>
        </is>
      </c>
      <c r="E283" t="inlineStr">
        <is>
          <t>Rodovia BR-493, S/N</t>
        </is>
      </c>
      <c r="F283" t="inlineStr">
        <is>
          <t>Centro (Manilha)</t>
        </is>
      </c>
      <c r="G283" t="inlineStr">
        <is>
          <t>Itaboraí</t>
        </is>
      </c>
      <c r="H283" t="inlineStr">
        <is>
          <t>RJ</t>
        </is>
      </c>
      <c r="I283" t="n">
        <v>5149</v>
      </c>
      <c r="J283" t="inlineStr">
        <is>
          <t>CAT 5</t>
        </is>
      </c>
      <c r="K283" t="inlineStr">
        <is>
          <t>Sim</t>
        </is>
      </c>
    </row>
    <row r="284">
      <c r="A284" s="1">
        <f>HYPERLINK("https://eurofarma-latam-crm.veevavault.com/#object/account__v/V4TZ00001914TVO", "Rosa Galvao")</f>
        <v/>
      </c>
      <c r="B284" s="1">
        <f>HYPERLINK("https://eurofarma-latam-crm.veevavault.com/#object/account__v/V4TZ00001914TVO", "Rosa Maria Correa Galvao")</f>
        <v/>
      </c>
      <c r="C284" t="inlineStr">
        <is>
          <t>RJ0025370</t>
        </is>
      </c>
      <c r="D284" t="inlineStr">
        <is>
          <t>PED</t>
        </is>
      </c>
      <c r="E284" t="inlineStr">
        <is>
          <t>Rua Coronel Serrado, 943</t>
        </is>
      </c>
      <c r="F284" t="inlineStr">
        <is>
          <t>Zé Garoto</t>
        </is>
      </c>
      <c r="G284" t="inlineStr">
        <is>
          <t>São Gonçalo</t>
        </is>
      </c>
      <c r="H284" t="inlineStr">
        <is>
          <t>RJ</t>
        </is>
      </c>
      <c r="I284" t="n">
        <v>5149</v>
      </c>
      <c r="J284" t="inlineStr">
        <is>
          <t>CAT 5</t>
        </is>
      </c>
      <c r="K284" t="inlineStr">
        <is>
          <t>N�o</t>
        </is>
      </c>
    </row>
    <row r="285">
      <c r="A285" s="1">
        <f>HYPERLINK("https://eurofarma-latam-crm.veevavault.com/#object/account__v/V4TZ00001913PP0", "Rosalia Ramos")</f>
        <v/>
      </c>
      <c r="B285" s="1">
        <f>HYPERLINK("https://eurofarma-latam-crm.veevavault.com/#object/account__v/V4TZ00001913PP0", "Rosalia Goncalves Ramos")</f>
        <v/>
      </c>
      <c r="C285" t="inlineStr">
        <is>
          <t>RJ0565485</t>
        </is>
      </c>
      <c r="D285" t="inlineStr">
        <is>
          <t>CLG / END</t>
        </is>
      </c>
      <c r="E285" t="inlineStr">
        <is>
          <t>Rua Marquês de Paraná, 303</t>
        </is>
      </c>
      <c r="F285" t="inlineStr">
        <is>
          <t>Centro</t>
        </is>
      </c>
      <c r="G285" t="inlineStr">
        <is>
          <t>Niterói</t>
        </is>
      </c>
      <c r="H285" t="inlineStr">
        <is>
          <t>RJ</t>
        </is>
      </c>
      <c r="I285" t="n">
        <v>5149</v>
      </c>
      <c r="J285" t="inlineStr">
        <is>
          <t>CAT 5</t>
        </is>
      </c>
      <c r="K285" t="inlineStr">
        <is>
          <t>N�o</t>
        </is>
      </c>
    </row>
    <row r="286">
      <c r="A286" s="1">
        <f>HYPERLINK("https://eurofarma-latam-crm.veevavault.com/#object/account__v/V4TZ025E8AUZ2NX", "Rosângela Noronha")</f>
        <v/>
      </c>
      <c r="B286" s="1">
        <f>HYPERLINK("https://eurofarma-latam-crm.veevavault.com/#object/account__v/V4TZ025E8AUZ2NX", "Rosângela da Costa Noronha")</f>
        <v/>
      </c>
      <c r="C286" t="inlineStr">
        <is>
          <t>RJ0135577,RJ1355775</t>
        </is>
      </c>
      <c r="D286" t="inlineStr">
        <is>
          <t>CLG / PA</t>
        </is>
      </c>
      <c r="E286" t="inlineStr">
        <is>
          <t>Rodovia Ernani do Amaral Peixoto, 23269 - Quadra GLD Lote 2</t>
        </is>
      </c>
      <c r="F286" t="inlineStr">
        <is>
          <t>São José do Imbassaí</t>
        </is>
      </c>
      <c r="G286" t="inlineStr">
        <is>
          <t>Maricá</t>
        </is>
      </c>
      <c r="H286" t="inlineStr">
        <is>
          <t>RJ</t>
        </is>
      </c>
      <c r="I286" t="n">
        <v>5149</v>
      </c>
      <c r="J286" t="inlineStr">
        <is>
          <t>CAT 5</t>
        </is>
      </c>
      <c r="K286" t="inlineStr">
        <is>
          <t>Sim</t>
        </is>
      </c>
    </row>
    <row r="287">
      <c r="A287" s="1">
        <f>HYPERLINK("https://eurofarma-latam-crm.veevavault.com/#object/account__v/V4TZ000019140LR", "Rosimara Franco")</f>
        <v/>
      </c>
      <c r="B287" s="1">
        <f>HYPERLINK("https://eurofarma-latam-crm.veevavault.com/#object/account__v/V4TZ000019140LR", "Rosimara Wilson de Souza Mendes Franco")</f>
        <v/>
      </c>
      <c r="C287" t="inlineStr">
        <is>
          <t>RJ0604171</t>
        </is>
      </c>
      <c r="D287" t="inlineStr">
        <is>
          <t>PED</t>
        </is>
      </c>
      <c r="E287" t="inlineStr">
        <is>
          <t>Rua Alexandre Muniz, 348 - Ap 104</t>
        </is>
      </c>
      <c r="F287" t="inlineStr">
        <is>
          <t>Raul Veiga</t>
        </is>
      </c>
      <c r="G287" t="inlineStr">
        <is>
          <t>São Gonçalo</t>
        </is>
      </c>
      <c r="H287" t="inlineStr">
        <is>
          <t>RJ</t>
        </is>
      </c>
      <c r="I287" t="n">
        <v>5149</v>
      </c>
      <c r="J287" t="inlineStr">
        <is>
          <t>CAT 4</t>
        </is>
      </c>
      <c r="K287" t="inlineStr">
        <is>
          <t>Sim</t>
        </is>
      </c>
    </row>
    <row r="288">
      <c r="A288" s="1">
        <f>HYPERLINK("https://eurofarma-latam-crm.veevavault.com/#object/account__v/V4TZ025E82P3R6Y", "Rosimere Muniz")</f>
        <v/>
      </c>
      <c r="B288" s="1">
        <f>HYPERLINK("https://eurofarma-latam-crm.veevavault.com/#object/account__v/V4TZ025E82P3R6Y", "Rosimere Gomes Muniz")</f>
        <v/>
      </c>
      <c r="C288" t="inlineStr">
        <is>
          <t>RJ0260584</t>
        </is>
      </c>
      <c r="D288" t="inlineStr">
        <is>
          <t>CLG</t>
        </is>
      </c>
      <c r="E288" t="inlineStr">
        <is>
          <t>Rua João de Almeida, 109</t>
        </is>
      </c>
      <c r="F288" t="inlineStr">
        <is>
          <t>Alcântara</t>
        </is>
      </c>
      <c r="G288" t="inlineStr">
        <is>
          <t>São Gonçalo</t>
        </is>
      </c>
      <c r="H288" t="inlineStr">
        <is>
          <t>RJ</t>
        </is>
      </c>
      <c r="I288" t="n">
        <v>5149</v>
      </c>
      <c r="J288" t="inlineStr">
        <is>
          <t>CAT 5</t>
        </is>
      </c>
      <c r="K288" t="inlineStr">
        <is>
          <t>Sim</t>
        </is>
      </c>
    </row>
    <row r="289">
      <c r="A289" s="1">
        <f>HYPERLINK("https://eurofarma-latam-crm.veevavault.com/#object/account__v/V4TZ0000191424U", "Roziney Salimena")</f>
        <v/>
      </c>
      <c r="B289" s="1">
        <f>HYPERLINK("https://eurofarma-latam-crm.veevavault.com/#object/account__v/V4TZ0000191424U", "Roziney Dias Winter Salimena")</f>
        <v/>
      </c>
      <c r="C289" t="inlineStr">
        <is>
          <t>RJ0710660</t>
        </is>
      </c>
      <c r="D289" t="inlineStr">
        <is>
          <t>URO</t>
        </is>
      </c>
      <c r="E289" t="inlineStr">
        <is>
          <t>Travessa Jorge Soares, 196</t>
        </is>
      </c>
      <c r="F289" t="inlineStr">
        <is>
          <t>Centro</t>
        </is>
      </c>
      <c r="G289" t="inlineStr">
        <is>
          <t>São Gonçalo</t>
        </is>
      </c>
      <c r="H289" t="inlineStr">
        <is>
          <t>RJ</t>
        </is>
      </c>
      <c r="I289" t="n">
        <v>5149</v>
      </c>
      <c r="J289" t="inlineStr">
        <is>
          <t>CAT 3</t>
        </is>
      </c>
      <c r="K289" t="inlineStr">
        <is>
          <t>Sim</t>
        </is>
      </c>
    </row>
    <row r="290">
      <c r="A290" s="1">
        <f>HYPERLINK("https://eurofarma-latam-crm.veevavault.com/#object/account__v/V4TZ00001916BKD", "Sabrina Hausmann")</f>
        <v/>
      </c>
      <c r="B290" s="1">
        <f>HYPERLINK("https://eurofarma-latam-crm.veevavault.com/#object/account__v/V4TZ00001916BKD", "Sabrina Fernandes Campos Hausmann")</f>
        <v/>
      </c>
      <c r="C290" t="inlineStr">
        <is>
          <t>RJ1278436</t>
        </is>
      </c>
      <c r="D290" t="inlineStr">
        <is>
          <t>PED</t>
        </is>
      </c>
      <c r="E290" t="inlineStr">
        <is>
          <t>Rua Osório Costa, S/N</t>
        </is>
      </c>
      <c r="F290" t="inlineStr">
        <is>
          <t>Colubande</t>
        </is>
      </c>
      <c r="G290" t="inlineStr">
        <is>
          <t>São Gonçalo</t>
        </is>
      </c>
      <c r="H290" t="inlineStr">
        <is>
          <t>RJ</t>
        </is>
      </c>
      <c r="I290" t="n">
        <v>5149</v>
      </c>
      <c r="J290" t="inlineStr">
        <is>
          <t>CAT 5</t>
        </is>
      </c>
      <c r="K290" t="inlineStr">
        <is>
          <t>N�o</t>
        </is>
      </c>
    </row>
    <row r="291">
      <c r="A291" s="1">
        <f>HYPERLINK("https://eurofarma-latam-crm.veevavault.com/#object/account__v/V4T00000000A033", "Sallon dos Santos")</f>
        <v/>
      </c>
      <c r="B291" s="1">
        <f>HYPERLINK("https://eurofarma-latam-crm.veevavault.com/#object/account__v/V4T00000000A033", "Sallon Carneiro dos Santos")</f>
        <v/>
      </c>
      <c r="C291" t="inlineStr">
        <is>
          <t>RJ1383813</t>
        </is>
      </c>
      <c r="D291" t="inlineStr">
        <is>
          <t>CLG / PA</t>
        </is>
      </c>
      <c r="E291" t="inlineStr">
        <is>
          <t>Rua Desembargador Ferreira Pinto, 721 - Parte</t>
        </is>
      </c>
      <c r="F291" t="inlineStr">
        <is>
          <t>Centro</t>
        </is>
      </c>
      <c r="G291" t="inlineStr">
        <is>
          <t>Itaboraí</t>
        </is>
      </c>
      <c r="H291" t="inlineStr">
        <is>
          <t>RJ</t>
        </is>
      </c>
      <c r="I291" t="n">
        <v>5149</v>
      </c>
      <c r="J291" t="inlineStr"/>
      <c r="K291" t="inlineStr"/>
    </row>
    <row r="292">
      <c r="A292" s="1">
        <f>HYPERLINK("https://eurofarma-latam-crm.veevavault.com/#object/account__v/V4TZ025E8FEMMVV", "Samara Reis")</f>
        <v/>
      </c>
      <c r="B292" s="1">
        <f>HYPERLINK("https://eurofarma-latam-crm.veevavault.com/#object/account__v/V4TZ025E8FEMMVV", "Samara Leal Lagoas Dos Reis")</f>
        <v/>
      </c>
      <c r="C292" t="inlineStr">
        <is>
          <t>RJ1391886</t>
        </is>
      </c>
      <c r="D292" t="inlineStr">
        <is>
          <t>CLG / PA</t>
        </is>
      </c>
      <c r="E292" t="inlineStr">
        <is>
          <t>Rua Osório Costa, S/N</t>
        </is>
      </c>
      <c r="F292" t="inlineStr">
        <is>
          <t>Colubande</t>
        </is>
      </c>
      <c r="G292" t="inlineStr">
        <is>
          <t>São Gonçalo</t>
        </is>
      </c>
      <c r="H292" t="inlineStr">
        <is>
          <t>RJ</t>
        </is>
      </c>
      <c r="I292" t="n">
        <v>5149</v>
      </c>
      <c r="J292" t="inlineStr">
        <is>
          <t>CAT 5</t>
        </is>
      </c>
      <c r="K292" t="inlineStr">
        <is>
          <t>N�o</t>
        </is>
      </c>
    </row>
    <row r="293">
      <c r="A293" s="1">
        <f>HYPERLINK("https://eurofarma-latam-crm.veevavault.com/#object/account__v/V4TZ000018NXVA3", "Sandro Cerbino")</f>
        <v/>
      </c>
      <c r="B293" s="1">
        <f>HYPERLINK("https://eurofarma-latam-crm.veevavault.com/#object/account__v/V4TZ000018NXVA3", "Sandro de Albuquerque Cerbino")</f>
        <v/>
      </c>
      <c r="C293" t="inlineStr">
        <is>
          <t>RJ0921602</t>
        </is>
      </c>
      <c r="D293" t="inlineStr">
        <is>
          <t>END</t>
        </is>
      </c>
      <c r="E293" t="inlineStr">
        <is>
          <t>Rua Barão da Torre, 226</t>
        </is>
      </c>
      <c r="F293" t="inlineStr">
        <is>
          <t>Ipanema</t>
        </is>
      </c>
      <c r="G293" t="inlineStr">
        <is>
          <t>Rio de Janeiro</t>
        </is>
      </c>
      <c r="H293" t="inlineStr">
        <is>
          <t>RJ</t>
        </is>
      </c>
      <c r="I293" t="n">
        <v>5149</v>
      </c>
      <c r="J293" t="inlineStr">
        <is>
          <t>CAT 2</t>
        </is>
      </c>
      <c r="K293" t="inlineStr">
        <is>
          <t>Sim</t>
        </is>
      </c>
    </row>
    <row r="294">
      <c r="A294" s="1">
        <f>HYPERLINK("https://eurofarma-latam-crm.veevavault.com/#object/account__v/V4TZ00001913KWP", "Sandro Conde")</f>
        <v/>
      </c>
      <c r="B294" s="1">
        <f>HYPERLINK("https://eurofarma-latam-crm.veevavault.com/#object/account__v/V4TZ00001913KWP", "Sandro Clay Maues Conde")</f>
        <v/>
      </c>
      <c r="C294" t="inlineStr">
        <is>
          <t>RJ0669431</t>
        </is>
      </c>
      <c r="D294" t="inlineStr">
        <is>
          <t>ORT</t>
        </is>
      </c>
      <c r="E294" t="inlineStr">
        <is>
          <t>Rua Bernardo Vasconcelos, 477</t>
        </is>
      </c>
      <c r="F294" t="inlineStr">
        <is>
          <t>Centro</t>
        </is>
      </c>
      <c r="G294" t="inlineStr">
        <is>
          <t>Araruama</t>
        </is>
      </c>
      <c r="H294" t="inlineStr">
        <is>
          <t>RJ</t>
        </is>
      </c>
      <c r="I294" t="n">
        <v>5149</v>
      </c>
      <c r="J294" t="inlineStr">
        <is>
          <t>CAT 5</t>
        </is>
      </c>
      <c r="K294" t="inlineStr">
        <is>
          <t>N�o</t>
        </is>
      </c>
    </row>
    <row r="295">
      <c r="A295" s="1">
        <f>HYPERLINK("https://eurofarma-latam-crm.veevavault.com/#object/account__v/V4TZ00001912W3Y", "Sergio Andreolli")</f>
        <v/>
      </c>
      <c r="B295" s="1">
        <f>HYPERLINK("https://eurofarma-latam-crm.veevavault.com/#object/account__v/V4TZ00001912W3Y", "Sergio Andreolli")</f>
        <v/>
      </c>
      <c r="C295" t="inlineStr">
        <is>
          <t>RJ0503314</t>
        </is>
      </c>
      <c r="D295" t="inlineStr">
        <is>
          <t>CLG</t>
        </is>
      </c>
      <c r="E295" t="inlineStr">
        <is>
          <t>Rua Yolanda Saad Abuzaid, 150 - Sala 1002</t>
        </is>
      </c>
      <c r="F295" t="inlineStr">
        <is>
          <t>Alcântara</t>
        </is>
      </c>
      <c r="G295" t="inlineStr">
        <is>
          <t>São Gonçalo</t>
        </is>
      </c>
      <c r="H295" t="inlineStr">
        <is>
          <t>RJ</t>
        </is>
      </c>
      <c r="I295" t="n">
        <v>5149</v>
      </c>
      <c r="J295" t="inlineStr">
        <is>
          <t>CAT 4</t>
        </is>
      </c>
      <c r="K295" t="inlineStr">
        <is>
          <t>Sim</t>
        </is>
      </c>
    </row>
    <row r="296">
      <c r="A296" s="1">
        <f>HYPERLINK("https://eurofarma-latam-crm.veevavault.com/#object/account__v/V4TZ000018NYQIO", "Sergio Augusto Pena")</f>
        <v/>
      </c>
      <c r="B296" s="1">
        <f>HYPERLINK("https://eurofarma-latam-crm.veevavault.com/#object/account__v/V4TZ000018NYQIO", "Sergio Augusto Maia Pena")</f>
        <v/>
      </c>
      <c r="C296" t="inlineStr">
        <is>
          <t>RJ0890545</t>
        </is>
      </c>
      <c r="D296" t="inlineStr">
        <is>
          <t>URO</t>
        </is>
      </c>
      <c r="E296" t="inlineStr">
        <is>
          <t>Avenida Presidente Humberto de Alencar Castelo Branco, 09</t>
        </is>
      </c>
      <c r="F296" t="inlineStr">
        <is>
          <t>Rocha</t>
        </is>
      </c>
      <c r="G296" t="inlineStr">
        <is>
          <t>São Gonçalo</t>
        </is>
      </c>
      <c r="H296" t="inlineStr">
        <is>
          <t>RJ</t>
        </is>
      </c>
      <c r="I296" t="n">
        <v>5149</v>
      </c>
      <c r="J296" t="inlineStr">
        <is>
          <t>CAT 3</t>
        </is>
      </c>
      <c r="K296" t="inlineStr">
        <is>
          <t>Sim</t>
        </is>
      </c>
    </row>
    <row r="297">
      <c r="A297" s="1">
        <f>HYPERLINK("https://eurofarma-latam-crm.veevavault.com/#object/account__v/V4TZ00001914CWH", "Sérgio Gonçalves")</f>
        <v/>
      </c>
      <c r="B297" s="1">
        <f>HYPERLINK("https://eurofarma-latam-crm.veevavault.com/#object/account__v/V4TZ00001914CWH", "Sérgio Gomes Gonçalves")</f>
        <v/>
      </c>
      <c r="C297" t="inlineStr">
        <is>
          <t>RJ0584130</t>
        </is>
      </c>
      <c r="D297" t="inlineStr">
        <is>
          <t>CLG / SNC</t>
        </is>
      </c>
      <c r="E297" t="inlineStr">
        <is>
          <t>Rua Alberto Torres, 2003</t>
        </is>
      </c>
      <c r="F297" t="inlineStr">
        <is>
          <t>Neves (Neves)</t>
        </is>
      </c>
      <c r="G297" t="inlineStr">
        <is>
          <t>São Gonçalo</t>
        </is>
      </c>
      <c r="H297" t="inlineStr">
        <is>
          <t>RJ</t>
        </is>
      </c>
      <c r="I297" t="n">
        <v>5149</v>
      </c>
      <c r="J297" t="inlineStr">
        <is>
          <t>CAT 2</t>
        </is>
      </c>
      <c r="K297" t="inlineStr">
        <is>
          <t>Sim</t>
        </is>
      </c>
    </row>
    <row r="298">
      <c r="A298" s="1">
        <f>HYPERLINK("https://eurofarma-latam-crm.veevavault.com/#object/account__v/V4TZ000019133HE", "Sérgio Júnior")</f>
        <v/>
      </c>
      <c r="B298" s="1">
        <f>HYPERLINK("https://eurofarma-latam-crm.veevavault.com/#object/account__v/V4TZ000019133HE", "Sérgio Luiz Matioli Júnior")</f>
        <v/>
      </c>
      <c r="C298" t="inlineStr">
        <is>
          <t>RJ1203487</t>
        </is>
      </c>
      <c r="D298" t="inlineStr">
        <is>
          <t>PED</t>
        </is>
      </c>
      <c r="E298" t="inlineStr">
        <is>
          <t>Rua Sá Barreto, 107</t>
        </is>
      </c>
      <c r="F298" t="inlineStr">
        <is>
          <t>Fonseca</t>
        </is>
      </c>
      <c r="G298" t="inlineStr">
        <is>
          <t>Niterói</t>
        </is>
      </c>
      <c r="H298" t="inlineStr">
        <is>
          <t>RJ</t>
        </is>
      </c>
      <c r="I298" t="n">
        <v>5149</v>
      </c>
      <c r="J298" t="inlineStr">
        <is>
          <t>CAT 5</t>
        </is>
      </c>
      <c r="K298" t="inlineStr">
        <is>
          <t>Sim</t>
        </is>
      </c>
    </row>
    <row r="299">
      <c r="A299" s="1">
        <f>HYPERLINK("https://eurofarma-latam-crm.veevavault.com/#object/account__v/V4TZ000019YDR89", "Silvio Futre Junior")</f>
        <v/>
      </c>
      <c r="B299" s="1">
        <f>HYPERLINK("https://eurofarma-latam-crm.veevavault.com/#object/account__v/V4TZ000019YDR89", "Silvio Rodrigues Carvalho Futre Junior")</f>
        <v/>
      </c>
      <c r="C299" t="inlineStr">
        <is>
          <t>RJ1012274</t>
        </is>
      </c>
      <c r="D299" t="inlineStr">
        <is>
          <t>PSQ</t>
        </is>
      </c>
      <c r="E299" t="inlineStr">
        <is>
          <t>Rua Yolanda Saad Abuzaid, 150 - Sala 711</t>
        </is>
      </c>
      <c r="F299" t="inlineStr">
        <is>
          <t>Alcântara</t>
        </is>
      </c>
      <c r="G299" t="inlineStr">
        <is>
          <t>São Gonçalo</t>
        </is>
      </c>
      <c r="H299" t="inlineStr">
        <is>
          <t>RJ</t>
        </is>
      </c>
      <c r="I299" t="n">
        <v>5149</v>
      </c>
      <c r="J299" t="inlineStr">
        <is>
          <t>CAT 2</t>
        </is>
      </c>
      <c r="K299" t="inlineStr">
        <is>
          <t>Sim</t>
        </is>
      </c>
    </row>
    <row r="300">
      <c r="A300" s="1">
        <f>HYPERLINK("https://eurofarma-latam-crm.veevavault.com/#object/account__v/V4TZ00001913AZ4", "Simone Pires")</f>
        <v/>
      </c>
      <c r="B300" s="1">
        <f>HYPERLINK("https://eurofarma-latam-crm.veevavault.com/#object/account__v/V4TZ00001913AZ4", "Simone Figueiras Pires")</f>
        <v/>
      </c>
      <c r="C300" t="inlineStr">
        <is>
          <t>RJ0611047</t>
        </is>
      </c>
      <c r="D300" t="inlineStr">
        <is>
          <t>CLG</t>
        </is>
      </c>
      <c r="E300" t="inlineStr">
        <is>
          <t>Avenida Vinte e Dois de Maio, 5990 - Bloco 01 Ala A Sala 612</t>
        </is>
      </c>
      <c r="F300" t="inlineStr">
        <is>
          <t>Centro</t>
        </is>
      </c>
      <c r="G300" t="inlineStr">
        <is>
          <t>Itaboraí</t>
        </is>
      </c>
      <c r="H300" t="inlineStr">
        <is>
          <t>RJ</t>
        </is>
      </c>
      <c r="I300" t="n">
        <v>5149</v>
      </c>
      <c r="J300" t="inlineStr">
        <is>
          <t>CAT 2</t>
        </is>
      </c>
      <c r="K300" t="inlineStr">
        <is>
          <t>Sim</t>
        </is>
      </c>
    </row>
    <row r="301">
      <c r="A301" s="1">
        <f>HYPERLINK("https://eurofarma-latam-crm.veevavault.com/#object/account__v/V4TZ000018NYNEU", "Sirlene Rosa de Bona")</f>
        <v/>
      </c>
      <c r="B301" s="1">
        <f>HYPERLINK("https://eurofarma-latam-crm.veevavault.com/#object/account__v/V4TZ000018NYNEU", "Sirlene Rosa de Bona")</f>
        <v/>
      </c>
      <c r="C301" t="inlineStr">
        <is>
          <t>RJ0542596</t>
        </is>
      </c>
      <c r="D301" t="inlineStr">
        <is>
          <t>PED</t>
        </is>
      </c>
      <c r="E301" t="inlineStr">
        <is>
          <t>Praça Doutor Nilo Peçanha, 42</t>
        </is>
      </c>
      <c r="F301" t="inlineStr">
        <is>
          <t>Centro</t>
        </is>
      </c>
      <c r="G301" t="inlineStr">
        <is>
          <t>Magé</t>
        </is>
      </c>
      <c r="H301" t="inlineStr">
        <is>
          <t>RJ</t>
        </is>
      </c>
      <c r="I301" t="n">
        <v>5149</v>
      </c>
      <c r="J301" t="inlineStr">
        <is>
          <t>CAT 5</t>
        </is>
      </c>
      <c r="K301" t="inlineStr">
        <is>
          <t>Sim</t>
        </is>
      </c>
    </row>
    <row r="302">
      <c r="A302" s="1">
        <f>HYPERLINK("https://eurofarma-latam-crm.veevavault.com/#object/account__v/V4TZ00001914QZA", "Stela Silva")</f>
        <v/>
      </c>
      <c r="B302" s="1">
        <f>HYPERLINK("https://eurofarma-latam-crm.veevavault.com/#object/account__v/V4TZ00001914QZA", "Stela Regina Cabral Silva")</f>
        <v/>
      </c>
      <c r="C302" t="inlineStr">
        <is>
          <t>RJ0594370</t>
        </is>
      </c>
      <c r="D302" t="inlineStr">
        <is>
          <t>PSQ</t>
        </is>
      </c>
      <c r="E302" t="inlineStr">
        <is>
          <t>Rua Santa Luzia, 206</t>
        </is>
      </c>
      <c r="F302" t="inlineStr">
        <is>
          <t>Centro</t>
        </is>
      </c>
      <c r="G302" t="inlineStr">
        <is>
          <t>Rio de Janeiro</t>
        </is>
      </c>
      <c r="H302" t="inlineStr">
        <is>
          <t>RJ</t>
        </is>
      </c>
      <c r="I302" t="n">
        <v>5149</v>
      </c>
      <c r="J302" t="inlineStr">
        <is>
          <t>CAT 3</t>
        </is>
      </c>
      <c r="K302" t="inlineStr">
        <is>
          <t>Sim</t>
        </is>
      </c>
    </row>
    <row r="303">
      <c r="A303" s="1">
        <f>HYPERLINK("https://eurofarma-latam-crm.veevavault.com/#object/account__v/V4TZ00001912VK8", "Suely Garcia")</f>
        <v/>
      </c>
      <c r="B303" s="1">
        <f>HYPERLINK("https://eurofarma-latam-crm.veevavault.com/#object/account__v/V4TZ00001912VK8", "Suely dos Santos Lopes Garcia")</f>
        <v/>
      </c>
      <c r="C303" t="inlineStr">
        <is>
          <t>RJ0626023</t>
        </is>
      </c>
      <c r="D303" t="inlineStr">
        <is>
          <t>CLG</t>
        </is>
      </c>
      <c r="E303" t="inlineStr">
        <is>
          <t>Rua General Cadorna, 126</t>
        </is>
      </c>
      <c r="F303" t="inlineStr">
        <is>
          <t>Laranjal</t>
        </is>
      </c>
      <c r="G303" t="inlineStr">
        <is>
          <t>São Gonçalo</t>
        </is>
      </c>
      <c r="H303" t="inlineStr">
        <is>
          <t>RJ</t>
        </is>
      </c>
      <c r="I303" t="n">
        <v>5149</v>
      </c>
      <c r="J303" t="inlineStr">
        <is>
          <t>CAT 4</t>
        </is>
      </c>
      <c r="K303" t="inlineStr">
        <is>
          <t>Sim</t>
        </is>
      </c>
    </row>
    <row r="304">
      <c r="A304" s="1">
        <f>HYPERLINK("https://eurofarma-latam-crm.veevavault.com/#object/account__v/V4TZ00001913B63", "Suzana Nobrega")</f>
        <v/>
      </c>
      <c r="B304" s="1">
        <f>HYPERLINK("https://eurofarma-latam-crm.veevavault.com/#object/account__v/V4TZ00001913B63", "Suzana de Araujo Rios Nobrega")</f>
        <v/>
      </c>
      <c r="C304" t="inlineStr">
        <is>
          <t>RJ0573651</t>
        </is>
      </c>
      <c r="D304" t="inlineStr">
        <is>
          <t>END</t>
        </is>
      </c>
      <c r="E304" t="inlineStr">
        <is>
          <t>Rua Manuel João Gonçalves, 204</t>
        </is>
      </c>
      <c r="F304" t="inlineStr">
        <is>
          <t>Alcântara</t>
        </is>
      </c>
      <c r="G304" t="inlineStr">
        <is>
          <t>São Gonçalo</t>
        </is>
      </c>
      <c r="H304" t="inlineStr">
        <is>
          <t>RJ</t>
        </is>
      </c>
      <c r="I304" t="n">
        <v>5149</v>
      </c>
      <c r="J304" t="inlineStr">
        <is>
          <t>CAT 2</t>
        </is>
      </c>
      <c r="K304" t="inlineStr">
        <is>
          <t>Sim</t>
        </is>
      </c>
    </row>
    <row r="305">
      <c r="A305" s="1">
        <f>HYPERLINK("https://eurofarma-latam-crm.veevavault.com/#object/account__v/V4TZ000019154CL", "Suzana Ribeiro")</f>
        <v/>
      </c>
      <c r="B305" s="1">
        <f>HYPERLINK("https://eurofarma-latam-crm.veevavault.com/#object/account__v/V4TZ000019154CL", "Suzana da Luz Ribeiro")</f>
        <v/>
      </c>
      <c r="C305" t="inlineStr">
        <is>
          <t>RJ0545040</t>
        </is>
      </c>
      <c r="D305" t="inlineStr">
        <is>
          <t>ORL</t>
        </is>
      </c>
      <c r="E305" t="inlineStr">
        <is>
          <t>Rua Azamor José da Silva, 229</t>
        </is>
      </c>
      <c r="F305" t="inlineStr">
        <is>
          <t>Araçatiba</t>
        </is>
      </c>
      <c r="G305" t="inlineStr">
        <is>
          <t>Maricá</t>
        </is>
      </c>
      <c r="H305" t="inlineStr">
        <is>
          <t>RJ</t>
        </is>
      </c>
      <c r="I305" t="n">
        <v>5149</v>
      </c>
      <c r="J305" t="inlineStr">
        <is>
          <t>CAT 1</t>
        </is>
      </c>
      <c r="K305" t="inlineStr">
        <is>
          <t>Sim</t>
        </is>
      </c>
    </row>
    <row r="306">
      <c r="A306" s="1">
        <f>HYPERLINK("https://eurofarma-latam-crm.veevavault.com/#object/account__v/V4TZ000018NYXSO", "Tamillis Quintan")</f>
        <v/>
      </c>
      <c r="B306" s="1">
        <f>HYPERLINK("https://eurofarma-latam-crm.veevavault.com/#object/account__v/V4TZ000018NYXSO", "Tamillis Ribeiro Quintan")</f>
        <v/>
      </c>
      <c r="C306" t="inlineStr">
        <is>
          <t>RJ1171623</t>
        </is>
      </c>
      <c r="D306" t="inlineStr">
        <is>
          <t>CLG / PA</t>
        </is>
      </c>
      <c r="E306" t="inlineStr">
        <is>
          <t>Praia de Itaipu, S/N - Colonia Dos Pescados</t>
        </is>
      </c>
      <c r="F306" t="inlineStr">
        <is>
          <t>Itaipu</t>
        </is>
      </c>
      <c r="G306" t="inlineStr">
        <is>
          <t>Niterói</t>
        </is>
      </c>
      <c r="H306" t="inlineStr">
        <is>
          <t>RJ</t>
        </is>
      </c>
      <c r="I306" t="n">
        <v>5149</v>
      </c>
      <c r="J306" t="inlineStr">
        <is>
          <t>CAT 5</t>
        </is>
      </c>
      <c r="K306" t="inlineStr">
        <is>
          <t>N�o</t>
        </is>
      </c>
    </row>
    <row r="307">
      <c r="A307" s="1">
        <f>HYPERLINK("https://eurofarma-latam-crm.veevavault.com/#object/account__v/V4TZ00001916CPA", "Tamiris Martins")</f>
        <v/>
      </c>
      <c r="B307" s="1">
        <f>HYPERLINK("https://eurofarma-latam-crm.veevavault.com/#object/account__v/V4TZ00001916CPA", "Tamiris Gonçalves Ferreira Martins")</f>
        <v/>
      </c>
      <c r="C307" t="inlineStr">
        <is>
          <t>RJ1211196</t>
        </is>
      </c>
      <c r="D307" t="inlineStr">
        <is>
          <t>CLG / PA</t>
        </is>
      </c>
      <c r="E307" t="inlineStr">
        <is>
          <t>Praça Estefania de Carvalho, 26</t>
        </is>
      </c>
      <c r="F307" t="inlineStr">
        <is>
          <t>Zé Garoto</t>
        </is>
      </c>
      <c r="G307" t="inlineStr">
        <is>
          <t>São Gonçalo</t>
        </is>
      </c>
      <c r="H307" t="inlineStr">
        <is>
          <t>RJ</t>
        </is>
      </c>
      <c r="I307" t="n">
        <v>5149</v>
      </c>
      <c r="J307" t="inlineStr">
        <is>
          <t>CAT 5</t>
        </is>
      </c>
      <c r="K307" t="inlineStr">
        <is>
          <t>N�o</t>
        </is>
      </c>
    </row>
    <row r="308">
      <c r="A308" s="1">
        <f>HYPERLINK("https://eurofarma-latam-crm.veevavault.com/#object/account__v/V4TZ00001913A84", "Tania Borges")</f>
        <v/>
      </c>
      <c r="B308" s="1">
        <f>HYPERLINK("https://eurofarma-latam-crm.veevavault.com/#object/account__v/V4TZ00001913A84", "Tania Maria Menezes Borges")</f>
        <v/>
      </c>
      <c r="C308" t="inlineStr">
        <is>
          <t>RJ0287620</t>
        </is>
      </c>
      <c r="D308" t="inlineStr">
        <is>
          <t>NEU</t>
        </is>
      </c>
      <c r="E308" t="inlineStr">
        <is>
          <t>Rua Ladislau de Andrade, 44</t>
        </is>
      </c>
      <c r="F308" t="inlineStr">
        <is>
          <t>Mutondo</t>
        </is>
      </c>
      <c r="G308" t="inlineStr">
        <is>
          <t>São Gonçalo</t>
        </is>
      </c>
      <c r="H308" t="inlineStr">
        <is>
          <t>RJ</t>
        </is>
      </c>
      <c r="I308" t="n">
        <v>5149</v>
      </c>
      <c r="J308" t="inlineStr">
        <is>
          <t>CAT 1</t>
        </is>
      </c>
      <c r="K308" t="inlineStr">
        <is>
          <t>Sim</t>
        </is>
      </c>
    </row>
    <row r="309">
      <c r="A309" s="1">
        <f>HYPERLINK("https://eurofarma-latam-crm.veevavault.com/#object/account__v/V4TZ000019YALW0", "Tayrine Dias")</f>
        <v/>
      </c>
      <c r="B309" s="1">
        <f>HYPERLINK("https://eurofarma-latam-crm.veevavault.com/#object/account__v/V4TZ000019YALW0", "Tayrine Mendes Riodades Dias")</f>
        <v/>
      </c>
      <c r="C309" t="inlineStr">
        <is>
          <t>RJ1248952</t>
        </is>
      </c>
      <c r="D309" t="inlineStr">
        <is>
          <t>PED</t>
        </is>
      </c>
      <c r="E309" t="inlineStr">
        <is>
          <t>Rua Arquias Cordeiro, 370</t>
        </is>
      </c>
      <c r="F309" t="inlineStr">
        <is>
          <t>Méier</t>
        </is>
      </c>
      <c r="G309" t="inlineStr">
        <is>
          <t>Rio de Janeiro</t>
        </is>
      </c>
      <c r="H309" t="inlineStr">
        <is>
          <t>RJ</t>
        </is>
      </c>
      <c r="I309" t="n">
        <v>5149</v>
      </c>
      <c r="J309" t="inlineStr">
        <is>
          <t>CAT 5</t>
        </is>
      </c>
      <c r="K309" t="inlineStr">
        <is>
          <t>N�o</t>
        </is>
      </c>
    </row>
    <row r="310">
      <c r="A310" s="1">
        <f>HYPERLINK("https://eurofarma-latam-crm.veevavault.com/#object/account__v/V4TZ025E84Y7Z49", "Tenille Araujo")</f>
        <v/>
      </c>
      <c r="B310" s="1">
        <f>HYPERLINK("https://eurofarma-latam-crm.veevavault.com/#object/account__v/V4TZ025E84Y7Z49", "Tenille Pereira Correia de Araujo")</f>
        <v/>
      </c>
      <c r="C310" t="inlineStr">
        <is>
          <t>RJ1391482</t>
        </is>
      </c>
      <c r="D310" t="inlineStr">
        <is>
          <t>CLG</t>
        </is>
      </c>
      <c r="E310" t="inlineStr">
        <is>
          <t>Rodovia BR-493, S/N</t>
        </is>
      </c>
      <c r="F310" t="inlineStr">
        <is>
          <t>Centro (Manilha)</t>
        </is>
      </c>
      <c r="G310" t="inlineStr">
        <is>
          <t>Itaboraí</t>
        </is>
      </c>
      <c r="H310" t="inlineStr">
        <is>
          <t>RJ</t>
        </is>
      </c>
      <c r="I310" t="n">
        <v>5149</v>
      </c>
      <c r="J310" t="inlineStr">
        <is>
          <t>CAT 5</t>
        </is>
      </c>
      <c r="K310" t="inlineStr">
        <is>
          <t>N�o</t>
        </is>
      </c>
    </row>
    <row r="311">
      <c r="A311" s="1">
        <f>HYPERLINK("https://eurofarma-latam-crm.veevavault.com/#object/account__v/V4TZ00001913BWX", "Terezinha Vargas")</f>
        <v/>
      </c>
      <c r="B311" s="1">
        <f>HYPERLINK("https://eurofarma-latam-crm.veevavault.com/#object/account__v/V4TZ00001913BWX", "Terezinha da Cunha Vargas")</f>
        <v/>
      </c>
      <c r="C311" t="inlineStr">
        <is>
          <t>RJ0363545</t>
        </is>
      </c>
      <c r="D311" t="inlineStr"/>
      <c r="E311" t="inlineStr">
        <is>
          <t>Rua General Cadorna, 126</t>
        </is>
      </c>
      <c r="F311" t="inlineStr">
        <is>
          <t>Laranjal</t>
        </is>
      </c>
      <c r="G311" t="inlineStr">
        <is>
          <t>São Gonçalo</t>
        </is>
      </c>
      <c r="H311" t="inlineStr">
        <is>
          <t>RJ</t>
        </is>
      </c>
      <c r="I311" t="n">
        <v>5149</v>
      </c>
      <c r="J311" t="inlineStr"/>
      <c r="K311" t="inlineStr"/>
    </row>
    <row r="312">
      <c r="A312" s="1">
        <f>HYPERLINK("https://eurofarma-latam-crm.veevavault.com/#object/account__v/V4TZ025E85MGA4M", "Thaís Carazza")</f>
        <v/>
      </c>
      <c r="B312" s="1">
        <f>HYPERLINK("https://eurofarma-latam-crm.veevavault.com/#object/account__v/V4TZ025E85MGA4M", "Thaís Cumenia Carazza")</f>
        <v/>
      </c>
      <c r="C312" t="inlineStr">
        <is>
          <t>RJ1312839</t>
        </is>
      </c>
      <c r="D312" t="inlineStr">
        <is>
          <t>PED</t>
        </is>
      </c>
      <c r="E312" t="inlineStr">
        <is>
          <t>Rua Osório Costa, S/N</t>
        </is>
      </c>
      <c r="F312" t="inlineStr">
        <is>
          <t>Colubande</t>
        </is>
      </c>
      <c r="G312" t="inlineStr">
        <is>
          <t>São Gonçalo</t>
        </is>
      </c>
      <c r="H312" t="inlineStr">
        <is>
          <t>RJ</t>
        </is>
      </c>
      <c r="I312" t="n">
        <v>5149</v>
      </c>
      <c r="J312" t="inlineStr">
        <is>
          <t>CAT 5</t>
        </is>
      </c>
      <c r="K312" t="inlineStr">
        <is>
          <t>Sim</t>
        </is>
      </c>
    </row>
    <row r="313">
      <c r="A313" s="1">
        <f>HYPERLINK("https://eurofarma-latam-crm.veevavault.com/#object/account__v/V4TZ025E8FG2K3J", "Thais de Andrade")</f>
        <v/>
      </c>
      <c r="B313" s="1">
        <f>HYPERLINK("https://eurofarma-latam-crm.veevavault.com/#object/account__v/V4TZ025E8FG2K3J", "Thais Queiroz de Andrade")</f>
        <v/>
      </c>
      <c r="C313" t="inlineStr">
        <is>
          <t>RJ1400460</t>
        </is>
      </c>
      <c r="D313" t="inlineStr">
        <is>
          <t>CLG</t>
        </is>
      </c>
      <c r="E313" t="inlineStr">
        <is>
          <t>Rodovia Amaral Peixoto (RJ-106), S/N - 10.5 Km</t>
        </is>
      </c>
      <c r="F313" t="inlineStr">
        <is>
          <t>Várzea das Moças</t>
        </is>
      </c>
      <c r="G313" t="inlineStr">
        <is>
          <t>São Gonçalo</t>
        </is>
      </c>
      <c r="H313" t="inlineStr">
        <is>
          <t>RJ</t>
        </is>
      </c>
      <c r="I313" t="n">
        <v>5149</v>
      </c>
      <c r="J313" t="inlineStr">
        <is>
          <t>CAT 5</t>
        </is>
      </c>
      <c r="K313" t="inlineStr">
        <is>
          <t>N�o</t>
        </is>
      </c>
    </row>
    <row r="314">
      <c r="A314" s="1">
        <f>HYPERLINK("https://eurofarma-latam-crm.veevavault.com/#object/account__v/V4TZ025E86GNKYG", "Thais Gil Pimenta")</f>
        <v/>
      </c>
      <c r="B314" s="1">
        <f>HYPERLINK("https://eurofarma-latam-crm.veevavault.com/#object/account__v/V4TZ025E86GNKYG", "Thais Gil Jansen Pereira Pimenta")</f>
        <v/>
      </c>
      <c r="C314" t="inlineStr">
        <is>
          <t>RJ1314017</t>
        </is>
      </c>
      <c r="D314" t="inlineStr"/>
      <c r="E314" t="inlineStr">
        <is>
          <t>Rua João de Almeida, 109</t>
        </is>
      </c>
      <c r="F314" t="inlineStr">
        <is>
          <t>Alcântara</t>
        </is>
      </c>
      <c r="G314" t="inlineStr">
        <is>
          <t>São Gonçalo</t>
        </is>
      </c>
      <c r="H314" t="inlineStr">
        <is>
          <t>RJ</t>
        </is>
      </c>
      <c r="I314" t="n">
        <v>5149</v>
      </c>
      <c r="J314" t="inlineStr"/>
      <c r="K314" t="inlineStr"/>
    </row>
    <row r="315">
      <c r="A315" s="1">
        <f>HYPERLINK("https://eurofarma-latam-crm.veevavault.com/#object/account__v/V4TZ000018NXR37", "Thaís Pires")</f>
        <v/>
      </c>
      <c r="B315" s="1">
        <f>HYPERLINK("https://eurofarma-latam-crm.veevavault.com/#object/account__v/V4TZ000018NXR37", "Thaís Monteiro Ferreira Pires")</f>
        <v/>
      </c>
      <c r="C315" t="inlineStr">
        <is>
          <t>RJ0993620</t>
        </is>
      </c>
      <c r="D315" t="inlineStr">
        <is>
          <t>PED</t>
        </is>
      </c>
      <c r="E315" t="inlineStr">
        <is>
          <t>Rua César Xará, 781 - Bloco 01</t>
        </is>
      </c>
      <c r="F315" t="inlineStr">
        <is>
          <t>Quissamã</t>
        </is>
      </c>
      <c r="G315" t="inlineStr">
        <is>
          <t>Itaboraí</t>
        </is>
      </c>
      <c r="H315" t="inlineStr">
        <is>
          <t>RJ</t>
        </is>
      </c>
      <c r="I315" t="n">
        <v>5149</v>
      </c>
      <c r="J315" t="inlineStr">
        <is>
          <t>CAT 5</t>
        </is>
      </c>
      <c r="K315" t="inlineStr">
        <is>
          <t>Sim</t>
        </is>
      </c>
    </row>
    <row r="316">
      <c r="A316" s="1">
        <f>HYPERLINK("https://eurofarma-latam-crm.veevavault.com/#object/account__v/V4TZ000018NYFLJ", "Thiago de Oliveira")</f>
        <v/>
      </c>
      <c r="B316" s="1">
        <f>HYPERLINK("https://eurofarma-latam-crm.veevavault.com/#object/account__v/V4TZ000018NYFLJ", "Thiago Graciano de Oliveira")</f>
        <v/>
      </c>
      <c r="C316" t="inlineStr">
        <is>
          <t>RJ1211870</t>
        </is>
      </c>
      <c r="D316" t="inlineStr">
        <is>
          <t>ORT</t>
        </is>
      </c>
      <c r="E316" t="inlineStr">
        <is>
          <t>Estrada de Búzios, S/N</t>
        </is>
      </c>
      <c r="F316" t="inlineStr">
        <is>
          <t>Maria Joaquina (Tamoios)</t>
        </is>
      </c>
      <c r="G316" t="inlineStr">
        <is>
          <t>Cabo Frio</t>
        </is>
      </c>
      <c r="H316" t="inlineStr">
        <is>
          <t>RJ</t>
        </is>
      </c>
      <c r="I316" t="n">
        <v>5149</v>
      </c>
      <c r="J316" t="inlineStr">
        <is>
          <t>CAT 5</t>
        </is>
      </c>
      <c r="K316" t="inlineStr">
        <is>
          <t>N�o</t>
        </is>
      </c>
    </row>
    <row r="317">
      <c r="A317" s="1">
        <f>HYPERLINK("https://eurofarma-latam-crm.veevavault.com/#object/account__v/V4TZ025E8A59LRQ", "Thiago Machado")</f>
        <v/>
      </c>
      <c r="B317" s="1">
        <f>HYPERLINK("https://eurofarma-latam-crm.veevavault.com/#object/account__v/V4TZ025E8A59LRQ", "Thiago Fernando Tavares de Oliveira Machado")</f>
        <v/>
      </c>
      <c r="C317" t="inlineStr">
        <is>
          <t>RJ1327747</t>
        </is>
      </c>
      <c r="D317" t="inlineStr">
        <is>
          <t>PED</t>
        </is>
      </c>
      <c r="E317" t="inlineStr">
        <is>
          <t>Estrada Prefeito Álvaro de Carvalho Júnior, S/N</t>
        </is>
      </c>
      <c r="F317" t="inlineStr">
        <is>
          <t>Nancilândia</t>
        </is>
      </c>
      <c r="G317" t="inlineStr">
        <is>
          <t>Itaboraí</t>
        </is>
      </c>
      <c r="H317" t="inlineStr">
        <is>
          <t>RJ</t>
        </is>
      </c>
      <c r="I317" t="n">
        <v>5149</v>
      </c>
      <c r="J317" t="inlineStr">
        <is>
          <t>CAT 4</t>
        </is>
      </c>
      <c r="K317" t="inlineStr">
        <is>
          <t>Sim</t>
        </is>
      </c>
    </row>
    <row r="318">
      <c r="A318" s="1">
        <f>HYPERLINK("https://eurofarma-latam-crm.veevavault.com/#object/account__v/V4TZ000019140P9", "Thiago Rocha")</f>
        <v/>
      </c>
      <c r="B318" s="1">
        <f>HYPERLINK("https://eurofarma-latam-crm.veevavault.com/#object/account__v/V4TZ000019140P9", "Thiago Alfradique Rocha")</f>
        <v/>
      </c>
      <c r="C318" t="inlineStr">
        <is>
          <t>RJ1147005</t>
        </is>
      </c>
      <c r="D318" t="inlineStr">
        <is>
          <t>CLG / SNC</t>
        </is>
      </c>
      <c r="E318" t="inlineStr">
        <is>
          <t>Rua Desembargador Ferreira Pinto, 721 - Parte</t>
        </is>
      </c>
      <c r="F318" t="inlineStr">
        <is>
          <t>Centro</t>
        </is>
      </c>
      <c r="G318" t="inlineStr">
        <is>
          <t>Itaboraí</t>
        </is>
      </c>
      <c r="H318" t="inlineStr">
        <is>
          <t>RJ</t>
        </is>
      </c>
      <c r="I318" t="n">
        <v>5149</v>
      </c>
      <c r="J318" t="inlineStr">
        <is>
          <t>CAT 4</t>
        </is>
      </c>
      <c r="K318" t="inlineStr">
        <is>
          <t>Sim</t>
        </is>
      </c>
    </row>
    <row r="319">
      <c r="A319" s="1">
        <f>HYPERLINK("https://eurofarma-latam-crm.veevavault.com/#object/account__v/V4TZ00001913RDZ", "Vanessa Cicco")</f>
        <v/>
      </c>
      <c r="B319" s="1">
        <f>HYPERLINK("https://eurofarma-latam-crm.veevavault.com/#object/account__v/V4TZ00001913RDZ", "Vanessa da Silva Di Cicco")</f>
        <v/>
      </c>
      <c r="C319" t="inlineStr">
        <is>
          <t>RJ1145266</t>
        </is>
      </c>
      <c r="D319" t="inlineStr">
        <is>
          <t>PED</t>
        </is>
      </c>
      <c r="E319" t="inlineStr">
        <is>
          <t>Avenida Alzira Vargas do Amaral Peixoto, 155</t>
        </is>
      </c>
      <c r="F319" t="inlineStr">
        <is>
          <t>Laranjal</t>
        </is>
      </c>
      <c r="G319" t="inlineStr">
        <is>
          <t>São Gonçalo</t>
        </is>
      </c>
      <c r="H319" t="inlineStr">
        <is>
          <t>RJ</t>
        </is>
      </c>
      <c r="I319" t="n">
        <v>5149</v>
      </c>
      <c r="J319" t="inlineStr">
        <is>
          <t>CAT 5</t>
        </is>
      </c>
      <c r="K319" t="inlineStr">
        <is>
          <t>Sim</t>
        </is>
      </c>
    </row>
    <row r="320">
      <c r="A320" s="1">
        <f>HYPERLINK("https://eurofarma-latam-crm.veevavault.com/#object/account__v/V4TZ00001915U12", "Vania Ribeiro")</f>
        <v/>
      </c>
      <c r="B320" s="1">
        <f>HYPERLINK("https://eurofarma-latam-crm.veevavault.com/#object/account__v/V4TZ00001915U12", "Vania Goncalves Ribeiro")</f>
        <v/>
      </c>
      <c r="C320" t="inlineStr">
        <is>
          <t>RJ0578690</t>
        </is>
      </c>
      <c r="D320" t="inlineStr">
        <is>
          <t>CLG</t>
        </is>
      </c>
      <c r="E320" t="inlineStr">
        <is>
          <t>Avenida Luiz Fernando de Oliveira Nanci, S/N - Lote 18 Quadra 4</t>
        </is>
      </c>
      <c r="F320" t="inlineStr">
        <is>
          <t>Nancilândia</t>
        </is>
      </c>
      <c r="G320" t="inlineStr">
        <is>
          <t>Itaboraí</t>
        </is>
      </c>
      <c r="H320" t="inlineStr">
        <is>
          <t>RJ</t>
        </is>
      </c>
      <c r="I320" t="n">
        <v>5149</v>
      </c>
      <c r="J320" t="inlineStr">
        <is>
          <t>CAT 5</t>
        </is>
      </c>
      <c r="K320" t="inlineStr">
        <is>
          <t>Sim</t>
        </is>
      </c>
    </row>
    <row r="321">
      <c r="A321" s="1">
        <f>HYPERLINK("https://eurofarma-latam-crm.veevavault.com/#object/account__v/V4TZ00001915FZY", "Vera Pereira")</f>
        <v/>
      </c>
      <c r="B321" s="1">
        <f>HYPERLINK("https://eurofarma-latam-crm.veevavault.com/#object/account__v/V4TZ00001915FZY", "Vera Lija da Silva Pereira")</f>
        <v/>
      </c>
      <c r="C321" t="inlineStr">
        <is>
          <t>RJ1153919</t>
        </is>
      </c>
      <c r="D321" t="inlineStr">
        <is>
          <t>CLG / PA</t>
        </is>
      </c>
      <c r="E321" t="inlineStr">
        <is>
          <t>Rodovia BR-493, S/N</t>
        </is>
      </c>
      <c r="F321" t="inlineStr">
        <is>
          <t>Centro (Manilha)</t>
        </is>
      </c>
      <c r="G321" t="inlineStr">
        <is>
          <t>Itaboraí</t>
        </is>
      </c>
      <c r="H321" t="inlineStr">
        <is>
          <t>RJ</t>
        </is>
      </c>
      <c r="I321" t="n">
        <v>5149</v>
      </c>
      <c r="J321" t="inlineStr">
        <is>
          <t>CAT 5</t>
        </is>
      </c>
      <c r="K321" t="inlineStr">
        <is>
          <t>Sim</t>
        </is>
      </c>
    </row>
    <row r="322">
      <c r="A322" s="1">
        <f>HYPERLINK("https://eurofarma-latam-crm.veevavault.com/#object/account__v/V4TZ00001913KOL", "Vicctor de Carvalho")</f>
        <v/>
      </c>
      <c r="B322" s="1">
        <f>HYPERLINK("https://eurofarma-latam-crm.veevavault.com/#object/account__v/V4TZ00001913KOL", "Vicctor Ribeiro Freire de Carvalho")</f>
        <v/>
      </c>
      <c r="C322" t="inlineStr">
        <is>
          <t>RJ1145207</t>
        </is>
      </c>
      <c r="D322" t="inlineStr">
        <is>
          <t>PED</t>
        </is>
      </c>
      <c r="E322" t="inlineStr">
        <is>
          <t>Rua João Caetano, 185 - Loja 420</t>
        </is>
      </c>
      <c r="F322" t="inlineStr">
        <is>
          <t>Alcântara</t>
        </is>
      </c>
      <c r="G322" t="inlineStr">
        <is>
          <t>São Gonçalo</t>
        </is>
      </c>
      <c r="H322" t="inlineStr">
        <is>
          <t>RJ</t>
        </is>
      </c>
      <c r="I322" t="n">
        <v>5149</v>
      </c>
      <c r="J322" t="inlineStr">
        <is>
          <t>CAT 5</t>
        </is>
      </c>
      <c r="K322" t="inlineStr">
        <is>
          <t>N�o</t>
        </is>
      </c>
    </row>
    <row r="323">
      <c r="A323" s="1">
        <f>HYPERLINK("https://eurofarma-latam-crm.veevavault.com/#object/account__v/V4TZ00001914UWB", "Victor Ribeiro")</f>
        <v/>
      </c>
      <c r="B323" s="1">
        <f>HYPERLINK("https://eurofarma-latam-crm.veevavault.com/#object/account__v/V4TZ00001914UWB", "Victor Reis Ribeiro")</f>
        <v/>
      </c>
      <c r="C323" t="inlineStr">
        <is>
          <t>RJ1183800</t>
        </is>
      </c>
      <c r="D323" t="inlineStr">
        <is>
          <t>ORT</t>
        </is>
      </c>
      <c r="E323" t="inlineStr">
        <is>
          <t>Rua Osório Costa, S/N</t>
        </is>
      </c>
      <c r="F323" t="inlineStr">
        <is>
          <t>Colubande</t>
        </is>
      </c>
      <c r="G323" t="inlineStr">
        <is>
          <t>São Gonçalo</t>
        </is>
      </c>
      <c r="H323" t="inlineStr">
        <is>
          <t>RJ</t>
        </is>
      </c>
      <c r="I323" t="n">
        <v>5149</v>
      </c>
      <c r="J323" t="inlineStr"/>
      <c r="K323" t="inlineStr"/>
    </row>
    <row r="324">
      <c r="A324" s="1">
        <f>HYPERLINK("https://eurofarma-latam-crm.veevavault.com/#object/account__v/V4TZ025E843QKVK", "Vinicius Augusto Sousa")</f>
        <v/>
      </c>
      <c r="B324" s="1">
        <f>HYPERLINK("https://eurofarma-latam-crm.veevavault.com/#object/account__v/V4TZ025E843QKVK", "Vinicius Augusto Vieira Sousa")</f>
        <v/>
      </c>
      <c r="C324" t="inlineStr">
        <is>
          <t>RJ1298038</t>
        </is>
      </c>
      <c r="D324" t="inlineStr">
        <is>
          <t>CLG / PA</t>
        </is>
      </c>
      <c r="E324" t="inlineStr">
        <is>
          <t>Rodovia BR-493, S/N</t>
        </is>
      </c>
      <c r="F324" t="inlineStr">
        <is>
          <t>Centro (Manilha)</t>
        </is>
      </c>
      <c r="G324" t="inlineStr">
        <is>
          <t>Itaboraí</t>
        </is>
      </c>
      <c r="H324" t="inlineStr">
        <is>
          <t>RJ</t>
        </is>
      </c>
      <c r="I324" t="n">
        <v>5149</v>
      </c>
      <c r="J324" t="inlineStr">
        <is>
          <t>CAT 5</t>
        </is>
      </c>
      <c r="K324" t="inlineStr">
        <is>
          <t>Sim</t>
        </is>
      </c>
    </row>
    <row r="325">
      <c r="A325" s="1">
        <f>HYPERLINK("https://eurofarma-latam-crm.veevavault.com/#object/account__v/V4TZ025E8F0MRAU", "Vinícius de Almeida")</f>
        <v/>
      </c>
      <c r="B325" s="1">
        <f>HYPERLINK("https://eurofarma-latam-crm.veevavault.com/#object/account__v/V4TZ025E8F0MRAU", "Vinícius Rodrigues Garcia de Almeida")</f>
        <v/>
      </c>
      <c r="C325" t="inlineStr">
        <is>
          <t>RJ1377042</t>
        </is>
      </c>
      <c r="D325" t="inlineStr">
        <is>
          <t>PED</t>
        </is>
      </c>
      <c r="E325" t="inlineStr">
        <is>
          <t>Rua Pastor Luiz Laurentino, 1292</t>
        </is>
      </c>
      <c r="F325" t="inlineStr">
        <is>
          <t>Centro</t>
        </is>
      </c>
      <c r="G325" t="inlineStr">
        <is>
          <t>Casimiro de Abreu</t>
        </is>
      </c>
      <c r="H325" t="inlineStr">
        <is>
          <t>RJ</t>
        </is>
      </c>
      <c r="I325" t="n">
        <v>5149</v>
      </c>
      <c r="J325" t="inlineStr">
        <is>
          <t>CAT 5</t>
        </is>
      </c>
      <c r="K325" t="inlineStr">
        <is>
          <t>Sim</t>
        </is>
      </c>
    </row>
    <row r="326">
      <c r="A326" s="1">
        <f>HYPERLINK("https://eurofarma-latam-crm.veevavault.com/#object/account__v/V4TZ025E85OT561", "Vinicius de Souza")</f>
        <v/>
      </c>
      <c r="B326" s="1">
        <f>HYPERLINK("https://eurofarma-latam-crm.veevavault.com/#object/account__v/V4TZ025E85OT561", "Vinicius Possidente Bastos de Souza")</f>
        <v/>
      </c>
      <c r="C326" t="inlineStr">
        <is>
          <t>RJ1317750</t>
        </is>
      </c>
      <c r="D326" t="inlineStr">
        <is>
          <t>CLG / PA</t>
        </is>
      </c>
      <c r="E326" t="inlineStr">
        <is>
          <t>Avenida Bispo Dom João da Mata, S/N</t>
        </is>
      </c>
      <c r="F326" t="inlineStr">
        <is>
          <t>Laranjal</t>
        </is>
      </c>
      <c r="G326" t="inlineStr">
        <is>
          <t>São Gonçalo</t>
        </is>
      </c>
      <c r="H326" t="inlineStr">
        <is>
          <t>RJ</t>
        </is>
      </c>
      <c r="I326" t="n">
        <v>5149</v>
      </c>
      <c r="J326" t="inlineStr">
        <is>
          <t>CAT 3</t>
        </is>
      </c>
      <c r="K326" t="inlineStr">
        <is>
          <t>Sim</t>
        </is>
      </c>
    </row>
    <row r="327">
      <c r="A327" s="1">
        <f>HYPERLINK("https://eurofarma-latam-crm.veevavault.com/#object/account__v/V4TZ00001915MYC", "Viriato Monteiro")</f>
        <v/>
      </c>
      <c r="B327" s="1">
        <f>HYPERLINK("https://eurofarma-latam-crm.veevavault.com/#object/account__v/V4TZ00001915MYC", "Viriato de Almeida Monteiro")</f>
        <v/>
      </c>
      <c r="C327" t="inlineStr">
        <is>
          <t>RJ0250255</t>
        </is>
      </c>
      <c r="D327" t="inlineStr">
        <is>
          <t>ORT</t>
        </is>
      </c>
      <c r="E327" t="inlineStr">
        <is>
          <t>Rua João Caetano, 185 - Loja 420</t>
        </is>
      </c>
      <c r="F327" t="inlineStr">
        <is>
          <t>Alcântara</t>
        </is>
      </c>
      <c r="G327" t="inlineStr">
        <is>
          <t>São Gonçalo</t>
        </is>
      </c>
      <c r="H327" t="inlineStr">
        <is>
          <t>RJ</t>
        </is>
      </c>
      <c r="I327" t="n">
        <v>5149</v>
      </c>
      <c r="J327" t="inlineStr">
        <is>
          <t>CAT 4</t>
        </is>
      </c>
      <c r="K327" t="inlineStr">
        <is>
          <t>Sim</t>
        </is>
      </c>
    </row>
    <row r="328">
      <c r="A328" s="1">
        <f>HYPERLINK("https://eurofarma-latam-crm.veevavault.com/#object/account__v/V4TZ00001913WOB", "Vitor Gilberto Maywald")</f>
        <v/>
      </c>
      <c r="B328" s="1">
        <f>HYPERLINK("https://eurofarma-latam-crm.veevavault.com/#object/account__v/V4TZ00001913WOB", "Vitor Gilberto Maywald")</f>
        <v/>
      </c>
      <c r="C328" t="inlineStr">
        <is>
          <t>RJ0563138</t>
        </is>
      </c>
      <c r="D328" t="inlineStr">
        <is>
          <t>PSQ</t>
        </is>
      </c>
      <c r="E328" t="inlineStr">
        <is>
          <t>Estrada do Rio Pequeno, 656</t>
        </is>
      </c>
      <c r="F328" t="inlineStr">
        <is>
          <t>Jacarepaguá</t>
        </is>
      </c>
      <c r="G328" t="inlineStr">
        <is>
          <t>Rio de Janeiro</t>
        </is>
      </c>
      <c r="H328" t="inlineStr">
        <is>
          <t>RJ</t>
        </is>
      </c>
      <c r="I328" t="n">
        <v>5149</v>
      </c>
      <c r="J328" t="inlineStr">
        <is>
          <t>CAT 1</t>
        </is>
      </c>
      <c r="K328" t="inlineStr">
        <is>
          <t>Sim</t>
        </is>
      </c>
    </row>
    <row r="329">
      <c r="A329" s="1">
        <f>HYPERLINK("https://eurofarma-latam-crm.veevavault.com/#object/account__v/V4TZ025E8EM0HXI", "Vitória dos Santos")</f>
        <v/>
      </c>
      <c r="B329" s="1">
        <f>HYPERLINK("https://eurofarma-latam-crm.veevavault.com/#object/account__v/V4TZ025E8EM0HXI", "Vitória Bento dos Santos")</f>
        <v/>
      </c>
      <c r="C329" t="inlineStr">
        <is>
          <t>RJ1386894</t>
        </is>
      </c>
      <c r="D329" t="inlineStr">
        <is>
          <t>CLG / PA</t>
        </is>
      </c>
      <c r="E329" t="inlineStr">
        <is>
          <t>Rodovia BR-493, S/N</t>
        </is>
      </c>
      <c r="F329" t="inlineStr">
        <is>
          <t>Centro (Manilha)</t>
        </is>
      </c>
      <c r="G329" t="inlineStr">
        <is>
          <t>Itaboraí</t>
        </is>
      </c>
      <c r="H329" t="inlineStr">
        <is>
          <t>RJ</t>
        </is>
      </c>
      <c r="I329" t="n">
        <v>5149</v>
      </c>
      <c r="J329" t="inlineStr">
        <is>
          <t>CAT 5</t>
        </is>
      </c>
      <c r="K329" t="inlineStr">
        <is>
          <t>N�o</t>
        </is>
      </c>
    </row>
    <row r="330">
      <c r="A330" s="1">
        <f>HYPERLINK("https://eurofarma-latam-crm.veevavault.com/#object/account__v/V4TZ00001916E7S", "Viviane Andrioni")</f>
        <v/>
      </c>
      <c r="B330" s="1">
        <f>HYPERLINK("https://eurofarma-latam-crm.veevavault.com/#object/account__v/V4TZ00001916E7S", "Viviane Morais Andrioni")</f>
        <v/>
      </c>
      <c r="C330" t="inlineStr">
        <is>
          <t>RJ0868361</t>
        </is>
      </c>
      <c r="D330" t="inlineStr">
        <is>
          <t>PED</t>
        </is>
      </c>
      <c r="E330" t="inlineStr">
        <is>
          <t>Rua Sá Barreto, 107</t>
        </is>
      </c>
      <c r="F330" t="inlineStr">
        <is>
          <t>Fonseca</t>
        </is>
      </c>
      <c r="G330" t="inlineStr">
        <is>
          <t>Niterói</t>
        </is>
      </c>
      <c r="H330" t="inlineStr">
        <is>
          <t>RJ</t>
        </is>
      </c>
      <c r="I330" t="n">
        <v>5149</v>
      </c>
      <c r="J330" t="inlineStr">
        <is>
          <t>CAT 5</t>
        </is>
      </c>
      <c r="K330" t="inlineStr">
        <is>
          <t>Sim</t>
        </is>
      </c>
    </row>
    <row r="331">
      <c r="A331" s="1">
        <f>HYPERLINK("https://eurofarma-latam-crm.veevavault.com/#object/account__v/V4TZ00001913HFI", "Wander Luiz Said")</f>
        <v/>
      </c>
      <c r="B331" s="1">
        <f>HYPERLINK("https://eurofarma-latam-crm.veevavault.com/#object/account__v/V4TZ00001913HFI", "Wander Luiz Faria Said")</f>
        <v/>
      </c>
      <c r="C331" t="inlineStr">
        <is>
          <t>RJ0464930</t>
        </is>
      </c>
      <c r="D331" t="inlineStr">
        <is>
          <t>URO</t>
        </is>
      </c>
      <c r="E331" t="inlineStr">
        <is>
          <t>Praça Estefania de Carvalho, 26</t>
        </is>
      </c>
      <c r="F331" t="inlineStr">
        <is>
          <t>Zé Garoto</t>
        </is>
      </c>
      <c r="G331" t="inlineStr">
        <is>
          <t>São Gonçalo</t>
        </is>
      </c>
      <c r="H331" t="inlineStr">
        <is>
          <t>RJ</t>
        </is>
      </c>
      <c r="I331" t="n">
        <v>5149</v>
      </c>
      <c r="J331" t="inlineStr">
        <is>
          <t>CAT 4</t>
        </is>
      </c>
      <c r="K331" t="inlineStr">
        <is>
          <t>Sim</t>
        </is>
      </c>
    </row>
    <row r="332">
      <c r="A332" s="1">
        <f>HYPERLINK("https://eurofarma-latam-crm.veevavault.com/#object/account__v/V4T000000010194", "Wendy Loyola")</f>
        <v/>
      </c>
      <c r="B332" s="1">
        <f>HYPERLINK("https://eurofarma-latam-crm.veevavault.com/#object/account__v/V4T000000010194", "Wendy Mendoza Loyola")</f>
        <v/>
      </c>
      <c r="C332" t="inlineStr">
        <is>
          <t>RJ1416697</t>
        </is>
      </c>
      <c r="D332" t="inlineStr">
        <is>
          <t>CLG / PA</t>
        </is>
      </c>
      <c r="E332" t="inlineStr">
        <is>
          <t>Estrada do Pacheco, 1051</t>
        </is>
      </c>
      <c r="F332" t="inlineStr">
        <is>
          <t>Pacheco</t>
        </is>
      </c>
      <c r="G332" t="inlineStr">
        <is>
          <t>São Gonçalo</t>
        </is>
      </c>
      <c r="H332" t="inlineStr">
        <is>
          <t>RJ</t>
        </is>
      </c>
      <c r="I332" t="n">
        <v>5149</v>
      </c>
      <c r="J332" t="inlineStr"/>
      <c r="K332" t="inlineStr"/>
    </row>
    <row r="333">
      <c r="A333" s="1">
        <f>HYPERLINK("https://eurofarma-latam-crm.veevavault.com/#object/account__v/V4TZ025E85J2VU8", "Yan Francisco")</f>
        <v/>
      </c>
      <c r="B333" s="1">
        <f>HYPERLINK("https://eurofarma-latam-crm.veevavault.com/#object/account__v/V4TZ025E85J2VU8", "Yan Ribeiro Francisco")</f>
        <v/>
      </c>
      <c r="C333" t="inlineStr">
        <is>
          <t>RJ1314742</t>
        </is>
      </c>
      <c r="D333" t="inlineStr">
        <is>
          <t>CLG / PA</t>
        </is>
      </c>
      <c r="E333" t="inlineStr">
        <is>
          <t>Rodovia BR-493, S/N</t>
        </is>
      </c>
      <c r="F333" t="inlineStr">
        <is>
          <t>Centro (Manilha)</t>
        </is>
      </c>
      <c r="G333" t="inlineStr">
        <is>
          <t>Itaboraí</t>
        </is>
      </c>
      <c r="H333" t="inlineStr">
        <is>
          <t>RJ</t>
        </is>
      </c>
      <c r="I333" t="n">
        <v>5149</v>
      </c>
      <c r="J333" t="inlineStr">
        <is>
          <t>CAT 5</t>
        </is>
      </c>
      <c r="K333" t="inlineStr">
        <is>
          <t>N�o</t>
        </is>
      </c>
    </row>
    <row r="334">
      <c r="A334" s="1">
        <f>HYPERLINK("https://eurofarma-latam-crm.veevavault.com/#object/account__v/V4TZ000019142M0", "Yasmine Sofia Vallejos")</f>
        <v/>
      </c>
      <c r="B334" s="1">
        <f>HYPERLINK("https://eurofarma-latam-crm.veevavault.com/#object/account__v/V4TZ000019142M0", "Yasmine Sofia Vildoso Vallejos")</f>
        <v/>
      </c>
      <c r="C334" t="inlineStr">
        <is>
          <t>RJ0879398</t>
        </is>
      </c>
      <c r="D334" t="inlineStr">
        <is>
          <t>END</t>
        </is>
      </c>
      <c r="E334" t="inlineStr">
        <is>
          <t>Rua Doutor Celestino, 122 - Sala 1107 E 1108</t>
        </is>
      </c>
      <c r="F334" t="inlineStr">
        <is>
          <t>Centro</t>
        </is>
      </c>
      <c r="G334" t="inlineStr">
        <is>
          <t>Niterói</t>
        </is>
      </c>
      <c r="H334" t="inlineStr">
        <is>
          <t>RJ</t>
        </is>
      </c>
      <c r="I334" t="n">
        <v>5149</v>
      </c>
      <c r="J334" t="inlineStr">
        <is>
          <t>CAT 3</t>
        </is>
      </c>
      <c r="K334" t="inlineStr">
        <is>
          <t>Sim</t>
        </is>
      </c>
    </row>
    <row r="335">
      <c r="A335" s="1">
        <f>HYPERLINK("https://eurofarma-latam-crm.veevavault.com/#object/account__v/V4TZ025E88XXAGX", "Aaron Dornelles")</f>
        <v/>
      </c>
      <c r="B335" s="1">
        <f>HYPERLINK("https://eurofarma-latam-crm.veevavault.com/#object/account__v/V4TZ025E88XXAGX", "Aaron Baptista Dornelles")</f>
        <v/>
      </c>
      <c r="C335" t="inlineStr">
        <is>
          <t>RJ1215442</t>
        </is>
      </c>
      <c r="D335" t="inlineStr">
        <is>
          <t>GER</t>
        </is>
      </c>
      <c r="E335" t="inlineStr">
        <is>
          <t>Rua Estudante Elcira Oliveira Coutinho, S/N - Clínica</t>
        </is>
      </c>
      <c r="F335" t="inlineStr">
        <is>
          <t>Barreira (Bacaxá)</t>
        </is>
      </c>
      <c r="G335" t="inlineStr">
        <is>
          <t>Saquarema</t>
        </is>
      </c>
      <c r="H335" t="inlineStr">
        <is>
          <t>RJ</t>
        </is>
      </c>
      <c r="I335" t="n">
        <v>5152</v>
      </c>
      <c r="J335" t="inlineStr">
        <is>
          <t>CAT 3</t>
        </is>
      </c>
      <c r="K335" t="inlineStr">
        <is>
          <t>Sim</t>
        </is>
      </c>
    </row>
    <row r="336">
      <c r="A336" s="1">
        <f>HYPERLINK("https://eurofarma-latam-crm.veevavault.com/#object/account__v/V4TZ0000191421L", "Adelaide Carneiro")</f>
        <v/>
      </c>
      <c r="B336" s="1">
        <f>HYPERLINK("https://eurofarma-latam-crm.veevavault.com/#object/account__v/V4TZ0000191421L", "Adelaide Chaves Carneiro")</f>
        <v/>
      </c>
      <c r="C336" t="inlineStr">
        <is>
          <t>RJ0624799</t>
        </is>
      </c>
      <c r="D336" t="inlineStr">
        <is>
          <t>ORL</t>
        </is>
      </c>
      <c r="E336" t="inlineStr">
        <is>
          <t>Rua Major Félix Moreira, 85 - Sala 103</t>
        </is>
      </c>
      <c r="F336" t="inlineStr">
        <is>
          <t>Centro</t>
        </is>
      </c>
      <c r="G336" t="inlineStr">
        <is>
          <t>Araruama</t>
        </is>
      </c>
      <c r="H336" t="inlineStr">
        <is>
          <t>RJ</t>
        </is>
      </c>
      <c r="I336" t="n">
        <v>5152</v>
      </c>
      <c r="J336" t="inlineStr">
        <is>
          <t>CAT 3</t>
        </is>
      </c>
      <c r="K336" t="inlineStr">
        <is>
          <t>Sim</t>
        </is>
      </c>
    </row>
    <row r="337">
      <c r="A337" s="1">
        <f>HYPERLINK("https://eurofarma-latam-crm.veevavault.com/#object/account__v/V4TZ00001914VA3", "Adriana Neves")</f>
        <v/>
      </c>
      <c r="B337" s="1">
        <f>HYPERLINK("https://eurofarma-latam-crm.veevavault.com/#object/account__v/V4TZ00001914VA3", "Adriana Mascarenhas Brandão Neves")</f>
        <v/>
      </c>
      <c r="C337" t="inlineStr">
        <is>
          <t>RJ0673463</t>
        </is>
      </c>
      <c r="D337" t="inlineStr">
        <is>
          <t>CLG</t>
        </is>
      </c>
      <c r="E337" t="inlineStr">
        <is>
          <t>Estrada de Búzios, S/N</t>
        </is>
      </c>
      <c r="F337" t="inlineStr">
        <is>
          <t>Maria Joaquina (Tamoios)</t>
        </is>
      </c>
      <c r="G337" t="inlineStr">
        <is>
          <t>Cabo Frio</t>
        </is>
      </c>
      <c r="H337" t="inlineStr">
        <is>
          <t>RJ</t>
        </is>
      </c>
      <c r="I337" t="n">
        <v>5152</v>
      </c>
      <c r="J337" t="inlineStr">
        <is>
          <t>CAT 4</t>
        </is>
      </c>
      <c r="K337" t="inlineStr">
        <is>
          <t>Sim</t>
        </is>
      </c>
    </row>
    <row r="338">
      <c r="A338" s="1">
        <f>HYPERLINK("https://eurofarma-latam-crm.veevavault.com/#object/account__v/V4TZ0000191551K", "Adriano Rebelo")</f>
        <v/>
      </c>
      <c r="B338" s="1">
        <f>HYPERLINK("https://eurofarma-latam-crm.veevavault.com/#object/account__v/V4TZ0000191551K", "Adriano Augusto Cavalcanti Rebelo")</f>
        <v/>
      </c>
      <c r="C338" t="inlineStr">
        <is>
          <t>RJ0463698</t>
        </is>
      </c>
      <c r="D338" t="inlineStr">
        <is>
          <t>NEU</t>
        </is>
      </c>
      <c r="E338" t="inlineStr">
        <is>
          <t>Rua Barão do Rio Branco, 55</t>
        </is>
      </c>
      <c r="F338" t="inlineStr">
        <is>
          <t>Penha</t>
        </is>
      </c>
      <c r="G338" t="inlineStr">
        <is>
          <t>Rio de Janeiro</t>
        </is>
      </c>
      <c r="H338" t="inlineStr">
        <is>
          <t>RJ</t>
        </is>
      </c>
      <c r="I338" t="n">
        <v>5152</v>
      </c>
      <c r="J338" t="inlineStr">
        <is>
          <t>CAT 4</t>
        </is>
      </c>
      <c r="K338" t="inlineStr">
        <is>
          <t>Sim</t>
        </is>
      </c>
    </row>
    <row r="339">
      <c r="A339" s="1">
        <f>HYPERLINK("https://eurofarma-latam-crm.veevavault.com/#object/account__v/V4TZ000018NY3JY", "Aecio Mansur Junior")</f>
        <v/>
      </c>
      <c r="B339" s="1">
        <f>HYPERLINK("https://eurofarma-latam-crm.veevavault.com/#object/account__v/V4TZ000018NY3JY", "Aecio Mucio Mansur Junior")</f>
        <v/>
      </c>
      <c r="C339" t="inlineStr">
        <is>
          <t>RJ0510573</t>
        </is>
      </c>
      <c r="D339" t="inlineStr">
        <is>
          <t>END</t>
        </is>
      </c>
      <c r="E339" t="inlineStr">
        <is>
          <t>Avenida Martinho Almeida, 222</t>
        </is>
      </c>
      <c r="F339" t="inlineStr">
        <is>
          <t>Mangueirinha</t>
        </is>
      </c>
      <c r="G339" t="inlineStr">
        <is>
          <t>Rio Bonito</t>
        </is>
      </c>
      <c r="H339" t="inlineStr">
        <is>
          <t>RJ</t>
        </is>
      </c>
      <c r="I339" t="n">
        <v>5152</v>
      </c>
      <c r="J339" t="inlineStr">
        <is>
          <t>CAT 2</t>
        </is>
      </c>
      <c r="K339" t="inlineStr">
        <is>
          <t>Sim</t>
        </is>
      </c>
    </row>
    <row r="340">
      <c r="A340" s="1">
        <f>HYPERLINK("https://eurofarma-latam-crm.veevavault.com/#object/account__v/V4TZ025E8CTM0QD", "Aldo Silva")</f>
        <v/>
      </c>
      <c r="B340" s="1">
        <f>HYPERLINK("https://eurofarma-latam-crm.veevavault.com/#object/account__v/V4TZ025E8CTM0QD", "Aldo Arantes Silva")</f>
        <v/>
      </c>
      <c r="C340" t="inlineStr">
        <is>
          <t>RJ1073290</t>
        </is>
      </c>
      <c r="D340" t="inlineStr">
        <is>
          <t>PSQ</t>
        </is>
      </c>
      <c r="E340" t="inlineStr">
        <is>
          <t>Rodovia Amaral Peixoto, S/N - KM 71 1 Andar</t>
        </is>
      </c>
      <c r="F340" t="inlineStr">
        <is>
          <t>Bacaxá (Bacaxá)</t>
        </is>
      </c>
      <c r="G340" t="inlineStr">
        <is>
          <t>Saquarema</t>
        </is>
      </c>
      <c r="H340" t="inlineStr">
        <is>
          <t>RJ</t>
        </is>
      </c>
      <c r="I340" t="n">
        <v>5152</v>
      </c>
      <c r="J340" t="inlineStr">
        <is>
          <t>CAT 4</t>
        </is>
      </c>
      <c r="K340" t="inlineStr">
        <is>
          <t>Sim</t>
        </is>
      </c>
    </row>
    <row r="341">
      <c r="A341" s="1">
        <f>HYPERLINK("https://eurofarma-latam-crm.veevavault.com/#object/account__v/V4TZ000019LZ5JA", "Alessandra Danielly Nunes")</f>
        <v/>
      </c>
      <c r="B341" s="1">
        <f>HYPERLINK("https://eurofarma-latam-crm.veevavault.com/#object/account__v/V4TZ000019LZ5JA", "Alessandra Danielly Rocha Nunes")</f>
        <v/>
      </c>
      <c r="C341" t="inlineStr">
        <is>
          <t>RJ1295667</t>
        </is>
      </c>
      <c r="D341" t="inlineStr">
        <is>
          <t>CLG</t>
        </is>
      </c>
      <c r="E341" t="inlineStr">
        <is>
          <t>Estrada do Morro Grande, S/N</t>
        </is>
      </c>
      <c r="F341" t="inlineStr">
        <is>
          <t>Itatiquara</t>
        </is>
      </c>
      <c r="G341" t="inlineStr">
        <is>
          <t>Araruama</t>
        </is>
      </c>
      <c r="H341" t="inlineStr">
        <is>
          <t>RJ</t>
        </is>
      </c>
      <c r="I341" t="n">
        <v>5152</v>
      </c>
      <c r="J341" t="inlineStr">
        <is>
          <t>CAT 5</t>
        </is>
      </c>
      <c r="K341" t="inlineStr">
        <is>
          <t>N�o</t>
        </is>
      </c>
    </row>
    <row r="342">
      <c r="A342" s="1">
        <f>HYPERLINK("https://eurofarma-latam-crm.veevavault.com/#object/account__v/V4TZ00001916I5D", "Alessandra Motta")</f>
        <v/>
      </c>
      <c r="B342" s="1">
        <f>HYPERLINK("https://eurofarma-latam-crm.veevavault.com/#object/account__v/V4TZ00001916I5D", "Alessandra Collares das Motta")</f>
        <v/>
      </c>
      <c r="C342" t="inlineStr">
        <is>
          <t>RJ0871877</t>
        </is>
      </c>
      <c r="D342" t="inlineStr">
        <is>
          <t>CLG</t>
        </is>
      </c>
      <c r="E342" t="inlineStr">
        <is>
          <t>Rua Baster Pillar, S/N</t>
        </is>
      </c>
      <c r="F342" t="inlineStr">
        <is>
          <t>Parque Hotel</t>
        </is>
      </c>
      <c r="G342" t="inlineStr">
        <is>
          <t>Araruama</t>
        </is>
      </c>
      <c r="H342" t="inlineStr">
        <is>
          <t>RJ</t>
        </is>
      </c>
      <c r="I342" t="n">
        <v>5152</v>
      </c>
      <c r="J342" t="inlineStr">
        <is>
          <t>CAT 5</t>
        </is>
      </c>
      <c r="K342" t="inlineStr">
        <is>
          <t>Sim</t>
        </is>
      </c>
    </row>
    <row r="343">
      <c r="A343" s="1">
        <f>HYPERLINK("https://eurofarma-latam-crm.veevavault.com/#object/account__v/V4TZ00001914YJ7", "Alessandre da Silva")</f>
        <v/>
      </c>
      <c r="B343" s="1">
        <f>HYPERLINK("https://eurofarma-latam-crm.veevavault.com/#object/account__v/V4TZ00001914YJ7", "Alessandre Amorim da Silva")</f>
        <v/>
      </c>
      <c r="C343" t="inlineStr">
        <is>
          <t>RJ0697214</t>
        </is>
      </c>
      <c r="D343" t="inlineStr">
        <is>
          <t>CLG / END</t>
        </is>
      </c>
      <c r="E343" t="inlineStr">
        <is>
          <t>Rua Bernardo Vasconcelos, 477</t>
        </is>
      </c>
      <c r="F343" t="inlineStr">
        <is>
          <t>Centro</t>
        </is>
      </c>
      <c r="G343" t="inlineStr">
        <is>
          <t>Araruama</t>
        </is>
      </c>
      <c r="H343" t="inlineStr">
        <is>
          <t>RJ</t>
        </is>
      </c>
      <c r="I343" t="n">
        <v>5152</v>
      </c>
      <c r="J343" t="inlineStr">
        <is>
          <t>CAT 5</t>
        </is>
      </c>
      <c r="K343" t="inlineStr">
        <is>
          <t>N�o</t>
        </is>
      </c>
    </row>
    <row r="344">
      <c r="A344" s="1">
        <f>HYPERLINK("https://eurofarma-latam-crm.veevavault.com/#object/account__v/V4TZ000018NZ928", "Alessandro Grimauth")</f>
        <v/>
      </c>
      <c r="B344" s="1">
        <f>HYPERLINK("https://eurofarma-latam-crm.veevavault.com/#object/account__v/V4TZ000018NZ928", "Alessandro Silva Grimauth")</f>
        <v/>
      </c>
      <c r="C344" t="inlineStr">
        <is>
          <t>RJ0619327</t>
        </is>
      </c>
      <c r="D344" t="inlineStr">
        <is>
          <t>GAS</t>
        </is>
      </c>
      <c r="E344" t="inlineStr">
        <is>
          <t>Avenida Brasil, 10 - Sala 714 Parte</t>
        </is>
      </c>
      <c r="F344" t="inlineStr">
        <is>
          <t>Centro</t>
        </is>
      </c>
      <c r="G344" t="inlineStr">
        <is>
          <t>Araruama</t>
        </is>
      </c>
      <c r="H344" t="inlineStr">
        <is>
          <t>RJ</t>
        </is>
      </c>
      <c r="I344" t="n">
        <v>5152</v>
      </c>
      <c r="J344" t="inlineStr">
        <is>
          <t>CAT 3</t>
        </is>
      </c>
      <c r="K344" t="inlineStr">
        <is>
          <t>Sim</t>
        </is>
      </c>
    </row>
    <row r="345">
      <c r="A345" s="1">
        <f>HYPERLINK("https://eurofarma-latam-crm.veevavault.com/#object/account__v/V4T00000001J569", "Alex Cosendey")</f>
        <v/>
      </c>
      <c r="B345" s="1">
        <f>HYPERLINK("https://eurofarma-latam-crm.veevavault.com/#object/account__v/V4T00000001J569", "Alex Eiras Cosendey")</f>
        <v/>
      </c>
      <c r="C345" t="inlineStr">
        <is>
          <t>RJ1049232</t>
        </is>
      </c>
      <c r="D345" t="inlineStr">
        <is>
          <t>CLG / PA</t>
        </is>
      </c>
      <c r="E345" t="inlineStr">
        <is>
          <t>Rodovia Christino José da Silva Júnior, S/N - KM 4 RJ 168</t>
        </is>
      </c>
      <c r="F345" t="inlineStr">
        <is>
          <t>Virgem Santa</t>
        </is>
      </c>
      <c r="G345" t="inlineStr">
        <is>
          <t>Macaé</t>
        </is>
      </c>
      <c r="H345" t="inlineStr">
        <is>
          <t>RJ</t>
        </is>
      </c>
      <c r="I345" t="n">
        <v>5152</v>
      </c>
      <c r="J345" t="inlineStr"/>
      <c r="K345" t="inlineStr"/>
    </row>
    <row r="346">
      <c r="A346" s="1">
        <f>HYPERLINK("https://eurofarma-latam-crm.veevavault.com/#object/account__v/V4TZ00001916FE0", "Alexander Mendonça")</f>
        <v/>
      </c>
      <c r="B346" s="1">
        <f>HYPERLINK("https://eurofarma-latam-crm.veevavault.com/#object/account__v/V4TZ00001916FE0", "Alexander Seda Mendonça")</f>
        <v/>
      </c>
      <c r="C346" t="inlineStr">
        <is>
          <t>RJ0553507</t>
        </is>
      </c>
      <c r="D346" t="inlineStr">
        <is>
          <t>CLG / END</t>
        </is>
      </c>
      <c r="E346" t="inlineStr">
        <is>
          <t>Rua Tenente Jose Dias, 392 - A</t>
        </is>
      </c>
      <c r="F346" t="inlineStr">
        <is>
          <t>Vila Itamarati</t>
        </is>
      </c>
      <c r="G346" t="inlineStr">
        <is>
          <t>Duque de Caxias</t>
        </is>
      </c>
      <c r="H346" t="inlineStr">
        <is>
          <t>RJ</t>
        </is>
      </c>
      <c r="I346" t="n">
        <v>5152</v>
      </c>
      <c r="J346" t="inlineStr">
        <is>
          <t>CAT 3</t>
        </is>
      </c>
      <c r="K346" t="inlineStr">
        <is>
          <t>Sim</t>
        </is>
      </c>
    </row>
    <row r="347">
      <c r="A347" s="1">
        <f>HYPERLINK("https://eurofarma-latam-crm.veevavault.com/#object/account__v/V4TZ000019149EZ", "Alexandre dos Santos")</f>
        <v/>
      </c>
      <c r="B347" s="1">
        <f>HYPERLINK("https://eurofarma-latam-crm.veevavault.com/#object/account__v/V4TZ000019149EZ", "Alexandre Moreno dos Santos")</f>
        <v/>
      </c>
      <c r="C347" t="inlineStr">
        <is>
          <t>RJ1092405</t>
        </is>
      </c>
      <c r="D347" t="inlineStr">
        <is>
          <t>CLG / PA</t>
        </is>
      </c>
      <c r="E347" t="inlineStr">
        <is>
          <t>Rua Álvares de Castro, 346</t>
        </is>
      </c>
      <c r="F347" t="inlineStr">
        <is>
          <t>Centro</t>
        </is>
      </c>
      <c r="G347" t="inlineStr">
        <is>
          <t>Maricá</t>
        </is>
      </c>
      <c r="H347" t="inlineStr">
        <is>
          <t>RJ</t>
        </is>
      </c>
      <c r="I347" t="n">
        <v>5152</v>
      </c>
      <c r="J347" t="inlineStr">
        <is>
          <t>CAT 4</t>
        </is>
      </c>
      <c r="K347" t="inlineStr">
        <is>
          <t>N�o</t>
        </is>
      </c>
    </row>
    <row r="348">
      <c r="A348" s="1">
        <f>HYPERLINK("https://eurofarma-latam-crm.veevavault.com/#object/account__v/V4TZ00001916AT7", "Alfredo Gustavo Maia")</f>
        <v/>
      </c>
      <c r="B348" s="1">
        <f>HYPERLINK("https://eurofarma-latam-crm.veevavault.com/#object/account__v/V4TZ00001916AT7", "Alfredo Gustavo de Assis Maia")</f>
        <v/>
      </c>
      <c r="C348" t="inlineStr">
        <is>
          <t>MS0013352,RJ1179470</t>
        </is>
      </c>
      <c r="D348" t="inlineStr">
        <is>
          <t>PSQ</t>
        </is>
      </c>
      <c r="E348" t="inlineStr">
        <is>
          <t>Rua Silva Jardim, 120 - Sala 01</t>
        </is>
      </c>
      <c r="F348" t="inlineStr">
        <is>
          <t>Centro</t>
        </is>
      </c>
      <c r="G348" t="inlineStr">
        <is>
          <t>Cabo Frio</t>
        </is>
      </c>
      <c r="H348" t="inlineStr">
        <is>
          <t>RJ</t>
        </is>
      </c>
      <c r="I348" t="n">
        <v>5152</v>
      </c>
      <c r="J348" t="inlineStr"/>
      <c r="K348" t="inlineStr"/>
    </row>
    <row r="349">
      <c r="A349" s="1">
        <f>HYPERLINK("https://eurofarma-latam-crm.veevavault.com/#object/account__v/V4TZ025E8F542HD", "Álvaro de Paiva")</f>
        <v/>
      </c>
      <c r="B349" s="1">
        <f>HYPERLINK("https://eurofarma-latam-crm.veevavault.com/#object/account__v/V4TZ025E8F542HD", "Álvaro Tannure de Paiva")</f>
        <v/>
      </c>
      <c r="C349" t="inlineStr">
        <is>
          <t>RJ1386490</t>
        </is>
      </c>
      <c r="D349" t="inlineStr">
        <is>
          <t>CLG / PA</t>
        </is>
      </c>
      <c r="E349" t="inlineStr">
        <is>
          <t>Avenida Presidente Juscelino Kubitscheck, 6145</t>
        </is>
      </c>
      <c r="F349" t="inlineStr">
        <is>
          <t>Nova Era</t>
        </is>
      </c>
      <c r="G349" t="inlineStr">
        <is>
          <t>Juiz de Fora</t>
        </is>
      </c>
      <c r="H349" t="inlineStr">
        <is>
          <t>MG</t>
        </is>
      </c>
      <c r="I349" t="n">
        <v>5152</v>
      </c>
      <c r="J349" t="inlineStr">
        <is>
          <t>CAT 5</t>
        </is>
      </c>
      <c r="K349" t="inlineStr">
        <is>
          <t>N�o</t>
        </is>
      </c>
    </row>
    <row r="350">
      <c r="A350" s="1">
        <f>HYPERLINK("https://eurofarma-latam-crm.veevavault.com/#object/account__v/V4TZ025E8DKGFS4", "Álvaro Molais")</f>
        <v/>
      </c>
      <c r="B350" s="1">
        <f>HYPERLINK("https://eurofarma-latam-crm.veevavault.com/#object/account__v/V4TZ025E8DKGFS4", "Álvaro Soares Molais")</f>
        <v/>
      </c>
      <c r="C350" t="inlineStr">
        <is>
          <t>RJ1362207</t>
        </is>
      </c>
      <c r="D350" t="inlineStr">
        <is>
          <t>CLG / PA</t>
        </is>
      </c>
      <c r="E350" t="inlineStr">
        <is>
          <t>Rua Adolfo Bravo, S/N</t>
        </is>
      </c>
      <c r="F350" t="inlineStr">
        <is>
          <t>Bacaxá (Bacaxá)</t>
        </is>
      </c>
      <c r="G350" t="inlineStr">
        <is>
          <t>Saquarema</t>
        </is>
      </c>
      <c r="H350" t="inlineStr">
        <is>
          <t>RJ</t>
        </is>
      </c>
      <c r="I350" t="n">
        <v>5152</v>
      </c>
      <c r="J350" t="inlineStr">
        <is>
          <t>CAT 5</t>
        </is>
      </c>
      <c r="K350" t="inlineStr">
        <is>
          <t>N�o</t>
        </is>
      </c>
    </row>
    <row r="351">
      <c r="A351" s="1">
        <f>HYPERLINK("https://eurofarma-latam-crm.veevavault.com/#object/account__v/V4TZ000019146EM", "Amilcar Ferreira")</f>
        <v/>
      </c>
      <c r="B351" s="1">
        <f>HYPERLINK("https://eurofarma-latam-crm.veevavault.com/#object/account__v/V4TZ000019146EM", "Amilcar Cunha Ferreira")</f>
        <v/>
      </c>
      <c r="C351" t="inlineStr">
        <is>
          <t>RJ0329844</t>
        </is>
      </c>
      <c r="D351" t="inlineStr">
        <is>
          <t>CLG</t>
        </is>
      </c>
      <c r="E351" t="inlineStr">
        <is>
          <t>Rua Fábio Lúcio dos Santos, 158 - Barreira</t>
        </is>
      </c>
      <c r="F351" t="inlineStr">
        <is>
          <t>Verde Vale (Bacaxá)</t>
        </is>
      </c>
      <c r="G351" t="inlineStr">
        <is>
          <t>Saquarema</t>
        </is>
      </c>
      <c r="H351" t="inlineStr">
        <is>
          <t>RJ</t>
        </is>
      </c>
      <c r="I351" t="n">
        <v>5152</v>
      </c>
      <c r="J351" t="inlineStr">
        <is>
          <t>CAT 5</t>
        </is>
      </c>
      <c r="K351" t="inlineStr">
        <is>
          <t>N�o</t>
        </is>
      </c>
    </row>
    <row r="352">
      <c r="A352" s="1">
        <f>HYPERLINK("https://eurofarma-latam-crm.veevavault.com/#object/account__v/V4TZ00001913LXC", "Amirton Sa")</f>
        <v/>
      </c>
      <c r="B352" s="1">
        <f>HYPERLINK("https://eurofarma-latam-crm.veevavault.com/#object/account__v/V4TZ00001913LXC", "Amirton Correa de Sa")</f>
        <v/>
      </c>
      <c r="C352" t="inlineStr">
        <is>
          <t>RJ0022778</t>
        </is>
      </c>
      <c r="D352" t="inlineStr">
        <is>
          <t>ORT</t>
        </is>
      </c>
      <c r="E352" t="inlineStr">
        <is>
          <t>Avenida Arthur Bernardes, 552 - Sala 202</t>
        </is>
      </c>
      <c r="F352" t="inlineStr">
        <is>
          <t>Centro</t>
        </is>
      </c>
      <c r="G352" t="inlineStr">
        <is>
          <t>Rio Bonito</t>
        </is>
      </c>
      <c r="H352" t="inlineStr">
        <is>
          <t>RJ</t>
        </is>
      </c>
      <c r="I352" t="n">
        <v>5152</v>
      </c>
      <c r="J352" t="inlineStr">
        <is>
          <t>CAT 3</t>
        </is>
      </c>
      <c r="K352" t="inlineStr">
        <is>
          <t>Sim</t>
        </is>
      </c>
    </row>
    <row r="353">
      <c r="A353" s="1">
        <f>HYPERLINK("https://eurofarma-latam-crm.veevavault.com/#object/account__v/V4TZ025E8919VDC", "Ana Carla Sales")</f>
        <v/>
      </c>
      <c r="B353" s="1">
        <f>HYPERLINK("https://eurofarma-latam-crm.veevavault.com/#object/account__v/V4TZ025E8919VDC", "Ana Carla Trugilho Sales")</f>
        <v/>
      </c>
      <c r="C353" t="inlineStr">
        <is>
          <t>RJ1325051</t>
        </is>
      </c>
      <c r="D353" t="inlineStr">
        <is>
          <t>CLG / PA</t>
        </is>
      </c>
      <c r="E353" t="inlineStr">
        <is>
          <t>Rua Fábio Lúcio dos Santos, 158 - Barreira</t>
        </is>
      </c>
      <c r="F353" t="inlineStr">
        <is>
          <t>Verde Vale (Bacaxá)</t>
        </is>
      </c>
      <c r="G353" t="inlineStr">
        <is>
          <t>Saquarema</t>
        </is>
      </c>
      <c r="H353" t="inlineStr">
        <is>
          <t>RJ</t>
        </is>
      </c>
      <c r="I353" t="n">
        <v>5152</v>
      </c>
      <c r="J353" t="inlineStr">
        <is>
          <t>CAT 5</t>
        </is>
      </c>
      <c r="K353" t="inlineStr">
        <is>
          <t>N�o</t>
        </is>
      </c>
    </row>
    <row r="354">
      <c r="A354" s="1">
        <f>HYPERLINK("https://eurofarma-latam-crm.veevavault.com/#object/account__v/V4TZ000018NYD4W", "Ana Carolina Roseno")</f>
        <v/>
      </c>
      <c r="B354" s="1">
        <f>HYPERLINK("https://eurofarma-latam-crm.veevavault.com/#object/account__v/V4TZ000018NYD4W", "Ana Carolina Martins Roseno")</f>
        <v/>
      </c>
      <c r="C354" t="inlineStr">
        <is>
          <t>RJ1243799</t>
        </is>
      </c>
      <c r="D354" t="inlineStr">
        <is>
          <t>CLG / PA</t>
        </is>
      </c>
      <c r="E354" t="inlineStr">
        <is>
          <t>Avenida Nilo Peçanha, 835</t>
        </is>
      </c>
      <c r="F354" t="inlineStr">
        <is>
          <t>Centro</t>
        </is>
      </c>
      <c r="G354" t="inlineStr">
        <is>
          <t>Araruama</t>
        </is>
      </c>
      <c r="H354" t="inlineStr">
        <is>
          <t>RJ</t>
        </is>
      </c>
      <c r="I354" t="n">
        <v>5152</v>
      </c>
      <c r="J354" t="inlineStr"/>
      <c r="K354" t="inlineStr"/>
    </row>
    <row r="355">
      <c r="A355" s="1">
        <f>HYPERLINK("https://eurofarma-latam-crm.veevavault.com/#object/account__v/V4TZ00001915NZ4", "Ana Claudia Neves")</f>
        <v/>
      </c>
      <c r="B355" s="1">
        <f>HYPERLINK("https://eurofarma-latam-crm.veevavault.com/#object/account__v/V4TZ00001915NZ4", "Ana Claudia Ramos Neves")</f>
        <v/>
      </c>
      <c r="C355" t="inlineStr">
        <is>
          <t>RJ0842680</t>
        </is>
      </c>
      <c r="D355" t="inlineStr">
        <is>
          <t>GER</t>
        </is>
      </c>
      <c r="E355" t="inlineStr">
        <is>
          <t>Rua Pedro Luiz Souza, 108</t>
        </is>
      </c>
      <c r="F355" t="inlineStr">
        <is>
          <t>Centro</t>
        </is>
      </c>
      <c r="G355" t="inlineStr">
        <is>
          <t>Araruama</t>
        </is>
      </c>
      <c r="H355" t="inlineStr">
        <is>
          <t>RJ</t>
        </is>
      </c>
      <c r="I355" t="n">
        <v>5152</v>
      </c>
      <c r="J355" t="inlineStr">
        <is>
          <t>CAT 3</t>
        </is>
      </c>
      <c r="K355" t="inlineStr">
        <is>
          <t>Sim</t>
        </is>
      </c>
    </row>
    <row r="356">
      <c r="A356" s="1">
        <f>HYPERLINK("https://eurofarma-latam-crm.veevavault.com/#object/account__v/V4TZ00001915A1S", "Ana Lucia Levy")</f>
        <v/>
      </c>
      <c r="B356" s="1">
        <f>HYPERLINK("https://eurofarma-latam-crm.veevavault.com/#object/account__v/V4TZ00001915A1S", "Ana Lucia Dias Levy")</f>
        <v/>
      </c>
      <c r="C356" t="inlineStr">
        <is>
          <t>RJ0250290</t>
        </is>
      </c>
      <c r="D356" t="inlineStr">
        <is>
          <t>CLG / SNC</t>
        </is>
      </c>
      <c r="E356" t="inlineStr">
        <is>
          <t>Rua Pereira, 15</t>
        </is>
      </c>
      <c r="F356" t="inlineStr">
        <is>
          <t>Bacaxá</t>
        </is>
      </c>
      <c r="G356" t="inlineStr">
        <is>
          <t>Saquarema</t>
        </is>
      </c>
      <c r="H356" t="inlineStr">
        <is>
          <t>RJ</t>
        </is>
      </c>
      <c r="I356" t="n">
        <v>5152</v>
      </c>
      <c r="J356" t="inlineStr">
        <is>
          <t>CAT 5</t>
        </is>
      </c>
      <c r="K356" t="inlineStr">
        <is>
          <t>Sim</t>
        </is>
      </c>
    </row>
    <row r="357">
      <c r="A357" s="1">
        <f>HYPERLINK("https://eurofarma-latam-crm.veevavault.com/#object/account__v/V4TZ025E83Q84LS", "Ana Polycarpo")</f>
        <v/>
      </c>
      <c r="B357" s="1">
        <f>HYPERLINK("https://eurofarma-latam-crm.veevavault.com/#object/account__v/V4TZ025E83Q84LS", "Ana Raquel Vicente Polycarpo")</f>
        <v/>
      </c>
      <c r="C357" t="inlineStr">
        <is>
          <t>RJ1284150</t>
        </is>
      </c>
      <c r="D357" t="inlineStr">
        <is>
          <t>CLG / PA</t>
        </is>
      </c>
      <c r="E357" t="inlineStr">
        <is>
          <t>Avenida de Santa Cruz, 6486</t>
        </is>
      </c>
      <c r="F357" t="inlineStr">
        <is>
          <t>Senador Camará</t>
        </is>
      </c>
      <c r="G357" t="inlineStr">
        <is>
          <t>Rio de Janeiro</t>
        </is>
      </c>
      <c r="H357" t="inlineStr">
        <is>
          <t>RJ</t>
        </is>
      </c>
      <c r="I357" t="n">
        <v>5152</v>
      </c>
      <c r="J357" t="inlineStr">
        <is>
          <t>CAT 5</t>
        </is>
      </c>
      <c r="K357" t="inlineStr">
        <is>
          <t>N�o</t>
        </is>
      </c>
    </row>
    <row r="358">
      <c r="A358" s="1">
        <f>HYPERLINK("https://eurofarma-latam-crm.veevavault.com/#object/account__v/V4TZ000018NY2KI", "Anderson Peixoto")</f>
        <v/>
      </c>
      <c r="B358" s="1">
        <f>HYPERLINK("https://eurofarma-latam-crm.veevavault.com/#object/account__v/V4TZ000018NY2KI", "Anderson de Melo Peixoto")</f>
        <v/>
      </c>
      <c r="C358" t="inlineStr">
        <is>
          <t>RJ0963429</t>
        </is>
      </c>
      <c r="D358" t="inlineStr">
        <is>
          <t>CLG</t>
        </is>
      </c>
      <c r="E358" t="inlineStr">
        <is>
          <t>Rua Baster Pillar, S/N</t>
        </is>
      </c>
      <c r="F358" t="inlineStr">
        <is>
          <t>Parque Hotel</t>
        </is>
      </c>
      <c r="G358" t="inlineStr">
        <is>
          <t>Araruama</t>
        </is>
      </c>
      <c r="H358" t="inlineStr">
        <is>
          <t>RJ</t>
        </is>
      </c>
      <c r="I358" t="n">
        <v>5152</v>
      </c>
      <c r="J358" t="inlineStr">
        <is>
          <t>CAT 5</t>
        </is>
      </c>
      <c r="K358" t="inlineStr">
        <is>
          <t>Sim</t>
        </is>
      </c>
    </row>
    <row r="359">
      <c r="A359" s="1">
        <f>HYPERLINK("https://eurofarma-latam-crm.veevavault.com/#object/account__v/V4TZ00001914QYZ", "Andre Duarte")</f>
        <v/>
      </c>
      <c r="B359" s="1">
        <f>HYPERLINK("https://eurofarma-latam-crm.veevavault.com/#object/account__v/V4TZ00001914QYZ", "Andre Braga Duarte")</f>
        <v/>
      </c>
      <c r="C359" t="inlineStr">
        <is>
          <t>RJ0895288</t>
        </is>
      </c>
      <c r="D359" t="inlineStr">
        <is>
          <t>CLG / SNC</t>
        </is>
      </c>
      <c r="E359" t="inlineStr">
        <is>
          <t>Rua Francisco Lopes, 51</t>
        </is>
      </c>
      <c r="F359" t="inlineStr">
        <is>
          <t>Centro</t>
        </is>
      </c>
      <c r="G359" t="inlineStr">
        <is>
          <t>Casimiro de Abreu</t>
        </is>
      </c>
      <c r="H359" t="inlineStr">
        <is>
          <t>RJ</t>
        </is>
      </c>
      <c r="I359" t="n">
        <v>5152</v>
      </c>
      <c r="J359" t="inlineStr">
        <is>
          <t>CAT 4</t>
        </is>
      </c>
      <c r="K359" t="inlineStr">
        <is>
          <t>Sim</t>
        </is>
      </c>
    </row>
    <row r="360">
      <c r="A360" s="1">
        <f>HYPERLINK("https://eurofarma-latam-crm.veevavault.com/#object/account__v/V4T000000017195", "André Felipe Nahoum")</f>
        <v/>
      </c>
      <c r="B360" s="1">
        <f>HYPERLINK("https://eurofarma-latam-crm.veevavault.com/#object/account__v/V4T000000017195", "André Felipe de Vasconcellos Nahoum")</f>
        <v/>
      </c>
      <c r="C360" t="inlineStr">
        <is>
          <t>RJ0671215</t>
        </is>
      </c>
      <c r="D360" t="inlineStr">
        <is>
          <t>CLG / PA</t>
        </is>
      </c>
      <c r="E360" t="inlineStr">
        <is>
          <t>Rua Almirante Baltazar, 435</t>
        </is>
      </c>
      <c r="F360" t="inlineStr">
        <is>
          <t>São Cristóvão</t>
        </is>
      </c>
      <c r="G360" t="inlineStr">
        <is>
          <t>Rio de Janeiro</t>
        </is>
      </c>
      <c r="H360" t="inlineStr">
        <is>
          <t>RJ</t>
        </is>
      </c>
      <c r="I360" t="n">
        <v>5152</v>
      </c>
      <c r="J360" t="inlineStr"/>
      <c r="K360" t="inlineStr"/>
    </row>
    <row r="361">
      <c r="A361" s="1">
        <f>HYPERLINK("https://eurofarma-latam-crm.veevavault.com/#object/account__v/V4TZ00001913VQ6", "Andre Luis Magioli")</f>
        <v/>
      </c>
      <c r="B361" s="1">
        <f>HYPERLINK("https://eurofarma-latam-crm.veevavault.com/#object/account__v/V4TZ00001913VQ6", "Andre Luis de Albuquerque Magioli")</f>
        <v/>
      </c>
      <c r="C361" t="inlineStr">
        <is>
          <t>RJ0949850</t>
        </is>
      </c>
      <c r="D361" t="inlineStr">
        <is>
          <t>CLG / SNC</t>
        </is>
      </c>
      <c r="E361" t="inlineStr">
        <is>
          <t>Rua Doutor João Florêncio Sobrinho, S/N</t>
        </is>
      </c>
      <c r="F361" t="inlineStr">
        <is>
          <t>Centro (São Vicente)</t>
        </is>
      </c>
      <c r="G361" t="inlineStr">
        <is>
          <t>Araruama</t>
        </is>
      </c>
      <c r="H361" t="inlineStr">
        <is>
          <t>RJ</t>
        </is>
      </c>
      <c r="I361" t="n">
        <v>5152</v>
      </c>
      <c r="J361" t="inlineStr">
        <is>
          <t>CAT 5</t>
        </is>
      </c>
      <c r="K361" t="inlineStr">
        <is>
          <t>Sim</t>
        </is>
      </c>
    </row>
    <row r="362">
      <c r="A362" s="1">
        <f>HYPERLINK("https://eurofarma-latam-crm.veevavault.com/#object/account__v/V4TZ00001913DEU", "Andre Peres")</f>
        <v/>
      </c>
      <c r="B362" s="1">
        <f>HYPERLINK("https://eurofarma-latam-crm.veevavault.com/#object/account__v/V4TZ00001913DEU", "Andre de Figueiredo Peres")</f>
        <v/>
      </c>
      <c r="C362" t="inlineStr">
        <is>
          <t>RJ0921769</t>
        </is>
      </c>
      <c r="D362" t="inlineStr">
        <is>
          <t>ORT</t>
        </is>
      </c>
      <c r="E362" t="inlineStr">
        <is>
          <t>Rua Doutor João Vasconcelos, 154</t>
        </is>
      </c>
      <c r="F362" t="inlineStr">
        <is>
          <t>Bananeiras (Iguabinha)</t>
        </is>
      </c>
      <c r="G362" t="inlineStr">
        <is>
          <t>Araruama</t>
        </is>
      </c>
      <c r="H362" t="inlineStr">
        <is>
          <t>RJ</t>
        </is>
      </c>
      <c r="I362" t="n">
        <v>5152</v>
      </c>
      <c r="J362" t="inlineStr">
        <is>
          <t>CAT 5</t>
        </is>
      </c>
      <c r="K362" t="inlineStr">
        <is>
          <t>N�o</t>
        </is>
      </c>
    </row>
    <row r="363">
      <c r="A363" s="1">
        <f>HYPERLINK("https://eurofarma-latam-crm.veevavault.com/#object/account__v/V4TZ00001916167", "Andrea Alexandrina Rodrigues")</f>
        <v/>
      </c>
      <c r="B363" s="1">
        <f>HYPERLINK("https://eurofarma-latam-crm.veevavault.com/#object/account__v/V4TZ00001916167", "Andrea Alexandrina da Silva Rodrigues")</f>
        <v/>
      </c>
      <c r="C363" t="inlineStr">
        <is>
          <t>RJ1239686</t>
        </is>
      </c>
      <c r="D363" t="inlineStr">
        <is>
          <t>PED</t>
        </is>
      </c>
      <c r="E363" t="inlineStr">
        <is>
          <t>Rua Baster Pillar, S/N</t>
        </is>
      </c>
      <c r="F363" t="inlineStr">
        <is>
          <t>Parque Hotel</t>
        </is>
      </c>
      <c r="G363" t="inlineStr">
        <is>
          <t>Araruama</t>
        </is>
      </c>
      <c r="H363" t="inlineStr">
        <is>
          <t>RJ</t>
        </is>
      </c>
      <c r="I363" t="n">
        <v>5152</v>
      </c>
      <c r="J363" t="inlineStr">
        <is>
          <t>CAT 5</t>
        </is>
      </c>
      <c r="K363" t="inlineStr">
        <is>
          <t>N�o</t>
        </is>
      </c>
    </row>
    <row r="364">
      <c r="A364" s="1">
        <f>HYPERLINK("https://eurofarma-latam-crm.veevavault.com/#object/account__v/V4TZ000019146AV", "Andressa da Silva")</f>
        <v/>
      </c>
      <c r="B364" s="1">
        <f>HYPERLINK("https://eurofarma-latam-crm.veevavault.com/#object/account__v/V4TZ000019146AV", "Andressa Ullmann da Silva")</f>
        <v/>
      </c>
      <c r="C364" t="inlineStr">
        <is>
          <t>RJ0898716</t>
        </is>
      </c>
      <c r="D364" t="inlineStr">
        <is>
          <t>CLG</t>
        </is>
      </c>
      <c r="E364" t="inlineStr">
        <is>
          <t>Avenida Getúlio Vargas, 44</t>
        </is>
      </c>
      <c r="F364" t="inlineStr">
        <is>
          <t>Centro</t>
        </is>
      </c>
      <c r="G364" t="inlineStr">
        <is>
          <t>São Pedro da Aldeia</t>
        </is>
      </c>
      <c r="H364" t="inlineStr">
        <is>
          <t>RJ</t>
        </is>
      </c>
      <c r="I364" t="n">
        <v>5152</v>
      </c>
      <c r="J364" t="inlineStr">
        <is>
          <t>CAT 5</t>
        </is>
      </c>
      <c r="K364" t="inlineStr">
        <is>
          <t>Sim</t>
        </is>
      </c>
    </row>
    <row r="365">
      <c r="A365" s="1">
        <f>HYPERLINK("https://eurofarma-latam-crm.veevavault.com/#object/account__v/V4TZ00001914QW8", "Angela Police")</f>
        <v/>
      </c>
      <c r="B365" s="1">
        <f>HYPERLINK("https://eurofarma-latam-crm.veevavault.com/#object/account__v/V4TZ00001914QW8", "Angela Ida da Silva Police")</f>
        <v/>
      </c>
      <c r="C365" t="inlineStr">
        <is>
          <t>RJ0950769</t>
        </is>
      </c>
      <c r="D365" t="inlineStr">
        <is>
          <t>PED</t>
        </is>
      </c>
      <c r="E365" t="inlineStr">
        <is>
          <t>Rua Teixeira Brandão, 19</t>
        </is>
      </c>
      <c r="F365" t="inlineStr">
        <is>
          <t>Estação</t>
        </is>
      </c>
      <c r="G365" t="inlineStr">
        <is>
          <t>São Pedro da Aldeia</t>
        </is>
      </c>
      <c r="H365" t="inlineStr">
        <is>
          <t>RJ</t>
        </is>
      </c>
      <c r="I365" t="n">
        <v>5152</v>
      </c>
      <c r="J365" t="inlineStr">
        <is>
          <t>CAT 5</t>
        </is>
      </c>
      <c r="K365" t="inlineStr">
        <is>
          <t>Sim</t>
        </is>
      </c>
    </row>
    <row r="366">
      <c r="A366" s="1">
        <f>HYPERLINK("https://eurofarma-latam-crm.veevavault.com/#object/account__v/V4TZ000018NXWR6", "Anna Cecilia Pimentel")</f>
        <v/>
      </c>
      <c r="B366" s="1">
        <f>HYPERLINK("https://eurofarma-latam-crm.veevavault.com/#object/account__v/V4TZ000018NXWR6", "Anna Cecilia Queres de Barros Pimentel")</f>
        <v/>
      </c>
      <c r="C366" t="inlineStr">
        <is>
          <t>RJ0960268</t>
        </is>
      </c>
      <c r="D366" t="inlineStr">
        <is>
          <t>PED</t>
        </is>
      </c>
      <c r="E366" t="inlineStr">
        <is>
          <t>Avenida Major Felix Moreira, 267</t>
        </is>
      </c>
      <c r="F366" t="inlineStr">
        <is>
          <t>Centro</t>
        </is>
      </c>
      <c r="G366" t="inlineStr">
        <is>
          <t>Araruama</t>
        </is>
      </c>
      <c r="H366" t="inlineStr">
        <is>
          <t>RJ</t>
        </is>
      </c>
      <c r="I366" t="n">
        <v>5152</v>
      </c>
      <c r="J366" t="inlineStr">
        <is>
          <t>CAT 5</t>
        </is>
      </c>
      <c r="K366" t="inlineStr">
        <is>
          <t>N�o</t>
        </is>
      </c>
    </row>
    <row r="367">
      <c r="A367" s="1">
        <f>HYPERLINK("https://eurofarma-latam-crm.veevavault.com/#object/account__v/V4TZ00001913XYH", "Anna Marcella de Mello")</f>
        <v/>
      </c>
      <c r="B367" s="1">
        <f>HYPERLINK("https://eurofarma-latam-crm.veevavault.com/#object/account__v/V4TZ00001913XYH", "Anna Marcella Quintanilha Barbosa de Mello")</f>
        <v/>
      </c>
      <c r="C367" t="inlineStr">
        <is>
          <t>RJ1026470</t>
        </is>
      </c>
      <c r="D367" t="inlineStr">
        <is>
          <t>CLG / END</t>
        </is>
      </c>
      <c r="E367" t="inlineStr">
        <is>
          <t>Rua Pedro Luiz Souza, 108</t>
        </is>
      </c>
      <c r="F367" t="inlineStr">
        <is>
          <t>Centro</t>
        </is>
      </c>
      <c r="G367" t="inlineStr">
        <is>
          <t>Araruama</t>
        </is>
      </c>
      <c r="H367" t="inlineStr">
        <is>
          <t>RJ</t>
        </is>
      </c>
      <c r="I367" t="n">
        <v>5152</v>
      </c>
      <c r="J367" t="inlineStr">
        <is>
          <t>CAT 5</t>
        </is>
      </c>
      <c r="K367" t="inlineStr">
        <is>
          <t>Sim</t>
        </is>
      </c>
    </row>
    <row r="368">
      <c r="A368" s="1">
        <f>HYPERLINK("https://eurofarma-latam-crm.veevavault.com/#object/account__v/V4TZ000018NY0X1", "Anselmo Ximenes")</f>
        <v/>
      </c>
      <c r="B368" s="1">
        <f>HYPERLINK("https://eurofarma-latam-crm.veevavault.com/#object/account__v/V4TZ000018NY0X1", "Anselmo Carvalho Ximenes")</f>
        <v/>
      </c>
      <c r="C368" t="inlineStr">
        <is>
          <t>RJ0307618</t>
        </is>
      </c>
      <c r="D368" t="inlineStr">
        <is>
          <t>GAS</t>
        </is>
      </c>
      <c r="E368" t="inlineStr">
        <is>
          <t>Rua Francisco Lopes, 51</t>
        </is>
      </c>
      <c r="F368" t="inlineStr">
        <is>
          <t>Centro</t>
        </is>
      </c>
      <c r="G368" t="inlineStr">
        <is>
          <t>Casimiro de Abreu</t>
        </is>
      </c>
      <c r="H368" t="inlineStr">
        <is>
          <t>RJ</t>
        </is>
      </c>
      <c r="I368" t="n">
        <v>5152</v>
      </c>
      <c r="J368" t="inlineStr">
        <is>
          <t>CAT 2</t>
        </is>
      </c>
      <c r="K368" t="inlineStr">
        <is>
          <t>Sim</t>
        </is>
      </c>
    </row>
    <row r="369">
      <c r="A369" s="1">
        <f>HYPERLINK("https://eurofarma-latam-crm.veevavault.com/#object/account__v/V4TZ00001913DG8", "Antonio Azevedo")</f>
        <v/>
      </c>
      <c r="B369" s="1">
        <f>HYPERLINK("https://eurofarma-latam-crm.veevavault.com/#object/account__v/V4TZ00001913DG8", "Antonio Eduardo Augusto Pinto de Azevedo")</f>
        <v/>
      </c>
      <c r="C369" t="inlineStr">
        <is>
          <t>RJ0333656</t>
        </is>
      </c>
      <c r="D369" t="inlineStr">
        <is>
          <t>PED</t>
        </is>
      </c>
      <c r="E369" t="inlineStr">
        <is>
          <t>Avenida Oito de Maio, 534</t>
        </is>
      </c>
      <c r="F369" t="inlineStr">
        <is>
          <t>Centro</t>
        </is>
      </c>
      <c r="G369" t="inlineStr">
        <is>
          <t>Silva Jardim</t>
        </is>
      </c>
      <c r="H369" t="inlineStr">
        <is>
          <t>RJ</t>
        </is>
      </c>
      <c r="I369" t="n">
        <v>5152</v>
      </c>
      <c r="J369" t="inlineStr">
        <is>
          <t>CAT 4</t>
        </is>
      </c>
      <c r="K369" t="inlineStr">
        <is>
          <t>Sim</t>
        </is>
      </c>
    </row>
    <row r="370">
      <c r="A370" s="1">
        <f>HYPERLINK("https://eurofarma-latam-crm.veevavault.com/#object/account__v/V4TZ000018NY5N1", "Antonio Carlos Oliveira")</f>
        <v/>
      </c>
      <c r="B370" s="1">
        <f>HYPERLINK("https://eurofarma-latam-crm.veevavault.com/#object/account__v/V4TZ000018NY5N1", "Antonio Carlos Teixeira Oliveira")</f>
        <v/>
      </c>
      <c r="C370" t="inlineStr">
        <is>
          <t>RJ0391352</t>
        </is>
      </c>
      <c r="D370" t="inlineStr">
        <is>
          <t>CLG</t>
        </is>
      </c>
      <c r="E370" t="inlineStr">
        <is>
          <t>Rua Estudante Elcira Oliveira Coutinho, S/N</t>
        </is>
      </c>
      <c r="F370" t="inlineStr">
        <is>
          <t>Barreira (Bacaxá)</t>
        </is>
      </c>
      <c r="G370" t="inlineStr">
        <is>
          <t>Saquarema</t>
        </is>
      </c>
      <c r="H370" t="inlineStr">
        <is>
          <t>RJ</t>
        </is>
      </c>
      <c r="I370" t="n">
        <v>5152</v>
      </c>
      <c r="J370" t="inlineStr">
        <is>
          <t>CAT 5</t>
        </is>
      </c>
      <c r="K370" t="inlineStr">
        <is>
          <t>Sim</t>
        </is>
      </c>
    </row>
    <row r="371">
      <c r="A371" s="1">
        <f>HYPERLINK("https://eurofarma-latam-crm.veevavault.com/#object/account__v/V4TZ000018NXN4Z", "Arquimedes de Lima")</f>
        <v/>
      </c>
      <c r="B371" s="1">
        <f>HYPERLINK("https://eurofarma-latam-crm.veevavault.com/#object/account__v/V4TZ000018NXN4Z", "Arquimedes Torres de Lima")</f>
        <v/>
      </c>
      <c r="C371" t="inlineStr">
        <is>
          <t>RJ0600687</t>
        </is>
      </c>
      <c r="D371" t="inlineStr">
        <is>
          <t>GER</t>
        </is>
      </c>
      <c r="E371" t="inlineStr">
        <is>
          <t>Rua Francisco Eulálio Silva, 71</t>
        </is>
      </c>
      <c r="F371" t="inlineStr">
        <is>
          <t>Centro</t>
        </is>
      </c>
      <c r="G371" t="inlineStr">
        <is>
          <t>Araruama</t>
        </is>
      </c>
      <c r="H371" t="inlineStr">
        <is>
          <t>RJ</t>
        </is>
      </c>
      <c r="I371" t="n">
        <v>5152</v>
      </c>
      <c r="J371" t="inlineStr">
        <is>
          <t>CAT 4</t>
        </is>
      </c>
      <c r="K371" t="inlineStr">
        <is>
          <t>Sim</t>
        </is>
      </c>
    </row>
    <row r="372">
      <c r="A372" s="1">
        <f>HYPERLINK("https://eurofarma-latam-crm.veevavault.com/#object/account__v/V4TZ025E8BD6EC0", "Beatriz Marchon")</f>
        <v/>
      </c>
      <c r="B372" s="1">
        <f>HYPERLINK("https://eurofarma-latam-crm.veevavault.com/#object/account__v/V4TZ025E8BD6EC0", "Beatriz Roldan Marchon")</f>
        <v/>
      </c>
      <c r="C372" t="inlineStr">
        <is>
          <t>RJ1365322</t>
        </is>
      </c>
      <c r="D372" t="inlineStr">
        <is>
          <t>PED</t>
        </is>
      </c>
      <c r="E372" t="inlineStr">
        <is>
          <t>Rua Baster Pillar, S/N</t>
        </is>
      </c>
      <c r="F372" t="inlineStr">
        <is>
          <t>Parque Hotel</t>
        </is>
      </c>
      <c r="G372" t="inlineStr">
        <is>
          <t>Araruama</t>
        </is>
      </c>
      <c r="H372" t="inlineStr">
        <is>
          <t>RJ</t>
        </is>
      </c>
      <c r="I372" t="n">
        <v>5152</v>
      </c>
      <c r="J372" t="inlineStr">
        <is>
          <t>CAT 5</t>
        </is>
      </c>
      <c r="K372" t="inlineStr">
        <is>
          <t>N�o</t>
        </is>
      </c>
    </row>
    <row r="373">
      <c r="A373" s="1">
        <f>HYPERLINK("https://eurofarma-latam-crm.veevavault.com/#object/account__v/V4TZ025E84B4K0U", "Beatriz Medina")</f>
        <v/>
      </c>
      <c r="B373" s="1">
        <f>HYPERLINK("https://eurofarma-latam-crm.veevavault.com/#object/account__v/V4TZ025E84B4K0U", "Beatriz Mota Araujo Medina")</f>
        <v/>
      </c>
      <c r="C373" t="inlineStr">
        <is>
          <t>RJ1145576</t>
        </is>
      </c>
      <c r="D373" t="inlineStr">
        <is>
          <t>NEU</t>
        </is>
      </c>
      <c r="E373" t="inlineStr">
        <is>
          <t>Rua Pedro Luiz Souza, 108</t>
        </is>
      </c>
      <c r="F373" t="inlineStr">
        <is>
          <t>Centro</t>
        </is>
      </c>
      <c r="G373" t="inlineStr">
        <is>
          <t>Araruama</t>
        </is>
      </c>
      <c r="H373" t="inlineStr">
        <is>
          <t>RJ</t>
        </is>
      </c>
      <c r="I373" t="n">
        <v>5152</v>
      </c>
      <c r="J373" t="inlineStr">
        <is>
          <t>CAT 4</t>
        </is>
      </c>
      <c r="K373" t="inlineStr">
        <is>
          <t>Sim</t>
        </is>
      </c>
    </row>
    <row r="374">
      <c r="A374" s="1">
        <f>HYPERLINK("https://eurofarma-latam-crm.veevavault.com/#object/account__v/V4TZ025E88IX3SD", "Beatriz Teles")</f>
        <v/>
      </c>
      <c r="B374" s="1">
        <f>HYPERLINK("https://eurofarma-latam-crm.veevavault.com/#object/account__v/V4TZ025E88IX3SD", "Beatriz Rabelo Teles")</f>
        <v/>
      </c>
      <c r="C374" t="inlineStr">
        <is>
          <t>RJ1312375</t>
        </is>
      </c>
      <c r="D374" t="inlineStr">
        <is>
          <t>PED</t>
        </is>
      </c>
      <c r="E374" t="inlineStr">
        <is>
          <t>Rua Baster Pillar, S/N</t>
        </is>
      </c>
      <c r="F374" t="inlineStr">
        <is>
          <t>Parque Hotel</t>
        </is>
      </c>
      <c r="G374" t="inlineStr">
        <is>
          <t>Araruama</t>
        </is>
      </c>
      <c r="H374" t="inlineStr">
        <is>
          <t>RJ</t>
        </is>
      </c>
      <c r="I374" t="n">
        <v>5152</v>
      </c>
      <c r="J374" t="inlineStr">
        <is>
          <t>CAT 5</t>
        </is>
      </c>
      <c r="K374" t="inlineStr">
        <is>
          <t>Sim</t>
        </is>
      </c>
    </row>
    <row r="375">
      <c r="A375" s="1">
        <f>HYPERLINK("https://eurofarma-latam-crm.veevavault.com/#object/account__v/V4TZ000018NYKLX", "Benevenuto Soares")</f>
        <v/>
      </c>
      <c r="B375" s="1">
        <f>HYPERLINK("https://eurofarma-latam-crm.veevavault.com/#object/account__v/V4TZ000018NYKLX", "Benevenuto de Mesquita Soares")</f>
        <v/>
      </c>
      <c r="C375" t="inlineStr">
        <is>
          <t>RJ0409368</t>
        </is>
      </c>
      <c r="D375" t="inlineStr">
        <is>
          <t>URO</t>
        </is>
      </c>
      <c r="E375" t="inlineStr">
        <is>
          <t>Rua Major Félix Moreira, 267</t>
        </is>
      </c>
      <c r="F375" t="inlineStr">
        <is>
          <t>Centro</t>
        </is>
      </c>
      <c r="G375" t="inlineStr">
        <is>
          <t>Araruama</t>
        </is>
      </c>
      <c r="H375" t="inlineStr">
        <is>
          <t>RJ</t>
        </is>
      </c>
      <c r="I375" t="n">
        <v>5152</v>
      </c>
      <c r="J375" t="inlineStr">
        <is>
          <t>CAT 5</t>
        </is>
      </c>
      <c r="K375" t="inlineStr">
        <is>
          <t>Sim</t>
        </is>
      </c>
    </row>
    <row r="376">
      <c r="A376" s="1">
        <f>HYPERLINK("https://eurofarma-latam-crm.veevavault.com/#object/account__v/V4TZ025E85SC5IS", "Bruno Bullos")</f>
        <v/>
      </c>
      <c r="B376" s="1">
        <f>HYPERLINK("https://eurofarma-latam-crm.veevavault.com/#object/account__v/V4TZ025E85SC5IS", "Bruno Silva Bullos")</f>
        <v/>
      </c>
      <c r="C376" t="inlineStr">
        <is>
          <t>RJ1307940</t>
        </is>
      </c>
      <c r="D376" t="inlineStr">
        <is>
          <t>CLG / PA</t>
        </is>
      </c>
      <c r="E376" t="inlineStr">
        <is>
          <t>Rua Adolfo Bravo, S/N</t>
        </is>
      </c>
      <c r="F376" t="inlineStr">
        <is>
          <t>Bacaxá (Bacaxá)</t>
        </is>
      </c>
      <c r="G376" t="inlineStr">
        <is>
          <t>Saquarema</t>
        </is>
      </c>
      <c r="H376" t="inlineStr">
        <is>
          <t>RJ</t>
        </is>
      </c>
      <c r="I376" t="n">
        <v>5152</v>
      </c>
      <c r="J376" t="inlineStr">
        <is>
          <t>CAT 5</t>
        </is>
      </c>
      <c r="K376" t="inlineStr">
        <is>
          <t>N�o</t>
        </is>
      </c>
    </row>
    <row r="377">
      <c r="A377" s="1">
        <f>HYPERLINK("https://eurofarma-latam-crm.veevavault.com/#object/account__v/V4TZ000019141AV", "Bruno Porciuncula")</f>
        <v/>
      </c>
      <c r="B377" s="1">
        <f>HYPERLINK("https://eurofarma-latam-crm.veevavault.com/#object/account__v/V4TZ000019141AV", "Bruno da Rocha Porciuncula")</f>
        <v/>
      </c>
      <c r="C377" t="inlineStr">
        <is>
          <t>RJ1268040</t>
        </is>
      </c>
      <c r="D377" t="inlineStr">
        <is>
          <t>PED</t>
        </is>
      </c>
      <c r="E377" t="inlineStr">
        <is>
          <t>Rua Adolfo Bravo, S/N</t>
        </is>
      </c>
      <c r="F377" t="inlineStr">
        <is>
          <t>Bacaxá (Bacaxá)</t>
        </is>
      </c>
      <c r="G377" t="inlineStr">
        <is>
          <t>Saquarema</t>
        </is>
      </c>
      <c r="H377" t="inlineStr">
        <is>
          <t>RJ</t>
        </is>
      </c>
      <c r="I377" t="n">
        <v>5152</v>
      </c>
      <c r="J377" t="inlineStr">
        <is>
          <t>CAT 4</t>
        </is>
      </c>
      <c r="K377" t="inlineStr">
        <is>
          <t>Sim</t>
        </is>
      </c>
    </row>
    <row r="378">
      <c r="A378" s="1">
        <f>HYPERLINK("https://eurofarma-latam-crm.veevavault.com/#object/account__v/V4TZ000018NZB73", "Caio Coelho")</f>
        <v/>
      </c>
      <c r="B378" s="1">
        <f>HYPERLINK("https://eurofarma-latam-crm.veevavault.com/#object/account__v/V4TZ000018NZB73", "Caio de Matos Coelho")</f>
        <v/>
      </c>
      <c r="C378" t="inlineStr">
        <is>
          <t>RJ1231812</t>
        </is>
      </c>
      <c r="D378" t="inlineStr">
        <is>
          <t>CLG / PA</t>
        </is>
      </c>
      <c r="E378" t="inlineStr">
        <is>
          <t>Avenida Nilo Peçanha, 835</t>
        </is>
      </c>
      <c r="F378" t="inlineStr">
        <is>
          <t>Centro</t>
        </is>
      </c>
      <c r="G378" t="inlineStr">
        <is>
          <t>Araruama</t>
        </is>
      </c>
      <c r="H378" t="inlineStr">
        <is>
          <t>RJ</t>
        </is>
      </c>
      <c r="I378" t="n">
        <v>5152</v>
      </c>
      <c r="J378" t="inlineStr">
        <is>
          <t>CAT 4</t>
        </is>
      </c>
      <c r="K378" t="inlineStr">
        <is>
          <t>Sim</t>
        </is>
      </c>
    </row>
    <row r="379">
      <c r="A379" s="1">
        <f>HYPERLINK("https://eurofarma-latam-crm.veevavault.com/#object/account__v/V4TZ000018NYQ3Y", "Camila Savignon")</f>
        <v/>
      </c>
      <c r="B379" s="1">
        <f>HYPERLINK("https://eurofarma-latam-crm.veevavault.com/#object/account__v/V4TZ000018NYQ3Y", "Camila Savignon")</f>
        <v/>
      </c>
      <c r="C379" t="inlineStr">
        <is>
          <t>RJ1064940</t>
        </is>
      </c>
      <c r="D379" t="inlineStr">
        <is>
          <t>GAS</t>
        </is>
      </c>
      <c r="E379" t="inlineStr">
        <is>
          <t>Rua Fábio Lúcio dos Santos, 158 - Barreira</t>
        </is>
      </c>
      <c r="F379" t="inlineStr">
        <is>
          <t>Verde Vale (Bacaxá)</t>
        </is>
      </c>
      <c r="G379" t="inlineStr">
        <is>
          <t>Saquarema</t>
        </is>
      </c>
      <c r="H379" t="inlineStr">
        <is>
          <t>RJ</t>
        </is>
      </c>
      <c r="I379" t="n">
        <v>5152</v>
      </c>
      <c r="J379" t="inlineStr">
        <is>
          <t>CAT 5</t>
        </is>
      </c>
      <c r="K379" t="inlineStr">
        <is>
          <t>N�o</t>
        </is>
      </c>
    </row>
    <row r="380">
      <c r="A380" s="1">
        <f>HYPERLINK("https://eurofarma-latam-crm.veevavault.com/#object/account__v/V4TZ0000191N9DQ", "Camilla Campello")</f>
        <v/>
      </c>
      <c r="B380" s="1">
        <f>HYPERLINK("https://eurofarma-latam-crm.veevavault.com/#object/account__v/V4TZ0000191N9DQ", "Camilla Luz Marques Campello")</f>
        <v/>
      </c>
      <c r="C380" t="inlineStr">
        <is>
          <t>RJ1186043</t>
        </is>
      </c>
      <c r="D380" t="inlineStr">
        <is>
          <t>END</t>
        </is>
      </c>
      <c r="E380" t="inlineStr">
        <is>
          <t>Rua Major Félix Moreira, 359</t>
        </is>
      </c>
      <c r="F380" t="inlineStr">
        <is>
          <t>Centro</t>
        </is>
      </c>
      <c r="G380" t="inlineStr">
        <is>
          <t>Araruama</t>
        </is>
      </c>
      <c r="H380" t="inlineStr">
        <is>
          <t>RJ</t>
        </is>
      </c>
      <c r="I380" t="n">
        <v>5152</v>
      </c>
      <c r="J380" t="inlineStr">
        <is>
          <t>CAT 4</t>
        </is>
      </c>
      <c r="K380" t="inlineStr">
        <is>
          <t>Sim</t>
        </is>
      </c>
    </row>
    <row r="381">
      <c r="A381" s="1">
        <f>HYPERLINK("https://eurofarma-latam-crm.veevavault.com/#object/account__v/V4TZ00001914MKG", "Camilo Liguori")</f>
        <v/>
      </c>
      <c r="B381" s="1">
        <f>HYPERLINK("https://eurofarma-latam-crm.veevavault.com/#object/account__v/V4TZ00001914MKG", "Camilo de Lellis Liguori")</f>
        <v/>
      </c>
      <c r="C381" t="inlineStr">
        <is>
          <t>RJ0601110</t>
        </is>
      </c>
      <c r="D381" t="inlineStr">
        <is>
          <t>URO</t>
        </is>
      </c>
      <c r="E381" t="inlineStr">
        <is>
          <t>Rua Estudante Elcira Oliveira Coutinho, S/N</t>
        </is>
      </c>
      <c r="F381" t="inlineStr">
        <is>
          <t>Barreira (Bacaxá)</t>
        </is>
      </c>
      <c r="G381" t="inlineStr">
        <is>
          <t>Saquarema</t>
        </is>
      </c>
      <c r="H381" t="inlineStr">
        <is>
          <t>RJ</t>
        </is>
      </c>
      <c r="I381" t="n">
        <v>5152</v>
      </c>
      <c r="J381" t="inlineStr">
        <is>
          <t>CAT 4</t>
        </is>
      </c>
      <c r="K381" t="inlineStr">
        <is>
          <t>Sim</t>
        </is>
      </c>
    </row>
    <row r="382">
      <c r="A382" s="1">
        <f>HYPERLINK("https://eurofarma-latam-crm.veevavault.com/#object/account__v/V4TZ025E8EEE1LV", "Carine Freire")</f>
        <v/>
      </c>
      <c r="B382" s="1">
        <f>HYPERLINK("https://eurofarma-latam-crm.veevavault.com/#object/account__v/V4TZ025E8EEE1LV", "Carine Monteiro Fernandes Freire")</f>
        <v/>
      </c>
      <c r="C382" t="inlineStr">
        <is>
          <t>RJ1361139</t>
        </is>
      </c>
      <c r="D382" t="inlineStr">
        <is>
          <t>CLG / PA</t>
        </is>
      </c>
      <c r="E382" t="inlineStr">
        <is>
          <t>Estrada da Mombaça, S/N</t>
        </is>
      </c>
      <c r="F382" t="inlineStr">
        <is>
          <t>Mombaça</t>
        </is>
      </c>
      <c r="G382" t="inlineStr">
        <is>
          <t>Saquarema</t>
        </is>
      </c>
      <c r="H382" t="inlineStr">
        <is>
          <t>RJ</t>
        </is>
      </c>
      <c r="I382" t="n">
        <v>5152</v>
      </c>
      <c r="J382" t="inlineStr">
        <is>
          <t>CAT 5</t>
        </is>
      </c>
      <c r="K382" t="inlineStr">
        <is>
          <t>N�o</t>
        </is>
      </c>
    </row>
    <row r="383">
      <c r="A383" s="1">
        <f>HYPERLINK("https://eurofarma-latam-crm.veevavault.com/#object/account__v/V4TZ000018NY5H8", "Carla Maria Goulart")</f>
        <v/>
      </c>
      <c r="B383" s="1">
        <f>HYPERLINK("https://eurofarma-latam-crm.veevavault.com/#object/account__v/V4TZ000018NY5H8", "Carla Maria Maues de Avila Goulart")</f>
        <v/>
      </c>
      <c r="C383" t="inlineStr">
        <is>
          <t>RJ0546648</t>
        </is>
      </c>
      <c r="D383" t="inlineStr">
        <is>
          <t>ORL</t>
        </is>
      </c>
      <c r="E383" t="inlineStr">
        <is>
          <t>Rua Voluntários da Pátria, 45 - Sala 301</t>
        </is>
      </c>
      <c r="F383" t="inlineStr">
        <is>
          <t>Botafogo</t>
        </is>
      </c>
      <c r="G383" t="inlineStr">
        <is>
          <t>Rio de Janeiro</t>
        </is>
      </c>
      <c r="H383" t="inlineStr">
        <is>
          <t>RJ</t>
        </is>
      </c>
      <c r="I383" t="n">
        <v>5152</v>
      </c>
      <c r="J383" t="inlineStr">
        <is>
          <t>CAT 4</t>
        </is>
      </c>
      <c r="K383" t="inlineStr">
        <is>
          <t>Sim</t>
        </is>
      </c>
    </row>
    <row r="384">
      <c r="A384" s="1">
        <f>HYPERLINK("https://eurofarma-latam-crm.veevavault.com/#object/account__v/V4TZ00001915FA1", "Carlos Alberto de Figueiredo Junior")</f>
        <v/>
      </c>
      <c r="B384" s="1">
        <f>HYPERLINK("https://eurofarma-latam-crm.veevavault.com/#object/account__v/V4TZ00001915FA1", "Carlos Alberto Peixoto de Figueiredo Junior")</f>
        <v/>
      </c>
      <c r="C384" t="inlineStr">
        <is>
          <t>RJ0454759</t>
        </is>
      </c>
      <c r="D384" t="inlineStr">
        <is>
          <t>PED</t>
        </is>
      </c>
      <c r="E384" t="inlineStr">
        <is>
          <t>Boulevard Vinte e Oito de Setembro, 77</t>
        </is>
      </c>
      <c r="F384" t="inlineStr">
        <is>
          <t>Vila Isabel</t>
        </is>
      </c>
      <c r="G384" t="inlineStr">
        <is>
          <t>Rio de Janeiro</t>
        </is>
      </c>
      <c r="H384" t="inlineStr">
        <is>
          <t>RJ</t>
        </is>
      </c>
      <c r="I384" t="n">
        <v>5152</v>
      </c>
      <c r="J384" t="inlineStr">
        <is>
          <t>CAT 4</t>
        </is>
      </c>
      <c r="K384" t="inlineStr">
        <is>
          <t>Sim</t>
        </is>
      </c>
    </row>
    <row r="385">
      <c r="A385" s="1">
        <f>HYPERLINK("https://eurofarma-latam-crm.veevavault.com/#object/account__v/V4TZ000018NXZ9A", "Carlos Alberto Simões")</f>
        <v/>
      </c>
      <c r="B385" s="1">
        <f>HYPERLINK("https://eurofarma-latam-crm.veevavault.com/#object/account__v/V4TZ000018NXZ9A", "Carlos Alberto Simões")</f>
        <v/>
      </c>
      <c r="C385" t="inlineStr">
        <is>
          <t>RJ0472958</t>
        </is>
      </c>
      <c r="D385" t="inlineStr">
        <is>
          <t>PED</t>
        </is>
      </c>
      <c r="E385" t="inlineStr">
        <is>
          <t>Avenida Getúlio Vargas, 290 - Casa</t>
        </is>
      </c>
      <c r="F385" t="inlineStr">
        <is>
          <t>Centro</t>
        </is>
      </c>
      <c r="G385" t="inlineStr">
        <is>
          <t>São Pedro da Aldeia</t>
        </is>
      </c>
      <c r="H385" t="inlineStr">
        <is>
          <t>RJ</t>
        </is>
      </c>
      <c r="I385" t="n">
        <v>5152</v>
      </c>
      <c r="J385" t="inlineStr">
        <is>
          <t>CAT 4</t>
        </is>
      </c>
      <c r="K385" t="inlineStr">
        <is>
          <t>Sim</t>
        </is>
      </c>
    </row>
    <row r="386">
      <c r="A386" s="1">
        <f>HYPERLINK("https://eurofarma-latam-crm.veevavault.com/#object/account__v/V4TZ000019142DD", "Carlos Machado")</f>
        <v/>
      </c>
      <c r="B386" s="1">
        <f>HYPERLINK("https://eurofarma-latam-crm.veevavault.com/#object/account__v/V4TZ000019142DD", "Carlos Cesar Carvalho Machado")</f>
        <v/>
      </c>
      <c r="C386" t="inlineStr">
        <is>
          <t>RJ0662518</t>
        </is>
      </c>
      <c r="D386" t="inlineStr">
        <is>
          <t>CLG</t>
        </is>
      </c>
      <c r="E386" t="inlineStr">
        <is>
          <t>Rua Arizio Gomes da Costa, 184 - Parte</t>
        </is>
      </c>
      <c r="F386" t="inlineStr">
        <is>
          <t>Jardim Flamboyant</t>
        </is>
      </c>
      <c r="G386" t="inlineStr">
        <is>
          <t>Cabo Frio</t>
        </is>
      </c>
      <c r="H386" t="inlineStr">
        <is>
          <t>RJ</t>
        </is>
      </c>
      <c r="I386" t="n">
        <v>5152</v>
      </c>
      <c r="J386" t="inlineStr">
        <is>
          <t>CAT 5</t>
        </is>
      </c>
      <c r="K386" t="inlineStr">
        <is>
          <t>Sim</t>
        </is>
      </c>
    </row>
    <row r="387">
      <c r="A387" s="1">
        <f>HYPERLINK("https://eurofarma-latam-crm.veevavault.com/#object/account__v/V4TZ000018NYAGL", "Carlos Pereira")</f>
        <v/>
      </c>
      <c r="B387" s="1">
        <f>HYPERLINK("https://eurofarma-latam-crm.veevavault.com/#object/account__v/V4TZ000018NYAGL", "Carlos Rodolfo Neto Pereira")</f>
        <v/>
      </c>
      <c r="C387" t="inlineStr">
        <is>
          <t>RJ1005413</t>
        </is>
      </c>
      <c r="D387" t="inlineStr">
        <is>
          <t>ORT</t>
        </is>
      </c>
      <c r="E387" t="inlineStr">
        <is>
          <t>Rua Estudante Elcira Oliveira Coutinho, S/N - Clínica</t>
        </is>
      </c>
      <c r="F387" t="inlineStr">
        <is>
          <t>Barreira (Bacaxá)</t>
        </is>
      </c>
      <c r="G387" t="inlineStr">
        <is>
          <t>Saquarema</t>
        </is>
      </c>
      <c r="H387" t="inlineStr">
        <is>
          <t>RJ</t>
        </is>
      </c>
      <c r="I387" t="n">
        <v>5152</v>
      </c>
      <c r="J387" t="inlineStr">
        <is>
          <t>CAT 5</t>
        </is>
      </c>
      <c r="K387" t="inlineStr">
        <is>
          <t>N�o</t>
        </is>
      </c>
    </row>
    <row r="388">
      <c r="A388" s="1">
        <f>HYPERLINK("https://eurofarma-latam-crm.veevavault.com/#object/account__v/V4TZ000018NXRNZ", "Carlos Roberto Santos")</f>
        <v/>
      </c>
      <c r="B388" s="1">
        <f>HYPERLINK("https://eurofarma-latam-crm.veevavault.com/#object/account__v/V4TZ000018NXRNZ", "Carlos Roberto de Mendonça Santos")</f>
        <v/>
      </c>
      <c r="C388" t="inlineStr">
        <is>
          <t>RJ0249654</t>
        </is>
      </c>
      <c r="D388" t="inlineStr">
        <is>
          <t>NEU</t>
        </is>
      </c>
      <c r="E388" t="inlineStr">
        <is>
          <t>Rua Bernardo Vasconcelos, 1020 - Loja 104 e 105</t>
        </is>
      </c>
      <c r="F388" t="inlineStr">
        <is>
          <t>Centro</t>
        </is>
      </c>
      <c r="G388" t="inlineStr">
        <is>
          <t>Araruama</t>
        </is>
      </c>
      <c r="H388" t="inlineStr">
        <is>
          <t>RJ</t>
        </is>
      </c>
      <c r="I388" t="n">
        <v>5152</v>
      </c>
      <c r="J388" t="inlineStr">
        <is>
          <t>CAT 3</t>
        </is>
      </c>
      <c r="K388" t="inlineStr">
        <is>
          <t>Sim</t>
        </is>
      </c>
    </row>
    <row r="389">
      <c r="A389" s="1">
        <f>HYPERLINK("https://eurofarma-latam-crm.veevavault.com/#object/account__v/V4TZ00001912WS4", "Carlos Santos")</f>
        <v/>
      </c>
      <c r="B389" s="1">
        <f>HYPERLINK("https://eurofarma-latam-crm.veevavault.com/#object/account__v/V4TZ00001912WS4", "Carlos Alberto Pinho dos Santos")</f>
        <v/>
      </c>
      <c r="C389" t="inlineStr">
        <is>
          <t>RJ0518706</t>
        </is>
      </c>
      <c r="D389" t="inlineStr">
        <is>
          <t>ORT</t>
        </is>
      </c>
      <c r="E389" t="inlineStr">
        <is>
          <t>Avenida Nilo Peçanha, 835</t>
        </is>
      </c>
      <c r="F389" t="inlineStr">
        <is>
          <t>Centro</t>
        </is>
      </c>
      <c r="G389" t="inlineStr">
        <is>
          <t>Araruama</t>
        </is>
      </c>
      <c r="H389" t="inlineStr">
        <is>
          <t>RJ</t>
        </is>
      </c>
      <c r="I389" t="n">
        <v>5152</v>
      </c>
      <c r="J389" t="inlineStr">
        <is>
          <t>CAT 5</t>
        </is>
      </c>
      <c r="K389" t="inlineStr">
        <is>
          <t>N�o</t>
        </is>
      </c>
    </row>
    <row r="390">
      <c r="A390" s="1">
        <f>HYPERLINK("https://eurofarma-latam-crm.veevavault.com/#object/account__v/V4TZ000019153IV", "Carlos Spingola Junior")</f>
        <v/>
      </c>
      <c r="B390" s="1">
        <f>HYPERLINK("https://eurofarma-latam-crm.veevavault.com/#object/account__v/V4TZ000019153IV", "Carlos Spingola Junior")</f>
        <v/>
      </c>
      <c r="C390" t="inlineStr">
        <is>
          <t>RJ0816248</t>
        </is>
      </c>
      <c r="D390" t="inlineStr">
        <is>
          <t>RMT</t>
        </is>
      </c>
      <c r="E390" t="inlineStr">
        <is>
          <t>Rua Major Félix Moreira, 359</t>
        </is>
      </c>
      <c r="F390" t="inlineStr">
        <is>
          <t>Centro</t>
        </is>
      </c>
      <c r="G390" t="inlineStr">
        <is>
          <t>Araruama</t>
        </is>
      </c>
      <c r="H390" t="inlineStr">
        <is>
          <t>RJ</t>
        </is>
      </c>
      <c r="I390" t="n">
        <v>5152</v>
      </c>
      <c r="J390" t="inlineStr">
        <is>
          <t>CAT 4</t>
        </is>
      </c>
      <c r="K390" t="inlineStr">
        <is>
          <t>Sim</t>
        </is>
      </c>
    </row>
    <row r="391">
      <c r="A391" s="1">
        <f>HYPERLINK("https://eurofarma-latam-crm.veevavault.com/#object/account__v/V4TZ00001916F9C", "Carlos Thadeu Barrozo")</f>
        <v/>
      </c>
      <c r="B391" s="1">
        <f>HYPERLINK("https://eurofarma-latam-crm.veevavault.com/#object/account__v/V4TZ00001916F9C", "Carlos Thadeu de Oliveira Barrozo")</f>
        <v/>
      </c>
      <c r="C391" t="inlineStr">
        <is>
          <t>RJ1096567</t>
        </is>
      </c>
      <c r="D391" t="inlineStr">
        <is>
          <t>ORT</t>
        </is>
      </c>
      <c r="E391" t="inlineStr">
        <is>
          <t>Rua Fábio Lúcio dos Santos, 158 - Barreira</t>
        </is>
      </c>
      <c r="F391" t="inlineStr">
        <is>
          <t>Verde Vale (Bacaxá)</t>
        </is>
      </c>
      <c r="G391" t="inlineStr">
        <is>
          <t>Saquarema</t>
        </is>
      </c>
      <c r="H391" t="inlineStr">
        <is>
          <t>RJ</t>
        </is>
      </c>
      <c r="I391" t="n">
        <v>5152</v>
      </c>
      <c r="J391" t="inlineStr">
        <is>
          <t>CAT 4</t>
        </is>
      </c>
      <c r="K391" t="inlineStr">
        <is>
          <t>Sim</t>
        </is>
      </c>
    </row>
    <row r="392">
      <c r="A392" s="1">
        <f>HYPERLINK("https://eurofarma-latam-crm.veevavault.com/#object/account__v/V4TZ04ASGN2XHZD", "Carolina Aranha")</f>
        <v/>
      </c>
      <c r="B392" s="1">
        <f>HYPERLINK("https://eurofarma-latam-crm.veevavault.com/#object/account__v/V4TZ04ASGN2XHZD", "Carolina Rubino Costanza Aranha")</f>
        <v/>
      </c>
      <c r="C392" t="inlineStr">
        <is>
          <t>RJ1295403</t>
        </is>
      </c>
      <c r="D392" t="inlineStr">
        <is>
          <t>CLG / PA</t>
        </is>
      </c>
      <c r="E392" t="inlineStr">
        <is>
          <t>Avenida Nilo Peçanha, 835</t>
        </is>
      </c>
      <c r="F392" t="inlineStr">
        <is>
          <t>Centro</t>
        </is>
      </c>
      <c r="G392" t="inlineStr">
        <is>
          <t>Araruama</t>
        </is>
      </c>
      <c r="H392" t="inlineStr">
        <is>
          <t>RJ</t>
        </is>
      </c>
      <c r="I392" t="n">
        <v>5152</v>
      </c>
      <c r="J392" t="inlineStr">
        <is>
          <t>CAT 5</t>
        </is>
      </c>
      <c r="K392" t="inlineStr">
        <is>
          <t>N�o</t>
        </is>
      </c>
    </row>
    <row r="393">
      <c r="A393" s="1">
        <f>HYPERLINK("https://eurofarma-latam-crm.veevavault.com/#object/account__v/V4TZ025E89UZ1C9", "Caroline Braga")</f>
        <v/>
      </c>
      <c r="B393" s="1">
        <f>HYPERLINK("https://eurofarma-latam-crm.veevavault.com/#object/account__v/V4TZ025E89UZ1C9", "Caroline da Silva Braga")</f>
        <v/>
      </c>
      <c r="C393" t="inlineStr">
        <is>
          <t>RJ1334867</t>
        </is>
      </c>
      <c r="D393" t="inlineStr">
        <is>
          <t>CLG / PA</t>
        </is>
      </c>
      <c r="E393" t="inlineStr">
        <is>
          <t>Avenida Luiz Fernando de Oliveira Nanci, S/N - Lote 08 Quadra04</t>
        </is>
      </c>
      <c r="F393" t="inlineStr">
        <is>
          <t>Nancilândia</t>
        </is>
      </c>
      <c r="G393" t="inlineStr">
        <is>
          <t>Itaboraí</t>
        </is>
      </c>
      <c r="H393" t="inlineStr">
        <is>
          <t>RJ</t>
        </is>
      </c>
      <c r="I393" t="n">
        <v>5152</v>
      </c>
      <c r="J393" t="inlineStr"/>
      <c r="K393" t="inlineStr"/>
    </row>
    <row r="394">
      <c r="A394" s="1">
        <f>HYPERLINK("https://eurofarma-latam-crm.veevavault.com/#object/account__v/V4TZ00001913X70", "Carolline Maria Cazagrande")</f>
        <v/>
      </c>
      <c r="B394" s="1">
        <f>HYPERLINK("https://eurofarma-latam-crm.veevavault.com/#object/account__v/V4TZ00001913X70", "Carolline Maria Oliveira Coutinho Cazagrande")</f>
        <v/>
      </c>
      <c r="C394" t="inlineStr">
        <is>
          <t>RJ0958808</t>
        </is>
      </c>
      <c r="D394" t="inlineStr">
        <is>
          <t>PED</t>
        </is>
      </c>
      <c r="E394" t="inlineStr">
        <is>
          <t>Avenida Brasil, 141 - Sala 801</t>
        </is>
      </c>
      <c r="F394" t="inlineStr">
        <is>
          <t>Centro</t>
        </is>
      </c>
      <c r="G394" t="inlineStr">
        <is>
          <t>Araruama</t>
        </is>
      </c>
      <c r="H394" t="inlineStr">
        <is>
          <t>RJ</t>
        </is>
      </c>
      <c r="I394" t="n">
        <v>5152</v>
      </c>
      <c r="J394" t="inlineStr">
        <is>
          <t>CAT 4</t>
        </is>
      </c>
      <c r="K394" t="inlineStr">
        <is>
          <t>Sim</t>
        </is>
      </c>
    </row>
    <row r="395">
      <c r="A395" s="1">
        <f>HYPERLINK("https://eurofarma-latam-crm.veevavault.com/#object/account__v/V4TZ00001914LOE", "Cassia Warzee")</f>
        <v/>
      </c>
      <c r="B395" s="1">
        <f>HYPERLINK("https://eurofarma-latam-crm.veevavault.com/#object/account__v/V4TZ00001914LOE", "Cassia Reny Dias de Souza Warzee")</f>
        <v/>
      </c>
      <c r="C395" t="inlineStr">
        <is>
          <t>RJ0573562</t>
        </is>
      </c>
      <c r="D395" t="inlineStr">
        <is>
          <t>CLG</t>
        </is>
      </c>
      <c r="E395" t="inlineStr">
        <is>
          <t>Rua Florisbela Rosa da Penha, S/N</t>
        </is>
      </c>
      <c r="F395" t="inlineStr">
        <is>
          <t>Braga</t>
        </is>
      </c>
      <c r="G395" t="inlineStr">
        <is>
          <t>Cabo Frio</t>
        </is>
      </c>
      <c r="H395" t="inlineStr">
        <is>
          <t>RJ</t>
        </is>
      </c>
      <c r="I395" t="n">
        <v>5152</v>
      </c>
      <c r="J395" t="inlineStr">
        <is>
          <t>CAT 5</t>
        </is>
      </c>
      <c r="K395" t="inlineStr">
        <is>
          <t>N�o</t>
        </is>
      </c>
    </row>
    <row r="396">
      <c r="A396" s="1">
        <f>HYPERLINK("https://eurofarma-latam-crm.veevavault.com/#object/account__v/V4TZ00001915Z98", "Celso Santos")</f>
        <v/>
      </c>
      <c r="B396" s="1">
        <f>HYPERLINK("https://eurofarma-latam-crm.veevavault.com/#object/account__v/V4TZ00001915Z98", "Celso Luciano Dutra dos Santos")</f>
        <v/>
      </c>
      <c r="C396" t="inlineStr">
        <is>
          <t>RJ0581627</t>
        </is>
      </c>
      <c r="D396" t="inlineStr">
        <is>
          <t>ORT</t>
        </is>
      </c>
      <c r="E396" t="inlineStr">
        <is>
          <t>Rodovia Amaral Peixoto, S/N - KM 71 1 Andar</t>
        </is>
      </c>
      <c r="F396" t="inlineStr">
        <is>
          <t>Bacaxá (Bacaxá)</t>
        </is>
      </c>
      <c r="G396" t="inlineStr">
        <is>
          <t>Saquarema</t>
        </is>
      </c>
      <c r="H396" t="inlineStr">
        <is>
          <t>RJ</t>
        </is>
      </c>
      <c r="I396" t="n">
        <v>5152</v>
      </c>
      <c r="J396" t="inlineStr">
        <is>
          <t>CAT 5</t>
        </is>
      </c>
      <c r="K396" t="inlineStr">
        <is>
          <t>Sim</t>
        </is>
      </c>
    </row>
    <row r="397">
      <c r="A397" s="1">
        <f>HYPERLINK("https://eurofarma-latam-crm.veevavault.com/#object/account__v/V4TZ025E88PCMZ1", "Cesar Lima")</f>
        <v/>
      </c>
      <c r="B397" s="1">
        <f>HYPERLINK("https://eurofarma-latam-crm.veevavault.com/#object/account__v/V4TZ025E88PCMZ1", "Cesar de Queiroz Lima")</f>
        <v/>
      </c>
      <c r="C397" t="inlineStr">
        <is>
          <t>RJ0281936</t>
        </is>
      </c>
      <c r="D397" t="inlineStr">
        <is>
          <t>PSQ</t>
        </is>
      </c>
      <c r="E397" t="inlineStr">
        <is>
          <t>Rua Heitor Bravo, 6 - Lote 8</t>
        </is>
      </c>
      <c r="F397" t="inlineStr">
        <is>
          <t>Bacaxá (Bacaxá)</t>
        </is>
      </c>
      <c r="G397" t="inlineStr">
        <is>
          <t>Saquarema</t>
        </is>
      </c>
      <c r="H397" t="inlineStr">
        <is>
          <t>RJ</t>
        </is>
      </c>
      <c r="I397" t="n">
        <v>5152</v>
      </c>
      <c r="J397" t="inlineStr">
        <is>
          <t>CAT 2</t>
        </is>
      </c>
      <c r="K397" t="inlineStr">
        <is>
          <t>Sim</t>
        </is>
      </c>
    </row>
    <row r="398">
      <c r="A398" s="1">
        <f>HYPERLINK("https://eurofarma-latam-crm.veevavault.com/#object/account__v/V4TZ00001915XC0", "Cicero Teixeira")</f>
        <v/>
      </c>
      <c r="B398" s="1">
        <f>HYPERLINK("https://eurofarma-latam-crm.veevavault.com/#object/account__v/V4TZ00001915XC0", "Cicero Bahia Teixeira")</f>
        <v/>
      </c>
      <c r="C398" t="inlineStr">
        <is>
          <t>RJ0878537</t>
        </is>
      </c>
      <c r="D398" t="inlineStr">
        <is>
          <t>CLG / SNC</t>
        </is>
      </c>
      <c r="E398" t="inlineStr">
        <is>
          <t>Avenida Saquarema, 88</t>
        </is>
      </c>
      <c r="F398" t="inlineStr">
        <is>
          <t>Bacaxá (Bacaxá)</t>
        </is>
      </c>
      <c r="G398" t="inlineStr">
        <is>
          <t>Saquarema</t>
        </is>
      </c>
      <c r="H398" t="inlineStr">
        <is>
          <t>RJ</t>
        </is>
      </c>
      <c r="I398" t="n">
        <v>5152</v>
      </c>
      <c r="J398" t="inlineStr">
        <is>
          <t>CAT 4</t>
        </is>
      </c>
      <c r="K398" t="inlineStr">
        <is>
          <t>Sim</t>
        </is>
      </c>
    </row>
    <row r="399">
      <c r="A399" s="1">
        <f>HYPERLINK("https://eurofarma-latam-crm.veevavault.com/#object/account__v/V4TZ00001915G4Y", "Cid José Magioli")</f>
        <v/>
      </c>
      <c r="B399" s="1">
        <f>HYPERLINK("https://eurofarma-latam-crm.veevavault.com/#object/account__v/V4TZ00001915G4Y", "Cid José Carvalho Magioli")</f>
        <v/>
      </c>
      <c r="C399" t="inlineStr">
        <is>
          <t>RJ0440616</t>
        </is>
      </c>
      <c r="D399" t="inlineStr">
        <is>
          <t>CLG / END</t>
        </is>
      </c>
      <c r="E399" t="inlineStr">
        <is>
          <t>Rua Adolfo Bravo, 42</t>
        </is>
      </c>
      <c r="F399" t="inlineStr">
        <is>
          <t>Bacaxá (Bacaxá)</t>
        </is>
      </c>
      <c r="G399" t="inlineStr">
        <is>
          <t>Saquarema</t>
        </is>
      </c>
      <c r="H399" t="inlineStr">
        <is>
          <t>RJ</t>
        </is>
      </c>
      <c r="I399" t="n">
        <v>5152</v>
      </c>
      <c r="J399" t="inlineStr">
        <is>
          <t>CAT 5</t>
        </is>
      </c>
      <c r="K399" t="inlineStr">
        <is>
          <t>Sim</t>
        </is>
      </c>
    </row>
    <row r="400">
      <c r="A400" s="1">
        <f>HYPERLINK("https://eurofarma-latam-crm.veevavault.com/#object/account__v/V4TZ000019138VI", "Cinara Cezimbra")</f>
        <v/>
      </c>
      <c r="B400" s="1">
        <f>HYPERLINK("https://eurofarma-latam-crm.veevavault.com/#object/account__v/V4TZ000019138VI", "Cinara de Deus Cezimbra")</f>
        <v/>
      </c>
      <c r="C400" t="inlineStr">
        <is>
          <t>RJ1229141</t>
        </is>
      </c>
      <c r="D400" t="inlineStr">
        <is>
          <t>CLG / PA</t>
        </is>
      </c>
      <c r="E400" t="inlineStr">
        <is>
          <t>Rua Baster Pillar, S/N</t>
        </is>
      </c>
      <c r="F400" t="inlineStr">
        <is>
          <t>Parque Hotel</t>
        </is>
      </c>
      <c r="G400" t="inlineStr">
        <is>
          <t>Araruama</t>
        </is>
      </c>
      <c r="H400" t="inlineStr">
        <is>
          <t>RJ</t>
        </is>
      </c>
      <c r="I400" t="n">
        <v>5152</v>
      </c>
      <c r="J400" t="inlineStr">
        <is>
          <t>CAT 5</t>
        </is>
      </c>
      <c r="K400" t="inlineStr">
        <is>
          <t>Sim</t>
        </is>
      </c>
    </row>
    <row r="401">
      <c r="A401" s="1">
        <f>HYPERLINK("https://eurofarma-latam-crm.veevavault.com/#object/account__v/V4TZ0000191475F", "Clara Lemos")</f>
        <v/>
      </c>
      <c r="B401" s="1">
        <f>HYPERLINK("https://eurofarma-latam-crm.veevavault.com/#object/account__v/V4TZ0000191475F", "Clara Walviesse de Almeida Lemos")</f>
        <v/>
      </c>
      <c r="C401" t="inlineStr">
        <is>
          <t>RJ1158856</t>
        </is>
      </c>
      <c r="D401" t="inlineStr">
        <is>
          <t>ORT</t>
        </is>
      </c>
      <c r="E401" t="inlineStr">
        <is>
          <t>Rua Desembargador Ferreira Pinto, 721 - Parte</t>
        </is>
      </c>
      <c r="F401" t="inlineStr">
        <is>
          <t>Centro</t>
        </is>
      </c>
      <c r="G401" t="inlineStr">
        <is>
          <t>Itaboraí</t>
        </is>
      </c>
      <c r="H401" t="inlineStr">
        <is>
          <t>RJ</t>
        </is>
      </c>
      <c r="I401" t="n">
        <v>5152</v>
      </c>
      <c r="J401" t="inlineStr">
        <is>
          <t>CAT 5</t>
        </is>
      </c>
      <c r="K401" t="inlineStr">
        <is>
          <t>N�o</t>
        </is>
      </c>
    </row>
    <row r="402">
      <c r="A402" s="1">
        <f>HYPERLINK("https://eurofarma-latam-crm.veevavault.com/#object/account__v/V4TZ00001913U5G", "Cláudia Maria Guimarães")</f>
        <v/>
      </c>
      <c r="B402" s="1">
        <f>HYPERLINK("https://eurofarma-latam-crm.veevavault.com/#object/account__v/V4TZ00001913U5G", "Cláudia Maria Monteiro Guimarães")</f>
        <v/>
      </c>
      <c r="C402" t="inlineStr">
        <is>
          <t>RJ0623369</t>
        </is>
      </c>
      <c r="D402" t="inlineStr">
        <is>
          <t>CLG / PA</t>
        </is>
      </c>
      <c r="E402" t="inlineStr">
        <is>
          <t>Rua Araguaiana, 217</t>
        </is>
      </c>
      <c r="F402" t="inlineStr">
        <is>
          <t>Paraty</t>
        </is>
      </c>
      <c r="G402" t="inlineStr">
        <is>
          <t>Araruama</t>
        </is>
      </c>
      <c r="H402" t="inlineStr">
        <is>
          <t>RJ</t>
        </is>
      </c>
      <c r="I402" t="n">
        <v>5152</v>
      </c>
      <c r="J402" t="inlineStr">
        <is>
          <t>CAT 4</t>
        </is>
      </c>
      <c r="K402" t="inlineStr">
        <is>
          <t>Sim</t>
        </is>
      </c>
    </row>
    <row r="403">
      <c r="A403" s="1">
        <f>HYPERLINK("https://eurofarma-latam-crm.veevavault.com/#object/account__v/V4TZ000018NZ8UJ", "Claudia Pereira")</f>
        <v/>
      </c>
      <c r="B403" s="1">
        <f>HYPERLINK("https://eurofarma-latam-crm.veevavault.com/#object/account__v/V4TZ000018NZ8UJ", "Claudia Cristina de Souza Vicente Pereira")</f>
        <v/>
      </c>
      <c r="C403" t="inlineStr">
        <is>
          <t>RJ0601296</t>
        </is>
      </c>
      <c r="D403" t="inlineStr">
        <is>
          <t>PED</t>
        </is>
      </c>
      <c r="E403" t="inlineStr">
        <is>
          <t>Rua Conselheiro Macedo Soares, 354 - Loja 206</t>
        </is>
      </c>
      <c r="F403" t="inlineStr">
        <is>
          <t>Centro</t>
        </is>
      </c>
      <c r="G403" t="inlineStr">
        <is>
          <t>Araruama</t>
        </is>
      </c>
      <c r="H403" t="inlineStr">
        <is>
          <t>RJ</t>
        </is>
      </c>
      <c r="I403" t="n">
        <v>5152</v>
      </c>
      <c r="J403" t="inlineStr">
        <is>
          <t>CAT 4</t>
        </is>
      </c>
      <c r="K403" t="inlineStr">
        <is>
          <t>Sim</t>
        </is>
      </c>
    </row>
    <row r="404">
      <c r="A404" s="1">
        <f>HYPERLINK("https://eurofarma-latam-crm.veevavault.com/#object/account__v/V4TZ00001914AWQ", "Claudio Santoro")</f>
        <v/>
      </c>
      <c r="B404" s="1">
        <f>HYPERLINK("https://eurofarma-latam-crm.veevavault.com/#object/account__v/V4TZ00001914AWQ", "Claudio Santoro")</f>
        <v/>
      </c>
      <c r="C404" t="inlineStr">
        <is>
          <t>RJ0744034</t>
        </is>
      </c>
      <c r="D404" t="inlineStr">
        <is>
          <t>CLG</t>
        </is>
      </c>
      <c r="E404" t="inlineStr">
        <is>
          <t>Rua Segisfredo Bravo, 100 - Loja 1</t>
        </is>
      </c>
      <c r="F404" t="inlineStr">
        <is>
          <t>Bacaxá (Bacaxá)</t>
        </is>
      </c>
      <c r="G404" t="inlineStr">
        <is>
          <t>Saquarema</t>
        </is>
      </c>
      <c r="H404" t="inlineStr">
        <is>
          <t>RJ</t>
        </is>
      </c>
      <c r="I404" t="n">
        <v>5152</v>
      </c>
      <c r="J404" t="inlineStr">
        <is>
          <t>CAT 5</t>
        </is>
      </c>
      <c r="K404" t="inlineStr">
        <is>
          <t>N�o</t>
        </is>
      </c>
    </row>
    <row r="405">
      <c r="A405" s="1">
        <f>HYPERLINK("https://eurofarma-latam-crm.veevavault.com/#object/account__v/V4TZ025E83R66OL", "Cristiano da Silva")</f>
        <v/>
      </c>
      <c r="B405" s="1">
        <f>HYPERLINK("https://eurofarma-latam-crm.veevavault.com/#object/account__v/V4TZ025E83R66OL", "Cristiano Aparecido Soares da Silva")</f>
        <v/>
      </c>
      <c r="C405" t="inlineStr">
        <is>
          <t>RJ1297244</t>
        </is>
      </c>
      <c r="D405" t="inlineStr">
        <is>
          <t>PED</t>
        </is>
      </c>
      <c r="E405" t="inlineStr">
        <is>
          <t>Rua Adolfo Bravo, S/N</t>
        </is>
      </c>
      <c r="F405" t="inlineStr">
        <is>
          <t>Bacaxá (Bacaxá)</t>
        </is>
      </c>
      <c r="G405" t="inlineStr">
        <is>
          <t>Saquarema</t>
        </is>
      </c>
      <c r="H405" t="inlineStr">
        <is>
          <t>RJ</t>
        </is>
      </c>
      <c r="I405" t="n">
        <v>5152</v>
      </c>
      <c r="J405" t="inlineStr">
        <is>
          <t>CAT 4</t>
        </is>
      </c>
      <c r="K405" t="inlineStr">
        <is>
          <t>Sim</t>
        </is>
      </c>
    </row>
    <row r="406">
      <c r="A406" s="1">
        <f>HYPERLINK("https://eurofarma-latam-crm.veevavault.com/#object/account__v/V4TZ00001913CL7", "Cristiano Gomes")</f>
        <v/>
      </c>
      <c r="B406" s="1">
        <f>HYPERLINK("https://eurofarma-latam-crm.veevavault.com/#object/account__v/V4TZ00001913CL7", "Cristiano de Melo Rangel Gomes")</f>
        <v/>
      </c>
      <c r="C406" t="inlineStr">
        <is>
          <t>RJ0755834</t>
        </is>
      </c>
      <c r="D406" t="inlineStr">
        <is>
          <t>CLG</t>
        </is>
      </c>
      <c r="E406" t="inlineStr">
        <is>
          <t>Rua Adolfo Bravo, 75</t>
        </is>
      </c>
      <c r="F406" t="inlineStr">
        <is>
          <t>Bacaxá (Bacaxá)</t>
        </is>
      </c>
      <c r="G406" t="inlineStr">
        <is>
          <t>Saquarema</t>
        </is>
      </c>
      <c r="H406" t="inlineStr">
        <is>
          <t>RJ</t>
        </is>
      </c>
      <c r="I406" t="n">
        <v>5152</v>
      </c>
      <c r="J406" t="inlineStr">
        <is>
          <t>CAT 5</t>
        </is>
      </c>
      <c r="K406" t="inlineStr">
        <is>
          <t>N�o</t>
        </is>
      </c>
    </row>
    <row r="407">
      <c r="A407" s="1">
        <f>HYPERLINK("https://eurofarma-latam-crm.veevavault.com/#object/account__v/V4TZ000018NXQ9A", "Cristina Pereira")</f>
        <v/>
      </c>
      <c r="B407" s="1">
        <f>HYPERLINK("https://eurofarma-latam-crm.veevavault.com/#object/account__v/V4TZ000018NXQ9A", "Cristina de Almeida Pereira")</f>
        <v/>
      </c>
      <c r="C407" t="inlineStr">
        <is>
          <t>RJ0920770</t>
        </is>
      </c>
      <c r="D407" t="inlineStr">
        <is>
          <t>NEU</t>
        </is>
      </c>
      <c r="E407" t="inlineStr">
        <is>
          <t>Avenida Sete de Maio, 50 - Loja 2</t>
        </is>
      </c>
      <c r="F407" t="inlineStr">
        <is>
          <t>Centro</t>
        </is>
      </c>
      <c r="G407" t="inlineStr">
        <is>
          <t>Rio Bonito</t>
        </is>
      </c>
      <c r="H407" t="inlineStr">
        <is>
          <t>RJ</t>
        </is>
      </c>
      <c r="I407" t="n">
        <v>5152</v>
      </c>
      <c r="J407" t="inlineStr">
        <is>
          <t>CAT 1</t>
        </is>
      </c>
      <c r="K407" t="inlineStr">
        <is>
          <t>Sim</t>
        </is>
      </c>
    </row>
    <row r="408">
      <c r="A408" s="1">
        <f>HYPERLINK("https://eurofarma-latam-crm.veevavault.com/#object/account__v/V4TZ00001915KVI", "Dalva Bacalhao")</f>
        <v/>
      </c>
      <c r="B408" s="1">
        <f>HYPERLINK("https://eurofarma-latam-crm.veevavault.com/#object/account__v/V4TZ00001915KVI", "Dalva Barbosa Bacalhao")</f>
        <v/>
      </c>
      <c r="C408" t="inlineStr">
        <is>
          <t>RJ0325527</t>
        </is>
      </c>
      <c r="D408" t="inlineStr">
        <is>
          <t>CLG / PA</t>
        </is>
      </c>
      <c r="E408" t="inlineStr">
        <is>
          <t>Rodovia Amaral Peixoto, S/N - KM 71 1 Andar</t>
        </is>
      </c>
      <c r="F408" t="inlineStr">
        <is>
          <t>Bacaxá (Bacaxá)</t>
        </is>
      </c>
      <c r="G408" t="inlineStr">
        <is>
          <t>Saquarema</t>
        </is>
      </c>
      <c r="H408" t="inlineStr">
        <is>
          <t>RJ</t>
        </is>
      </c>
      <c r="I408" t="n">
        <v>5152</v>
      </c>
      <c r="J408" t="inlineStr">
        <is>
          <t>CAT 5</t>
        </is>
      </c>
      <c r="K408" t="inlineStr">
        <is>
          <t>Sim</t>
        </is>
      </c>
    </row>
    <row r="409">
      <c r="A409" s="1">
        <f>HYPERLINK("https://eurofarma-latam-crm.veevavault.com/#object/account__v/V4TZ00001913HWE", "Daniel Giannini")</f>
        <v/>
      </c>
      <c r="B409" s="1">
        <f>HYPERLINK("https://eurofarma-latam-crm.veevavault.com/#object/account__v/V4TZ00001913HWE", "Daniel Cheregatti Giannini")</f>
        <v/>
      </c>
      <c r="C409" t="inlineStr">
        <is>
          <t>RJ0961663</t>
        </is>
      </c>
      <c r="D409" t="inlineStr">
        <is>
          <t>GAS</t>
        </is>
      </c>
      <c r="E409" t="inlineStr">
        <is>
          <t>Rua Bernardo Vasconcelos, 477</t>
        </is>
      </c>
      <c r="F409" t="inlineStr">
        <is>
          <t>Centro</t>
        </is>
      </c>
      <c r="G409" t="inlineStr">
        <is>
          <t>Araruama</t>
        </is>
      </c>
      <c r="H409" t="inlineStr">
        <is>
          <t>RJ</t>
        </is>
      </c>
      <c r="I409" t="n">
        <v>5152</v>
      </c>
      <c r="J409" t="inlineStr">
        <is>
          <t>CAT 5</t>
        </is>
      </c>
      <c r="K409" t="inlineStr">
        <is>
          <t>Sim</t>
        </is>
      </c>
    </row>
    <row r="410">
      <c r="A410" s="1">
        <f>HYPERLINK("https://eurofarma-latam-crm.veevavault.com/#object/account__v/V4TZ00001913T5Q", "Daniela Cordeiro")</f>
        <v/>
      </c>
      <c r="B410" s="1">
        <f>HYPERLINK("https://eurofarma-latam-crm.veevavault.com/#object/account__v/V4TZ00001913T5Q", "Daniela Moreira Cordeiro")</f>
        <v/>
      </c>
      <c r="C410" t="inlineStr">
        <is>
          <t>RJ0577710</t>
        </is>
      </c>
      <c r="D410" t="inlineStr">
        <is>
          <t>PED</t>
        </is>
      </c>
      <c r="E410" t="inlineStr">
        <is>
          <t>Rua Adolfo Bravo, 38 - Casa</t>
        </is>
      </c>
      <c r="F410" t="inlineStr">
        <is>
          <t>Bacaxá (Bacaxá)</t>
        </is>
      </c>
      <c r="G410" t="inlineStr">
        <is>
          <t>Saquarema</t>
        </is>
      </c>
      <c r="H410" t="inlineStr">
        <is>
          <t>RJ</t>
        </is>
      </c>
      <c r="I410" t="n">
        <v>5152</v>
      </c>
      <c r="J410" t="inlineStr">
        <is>
          <t>CAT 5</t>
        </is>
      </c>
      <c r="K410" t="inlineStr">
        <is>
          <t>Sim</t>
        </is>
      </c>
    </row>
    <row r="411">
      <c r="A411" s="1">
        <f>HYPERLINK("https://eurofarma-latam-crm.veevavault.com/#object/account__v/V4TZ000018NXGT4", "Daniele Ribeiro")</f>
        <v/>
      </c>
      <c r="B411" s="1">
        <f>HYPERLINK("https://eurofarma-latam-crm.veevavault.com/#object/account__v/V4TZ000018NXGT4", "Daniele Guedes Silveira Ribeiro")</f>
        <v/>
      </c>
      <c r="C411" t="inlineStr">
        <is>
          <t>RJ0719650</t>
        </is>
      </c>
      <c r="D411" t="inlineStr">
        <is>
          <t>PSQ</t>
        </is>
      </c>
      <c r="E411" t="inlineStr">
        <is>
          <t>Rua Manoel José de Carvalho, 97</t>
        </is>
      </c>
      <c r="F411" t="inlineStr">
        <is>
          <t>São Cristóvão</t>
        </is>
      </c>
      <c r="G411" t="inlineStr">
        <is>
          <t>Cabo Frio</t>
        </is>
      </c>
      <c r="H411" t="inlineStr">
        <is>
          <t>RJ</t>
        </is>
      </c>
      <c r="I411" t="n">
        <v>5152</v>
      </c>
      <c r="J411" t="inlineStr">
        <is>
          <t>CAT 1</t>
        </is>
      </c>
      <c r="K411" t="inlineStr">
        <is>
          <t>Sim</t>
        </is>
      </c>
    </row>
    <row r="412">
      <c r="A412" s="1">
        <f>HYPERLINK("https://eurofarma-latam-crm.veevavault.com/#object/account__v/V4TZ000019168ET", "Danilo Garcia")</f>
        <v/>
      </c>
      <c r="B412" s="1">
        <f>HYPERLINK("https://eurofarma-latam-crm.veevavault.com/#object/account__v/V4TZ000019168ET", "Danilo Freires Garcia")</f>
        <v/>
      </c>
      <c r="C412" t="inlineStr">
        <is>
          <t>RJ1277561</t>
        </is>
      </c>
      <c r="D412" t="inlineStr">
        <is>
          <t>PED</t>
        </is>
      </c>
      <c r="E412" t="inlineStr">
        <is>
          <t>Rua Adolfo Bravo, S/N</t>
        </is>
      </c>
      <c r="F412" t="inlineStr">
        <is>
          <t>Bacaxá (Bacaxá)</t>
        </is>
      </c>
      <c r="G412" t="inlineStr">
        <is>
          <t>Saquarema</t>
        </is>
      </c>
      <c r="H412" t="inlineStr">
        <is>
          <t>RJ</t>
        </is>
      </c>
      <c r="I412" t="n">
        <v>5152</v>
      </c>
      <c r="J412" t="inlineStr">
        <is>
          <t>CAT 4</t>
        </is>
      </c>
      <c r="K412" t="inlineStr">
        <is>
          <t>Sim</t>
        </is>
      </c>
    </row>
    <row r="413">
      <c r="A413" s="1">
        <f>HYPERLINK("https://eurofarma-latam-crm.veevavault.com/#object/account__v/V4TZ000018NYM0C", "Danuse Mello")</f>
        <v/>
      </c>
      <c r="B413" s="1">
        <f>HYPERLINK("https://eurofarma-latam-crm.veevavault.com/#object/account__v/V4TZ000018NYM0C", "Danuse Mello")</f>
        <v/>
      </c>
      <c r="C413" t="inlineStr">
        <is>
          <t>RJ0606394</t>
        </is>
      </c>
      <c r="D413" t="inlineStr">
        <is>
          <t>CLG</t>
        </is>
      </c>
      <c r="E413" t="inlineStr">
        <is>
          <t>Avenida Martinho Almeida, 222</t>
        </is>
      </c>
      <c r="F413" t="inlineStr">
        <is>
          <t>Mangueirinha</t>
        </is>
      </c>
      <c r="G413" t="inlineStr">
        <is>
          <t>Rio Bonito</t>
        </is>
      </c>
      <c r="H413" t="inlineStr">
        <is>
          <t>RJ</t>
        </is>
      </c>
      <c r="I413" t="n">
        <v>5152</v>
      </c>
      <c r="J413" t="inlineStr">
        <is>
          <t>CAT 3</t>
        </is>
      </c>
      <c r="K413" t="inlineStr">
        <is>
          <t>Sim</t>
        </is>
      </c>
    </row>
    <row r="414">
      <c r="A414" s="1">
        <f>HYPERLINK("https://eurofarma-latam-crm.veevavault.com/#object/account__v/V4TZ00001913JM8", "David Lima")</f>
        <v/>
      </c>
      <c r="B414" s="1">
        <f>HYPERLINK("https://eurofarma-latam-crm.veevavault.com/#object/account__v/V4TZ00001913JM8", "David Chagas de Oliveira Lima")</f>
        <v/>
      </c>
      <c r="C414" t="inlineStr">
        <is>
          <t>MG0102212,RJ0814466</t>
        </is>
      </c>
      <c r="D414" t="inlineStr">
        <is>
          <t>CLG</t>
        </is>
      </c>
      <c r="E414" t="inlineStr">
        <is>
          <t>Rua Doutor Mattos, 44 - Sala 107</t>
        </is>
      </c>
      <c r="F414" t="inlineStr">
        <is>
          <t>Centro</t>
        </is>
      </c>
      <c r="G414" t="inlineStr">
        <is>
          <t>Rio Bonito</t>
        </is>
      </c>
      <c r="H414" t="inlineStr">
        <is>
          <t>RJ</t>
        </is>
      </c>
      <c r="I414" t="n">
        <v>5152</v>
      </c>
      <c r="J414" t="inlineStr">
        <is>
          <t>CAT 4</t>
        </is>
      </c>
      <c r="K414" t="inlineStr">
        <is>
          <t>Sim</t>
        </is>
      </c>
    </row>
    <row r="415">
      <c r="A415" s="1">
        <f>HYPERLINK("https://eurofarma-latam-crm.veevavault.com/#object/account__v/V4TZ000019151C1", "Dayse Britto")</f>
        <v/>
      </c>
      <c r="B415" s="1">
        <f>HYPERLINK("https://eurofarma-latam-crm.veevavault.com/#object/account__v/V4TZ000019151C1", "Dayse Gonçalves Britto")</f>
        <v/>
      </c>
      <c r="C415" t="inlineStr">
        <is>
          <t>RJ0501657</t>
        </is>
      </c>
      <c r="D415" t="inlineStr">
        <is>
          <t>CLG</t>
        </is>
      </c>
      <c r="E415" t="inlineStr">
        <is>
          <t>Avenida Visconde de Mauá, S/N</t>
        </is>
      </c>
      <c r="F415" t="inlineStr">
        <is>
          <t>Vila Ibirapitanga</t>
        </is>
      </c>
      <c r="G415" t="inlineStr">
        <is>
          <t>Itaguaí</t>
        </is>
      </c>
      <c r="H415" t="inlineStr">
        <is>
          <t>RJ</t>
        </is>
      </c>
      <c r="I415" t="n">
        <v>5152</v>
      </c>
      <c r="J415" t="inlineStr">
        <is>
          <t>CAT 5</t>
        </is>
      </c>
      <c r="K415" t="inlineStr">
        <is>
          <t>Sim</t>
        </is>
      </c>
    </row>
    <row r="416">
      <c r="A416" s="1">
        <f>HYPERLINK("https://eurofarma-latam-crm.veevavault.com/#object/account__v/V4TZ025E89N2SMB", "Denise de Lima")</f>
        <v/>
      </c>
      <c r="B416" s="1">
        <f>HYPERLINK("https://eurofarma-latam-crm.veevavault.com/#object/account__v/V4TZ025E89N2SMB", "Denise Miranda de Lima")</f>
        <v/>
      </c>
      <c r="C416" t="inlineStr">
        <is>
          <t>RJ0536288</t>
        </is>
      </c>
      <c r="D416" t="inlineStr">
        <is>
          <t>PED</t>
        </is>
      </c>
      <c r="E416" t="inlineStr">
        <is>
          <t>Rua Frei Caneca, 8</t>
        </is>
      </c>
      <c r="F416" t="inlineStr">
        <is>
          <t>Centro</t>
        </is>
      </c>
      <c r="G416" t="inlineStr">
        <is>
          <t>Rio de Janeiro</t>
        </is>
      </c>
      <c r="H416" t="inlineStr">
        <is>
          <t>RJ</t>
        </is>
      </c>
      <c r="I416" t="n">
        <v>5152</v>
      </c>
      <c r="J416" t="inlineStr"/>
      <c r="K416" t="inlineStr"/>
    </row>
    <row r="417">
      <c r="A417" s="1">
        <f>HYPERLINK("https://eurofarma-latam-crm.veevavault.com/#object/account__v/V4TZ000018NYS9G", "Dennis de Souza")</f>
        <v/>
      </c>
      <c r="B417" s="1">
        <f>HYPERLINK("https://eurofarma-latam-crm.veevavault.com/#object/account__v/V4TZ000018NYS9G", "Dennis Ferreira de Souza")</f>
        <v/>
      </c>
      <c r="C417" t="inlineStr">
        <is>
          <t>RJ0647462</t>
        </is>
      </c>
      <c r="D417" t="inlineStr">
        <is>
          <t>NEU</t>
        </is>
      </c>
      <c r="E417" t="inlineStr">
        <is>
          <t>Avenida Brasil, 10 - Sala 712</t>
        </is>
      </c>
      <c r="F417" t="inlineStr">
        <is>
          <t>Centro</t>
        </is>
      </c>
      <c r="G417" t="inlineStr">
        <is>
          <t>Araruama</t>
        </is>
      </c>
      <c r="H417" t="inlineStr">
        <is>
          <t>RJ</t>
        </is>
      </c>
      <c r="I417" t="n">
        <v>5152</v>
      </c>
      <c r="J417" t="inlineStr">
        <is>
          <t>CAT 2</t>
        </is>
      </c>
      <c r="K417" t="inlineStr">
        <is>
          <t>Sim</t>
        </is>
      </c>
    </row>
    <row r="418">
      <c r="A418" s="1">
        <f>HYPERLINK("https://eurofarma-latam-crm.veevavault.com/#object/account__v/V4TZ025E8FBHRE0", "Dennis Filho")</f>
        <v/>
      </c>
      <c r="B418" s="1">
        <f>HYPERLINK("https://eurofarma-latam-crm.veevavault.com/#object/account__v/V4TZ025E8FBHRE0", "Dennis Ferreira De Souza Filho")</f>
        <v/>
      </c>
      <c r="C418" t="inlineStr">
        <is>
          <t>RJ1377066</t>
        </is>
      </c>
      <c r="D418" t="inlineStr">
        <is>
          <t>CLG / PA</t>
        </is>
      </c>
      <c r="E418" t="inlineStr">
        <is>
          <t>Avenida Brasil, 44878 - Guandu Do Sape</t>
        </is>
      </c>
      <c r="F418" t="inlineStr">
        <is>
          <t>Campo Grande</t>
        </is>
      </c>
      <c r="G418" t="inlineStr">
        <is>
          <t>Rio de Janeiro</t>
        </is>
      </c>
      <c r="H418" t="inlineStr">
        <is>
          <t>RJ</t>
        </is>
      </c>
      <c r="I418" t="n">
        <v>5152</v>
      </c>
      <c r="J418" t="inlineStr"/>
      <c r="K418" t="inlineStr"/>
    </row>
    <row r="419">
      <c r="A419" s="1">
        <f>HYPERLINK("https://eurofarma-latam-crm.veevavault.com/#object/account__v/V4TZ000018NY2PL", "Diego Portela")</f>
        <v/>
      </c>
      <c r="B419" s="1">
        <f>HYPERLINK("https://eurofarma-latam-crm.veevavault.com/#object/account__v/V4TZ000018NY2PL", "Diego Lima Portela")</f>
        <v/>
      </c>
      <c r="C419" t="inlineStr">
        <is>
          <t>RJ0911313</t>
        </is>
      </c>
      <c r="D419" t="inlineStr">
        <is>
          <t>CLG / PA</t>
        </is>
      </c>
      <c r="E419" t="inlineStr">
        <is>
          <t>Rua Teixeira de Freitas, 30</t>
        </is>
      </c>
      <c r="F419" t="inlineStr">
        <is>
          <t>Fonseca</t>
        </is>
      </c>
      <c r="G419" t="inlineStr">
        <is>
          <t>Niterói</t>
        </is>
      </c>
      <c r="H419" t="inlineStr">
        <is>
          <t>RJ</t>
        </is>
      </c>
      <c r="I419" t="n">
        <v>5152</v>
      </c>
      <c r="J419" t="inlineStr">
        <is>
          <t>CAT 5</t>
        </is>
      </c>
      <c r="K419" t="inlineStr">
        <is>
          <t>Sim</t>
        </is>
      </c>
    </row>
    <row r="420">
      <c r="A420" s="1">
        <f>HYPERLINK("https://eurofarma-latam-crm.veevavault.com/#object/account__v/V4TZ000018NYXKC", "Douglas Bernardes")</f>
        <v/>
      </c>
      <c r="B420" s="1">
        <f>HYPERLINK("https://eurofarma-latam-crm.veevavault.com/#object/account__v/V4TZ000018NYXKC", "Douglas Rangel Bernardes")</f>
        <v/>
      </c>
      <c r="C420" t="inlineStr">
        <is>
          <t>RJ1075217</t>
        </is>
      </c>
      <c r="D420" t="inlineStr">
        <is>
          <t>PED</t>
        </is>
      </c>
      <c r="E420" t="inlineStr">
        <is>
          <t>Rua Noventa e Sete, 1008</t>
        </is>
      </c>
      <c r="F420" t="inlineStr">
        <is>
          <t>Jaconé (Sampaio Correia)</t>
        </is>
      </c>
      <c r="G420" t="inlineStr">
        <is>
          <t>Saquarema</t>
        </is>
      </c>
      <c r="H420" t="inlineStr">
        <is>
          <t>RJ</t>
        </is>
      </c>
      <c r="I420" t="n">
        <v>5152</v>
      </c>
      <c r="J420" t="inlineStr">
        <is>
          <t>CAT 4</t>
        </is>
      </c>
      <c r="K420" t="inlineStr">
        <is>
          <t>Sim</t>
        </is>
      </c>
    </row>
    <row r="421">
      <c r="A421" s="1">
        <f>HYPERLINK("https://eurofarma-latam-crm.veevavault.com/#object/account__v/V4TZ025E8C13CP8", "Dyego Costa")</f>
        <v/>
      </c>
      <c r="B421" s="1">
        <f>HYPERLINK("https://eurofarma-latam-crm.veevavault.com/#object/account__v/V4TZ025E8C13CP8", "Dyego Souza Costa")</f>
        <v/>
      </c>
      <c r="C421" t="inlineStr">
        <is>
          <t>RJ1356801</t>
        </is>
      </c>
      <c r="D421" t="inlineStr">
        <is>
          <t>CLG / PA</t>
        </is>
      </c>
      <c r="E421" t="inlineStr">
        <is>
          <t>Rua Euclides Paulo da Silva, S/N</t>
        </is>
      </c>
      <c r="F421" t="inlineStr">
        <is>
          <t>Inoã (Inoã)</t>
        </is>
      </c>
      <c r="G421" t="inlineStr">
        <is>
          <t>Maricá</t>
        </is>
      </c>
      <c r="H421" t="inlineStr">
        <is>
          <t>RJ</t>
        </is>
      </c>
      <c r="I421" t="n">
        <v>5152</v>
      </c>
      <c r="J421" t="inlineStr"/>
      <c r="K421" t="inlineStr"/>
    </row>
    <row r="422">
      <c r="A422" s="1">
        <f>HYPERLINK("https://eurofarma-latam-crm.veevavault.com/#object/account__v/V4TZ00001913UOR", "Edilene Macedo")</f>
        <v/>
      </c>
      <c r="B422" s="1">
        <f>HYPERLINK("https://eurofarma-latam-crm.veevavault.com/#object/account__v/V4TZ00001913UOR", "Edilene Yule de Macedo")</f>
        <v/>
      </c>
      <c r="C422" t="inlineStr">
        <is>
          <t>RJ0458734</t>
        </is>
      </c>
      <c r="D422" t="inlineStr">
        <is>
          <t>CLG</t>
        </is>
      </c>
      <c r="E422" t="inlineStr">
        <is>
          <t>Avenida Oito de Maio, 534</t>
        </is>
      </c>
      <c r="F422" t="inlineStr">
        <is>
          <t>Centro</t>
        </is>
      </c>
      <c r="G422" t="inlineStr">
        <is>
          <t>Silva Jardim</t>
        </is>
      </c>
      <c r="H422" t="inlineStr">
        <is>
          <t>RJ</t>
        </is>
      </c>
      <c r="I422" t="n">
        <v>5152</v>
      </c>
      <c r="J422" t="inlineStr">
        <is>
          <t>CAT 5</t>
        </is>
      </c>
      <c r="K422" t="inlineStr">
        <is>
          <t>Sim</t>
        </is>
      </c>
    </row>
    <row r="423">
      <c r="A423" s="1">
        <f>HYPERLINK("https://eurofarma-latam-crm.veevavault.com/#object/account__v/V4TZ0000191502W", "Edivaldo José Vargas Junior")</f>
        <v/>
      </c>
      <c r="B423" s="1">
        <f>HYPERLINK("https://eurofarma-latam-crm.veevavault.com/#object/account__v/V4TZ0000191502W", "Edivaldo José de Oliveira Vargas Junior")</f>
        <v/>
      </c>
      <c r="C423" t="inlineStr">
        <is>
          <t>RJ1054287</t>
        </is>
      </c>
      <c r="D423" t="inlineStr">
        <is>
          <t>ORT</t>
        </is>
      </c>
      <c r="E423" t="inlineStr">
        <is>
          <t>Rua Felipe Cardoso, 759</t>
        </is>
      </c>
      <c r="F423" t="inlineStr">
        <is>
          <t>Santa Cruz</t>
        </is>
      </c>
      <c r="G423" t="inlineStr">
        <is>
          <t>Rio de Janeiro</t>
        </is>
      </c>
      <c r="H423" t="inlineStr">
        <is>
          <t>RJ</t>
        </is>
      </c>
      <c r="I423" t="n">
        <v>5152</v>
      </c>
      <c r="J423" t="inlineStr">
        <is>
          <t>CAT 4</t>
        </is>
      </c>
      <c r="K423" t="inlineStr">
        <is>
          <t>Sim</t>
        </is>
      </c>
    </row>
    <row r="424">
      <c r="A424" s="1">
        <f>HYPERLINK("https://eurofarma-latam-crm.veevavault.com/#object/account__v/V4T00000001J624", "Eduardo Vaqueiro")</f>
        <v/>
      </c>
      <c r="B424" s="1">
        <f>HYPERLINK("https://eurofarma-latam-crm.veevavault.com/#object/account__v/V4T00000001J624", "Eduardo Costa Vaz Vaqueiro")</f>
        <v/>
      </c>
      <c r="C424" t="inlineStr">
        <is>
          <t>RJ1415490</t>
        </is>
      </c>
      <c r="D424" t="inlineStr">
        <is>
          <t>CLG / PA</t>
        </is>
      </c>
      <c r="E424" t="inlineStr">
        <is>
          <t>Avenida Nilo Peçanha, 835</t>
        </is>
      </c>
      <c r="F424" t="inlineStr">
        <is>
          <t>Centro</t>
        </is>
      </c>
      <c r="G424" t="inlineStr">
        <is>
          <t>Araruama</t>
        </is>
      </c>
      <c r="H424" t="inlineStr">
        <is>
          <t>RJ</t>
        </is>
      </c>
      <c r="I424" t="n">
        <v>5152</v>
      </c>
      <c r="J424" t="inlineStr"/>
      <c r="K424" t="inlineStr"/>
    </row>
    <row r="425">
      <c r="A425" s="1">
        <f>HYPERLINK("https://eurofarma-latam-crm.veevavault.com/#object/account__v/V4TZ00001914E14", "Eglio Taranto")</f>
        <v/>
      </c>
      <c r="B425" s="1">
        <f>HYPERLINK("https://eurofarma-latam-crm.veevavault.com/#object/account__v/V4TZ00001914E14", "Eglio de Marins Taranto")</f>
        <v/>
      </c>
      <c r="C425" t="inlineStr">
        <is>
          <t>RJ1064983</t>
        </is>
      </c>
      <c r="D425" t="inlineStr">
        <is>
          <t>ORT</t>
        </is>
      </c>
      <c r="E425" t="inlineStr">
        <is>
          <t>Rodovia Amaral Peixoto, S/N - KM 71 1 Andar</t>
        </is>
      </c>
      <c r="F425" t="inlineStr">
        <is>
          <t>Bacaxá (Bacaxá)</t>
        </is>
      </c>
      <c r="G425" t="inlineStr">
        <is>
          <t>Saquarema</t>
        </is>
      </c>
      <c r="H425" t="inlineStr">
        <is>
          <t>RJ</t>
        </is>
      </c>
      <c r="I425" t="n">
        <v>5152</v>
      </c>
      <c r="J425" t="inlineStr">
        <is>
          <t>CAT 5</t>
        </is>
      </c>
      <c r="K425" t="inlineStr">
        <is>
          <t>Sim</t>
        </is>
      </c>
    </row>
    <row r="426">
      <c r="A426" s="1">
        <f>HYPERLINK("https://eurofarma-latam-crm.veevavault.com/#object/account__v/V4TZ000018NY7JS", "Elio Campos Filho")</f>
        <v/>
      </c>
      <c r="B426" s="1">
        <f>HYPERLINK("https://eurofarma-latam-crm.veevavault.com/#object/account__v/V4TZ000018NY7JS", "Elio Fernandes Campos Filho")</f>
        <v/>
      </c>
      <c r="C426" t="inlineStr">
        <is>
          <t>RJ0542870</t>
        </is>
      </c>
      <c r="D426" t="inlineStr">
        <is>
          <t>PED</t>
        </is>
      </c>
      <c r="E426" t="inlineStr">
        <is>
          <t>Rua Florisbela Rosa da Penha, S/N</t>
        </is>
      </c>
      <c r="F426" t="inlineStr">
        <is>
          <t>Braga</t>
        </is>
      </c>
      <c r="G426" t="inlineStr">
        <is>
          <t>Cabo Frio</t>
        </is>
      </c>
      <c r="H426" t="inlineStr">
        <is>
          <t>RJ</t>
        </is>
      </c>
      <c r="I426" t="n">
        <v>5152</v>
      </c>
      <c r="J426" t="inlineStr">
        <is>
          <t>CAT 5</t>
        </is>
      </c>
      <c r="K426" t="inlineStr">
        <is>
          <t>Sim</t>
        </is>
      </c>
    </row>
    <row r="427">
      <c r="A427" s="1">
        <f>HYPERLINK("https://eurofarma-latam-crm.veevavault.com/#object/account__v/V4TZ00001915MMY", "Elisiane Silva")</f>
        <v/>
      </c>
      <c r="B427" s="1">
        <f>HYPERLINK("https://eurofarma-latam-crm.veevavault.com/#object/account__v/V4TZ00001915MMY", "Elisiane Telles Silva")</f>
        <v/>
      </c>
      <c r="C427" t="inlineStr">
        <is>
          <t>RJ0974978</t>
        </is>
      </c>
      <c r="D427" t="inlineStr">
        <is>
          <t>CLG / PA</t>
        </is>
      </c>
      <c r="E427" t="inlineStr">
        <is>
          <t>Rua Miguel De Carvalho, 30</t>
        </is>
      </c>
      <c r="F427" t="inlineStr">
        <is>
          <t>Centro</t>
        </is>
      </c>
      <c r="G427" t="inlineStr">
        <is>
          <t>Cantagalo</t>
        </is>
      </c>
      <c r="H427" t="inlineStr">
        <is>
          <t>RJ</t>
        </is>
      </c>
      <c r="I427" t="n">
        <v>5152</v>
      </c>
      <c r="J427" t="inlineStr">
        <is>
          <t>CAT 5</t>
        </is>
      </c>
      <c r="K427" t="inlineStr">
        <is>
          <t>Sim</t>
        </is>
      </c>
    </row>
    <row r="428">
      <c r="A428" s="1">
        <f>HYPERLINK("https://eurofarma-latam-crm.veevavault.com/#object/account__v/V4TZ000018NY2T6", "Elizabeth Marangoni")</f>
        <v/>
      </c>
      <c r="B428" s="1">
        <f>HYPERLINK("https://eurofarma-latam-crm.veevavault.com/#object/account__v/V4TZ000018NY2T6", "Elizabeth de Andrade Marangoni")</f>
        <v/>
      </c>
      <c r="C428" t="inlineStr">
        <is>
          <t>RJ0714917</t>
        </is>
      </c>
      <c r="D428" t="inlineStr">
        <is>
          <t>CLG</t>
        </is>
      </c>
      <c r="E428" t="inlineStr">
        <is>
          <t>Rodovia Amaral Peixoto, S/N - KM 71 1 Andar</t>
        </is>
      </c>
      <c r="F428" t="inlineStr">
        <is>
          <t>Bacaxá (Bacaxá)</t>
        </is>
      </c>
      <c r="G428" t="inlineStr">
        <is>
          <t>Saquarema</t>
        </is>
      </c>
      <c r="H428" t="inlineStr">
        <is>
          <t>RJ</t>
        </is>
      </c>
      <c r="I428" t="n">
        <v>5152</v>
      </c>
      <c r="J428" t="inlineStr">
        <is>
          <t>CAT 5</t>
        </is>
      </c>
      <c r="K428" t="inlineStr">
        <is>
          <t>Sim</t>
        </is>
      </c>
    </row>
    <row r="429">
      <c r="A429" s="1">
        <f>HYPERLINK("https://eurofarma-latam-crm.veevavault.com/#object/account__v/V4TZ00001914713", "Elson Polo")</f>
        <v/>
      </c>
      <c r="B429" s="1">
        <f>HYPERLINK("https://eurofarma-latam-crm.veevavault.com/#object/account__v/V4TZ00001914713", "Elson Luiz Gatto Polo")</f>
        <v/>
      </c>
      <c r="C429" t="inlineStr">
        <is>
          <t>RJ0384464</t>
        </is>
      </c>
      <c r="D429" t="inlineStr">
        <is>
          <t>CLG / END</t>
        </is>
      </c>
      <c r="E429" t="inlineStr">
        <is>
          <t>Avenida Nilo Peçanha, 835 - Parte</t>
        </is>
      </c>
      <c r="F429" t="inlineStr">
        <is>
          <t>Centro</t>
        </is>
      </c>
      <c r="G429" t="inlineStr">
        <is>
          <t>Araruama</t>
        </is>
      </c>
      <c r="H429" t="inlineStr">
        <is>
          <t>RJ</t>
        </is>
      </c>
      <c r="I429" t="n">
        <v>5152</v>
      </c>
      <c r="J429" t="inlineStr">
        <is>
          <t>CAT 5</t>
        </is>
      </c>
      <c r="K429" t="inlineStr">
        <is>
          <t>N�o</t>
        </is>
      </c>
    </row>
    <row r="430">
      <c r="A430" s="1">
        <f>HYPERLINK("https://eurofarma-latam-crm.veevavault.com/#object/account__v/V4TZ025E88YZRCL", "Eluana Damartini")</f>
        <v/>
      </c>
      <c r="B430" s="1">
        <f>HYPERLINK("https://eurofarma-latam-crm.veevavault.com/#object/account__v/V4TZ025E88YZRCL", "Eluana Landi Damartini")</f>
        <v/>
      </c>
      <c r="C430" t="inlineStr">
        <is>
          <t>RJ1328760</t>
        </is>
      </c>
      <c r="D430" t="inlineStr">
        <is>
          <t>PED</t>
        </is>
      </c>
      <c r="E430" t="inlineStr">
        <is>
          <t>Rua Adolfo Bravo, S/N</t>
        </is>
      </c>
      <c r="F430" t="inlineStr">
        <is>
          <t>Bacaxá (Bacaxá)</t>
        </is>
      </c>
      <c r="G430" t="inlineStr">
        <is>
          <t>Saquarema</t>
        </is>
      </c>
      <c r="H430" t="inlineStr">
        <is>
          <t>RJ</t>
        </is>
      </c>
      <c r="I430" t="n">
        <v>5152</v>
      </c>
      <c r="J430" t="inlineStr">
        <is>
          <t>CAT 5</t>
        </is>
      </c>
      <c r="K430" t="inlineStr">
        <is>
          <t>Sim</t>
        </is>
      </c>
    </row>
    <row r="431">
      <c r="A431" s="1">
        <f>HYPERLINK("https://eurofarma-latam-crm.veevavault.com/#object/account__v/V4TZ025E88FMH71", "Erickson Araujo")</f>
        <v/>
      </c>
      <c r="B431" s="1">
        <f>HYPERLINK("https://eurofarma-latam-crm.veevavault.com/#object/account__v/V4TZ025E88FMH71", "Erickson Moreira de Araujo")</f>
        <v/>
      </c>
      <c r="C431" t="inlineStr">
        <is>
          <t>RJ1330675</t>
        </is>
      </c>
      <c r="D431" t="inlineStr">
        <is>
          <t>CLG / PA</t>
        </is>
      </c>
      <c r="E431" t="inlineStr">
        <is>
          <t>Rua Oswaldo Marques, 135</t>
        </is>
      </c>
      <c r="F431" t="inlineStr">
        <is>
          <t>Campo do Prado</t>
        </is>
      </c>
      <c r="G431" t="inlineStr">
        <is>
          <t>Cachoeiras de Macacu</t>
        </is>
      </c>
      <c r="H431" t="inlineStr">
        <is>
          <t>RJ</t>
        </is>
      </c>
      <c r="I431" t="n">
        <v>5152</v>
      </c>
      <c r="J431" t="inlineStr">
        <is>
          <t>CAT 5</t>
        </is>
      </c>
      <c r="K431" t="inlineStr">
        <is>
          <t>Sim</t>
        </is>
      </c>
    </row>
    <row r="432">
      <c r="A432" s="1">
        <f>HYPERLINK("https://eurofarma-latam-crm.veevavault.com/#object/account__v/V4TZ00001912ZSC", "Eulenir Maria Magioli")</f>
        <v/>
      </c>
      <c r="B432" s="1">
        <f>HYPERLINK("https://eurofarma-latam-crm.veevavault.com/#object/account__v/V4TZ00001912ZSC", "Eulenir Maria de Albuquerque Magioli")</f>
        <v/>
      </c>
      <c r="C432" t="inlineStr">
        <is>
          <t>RJ0426852</t>
        </is>
      </c>
      <c r="D432" t="inlineStr">
        <is>
          <t>CLG</t>
        </is>
      </c>
      <c r="E432" t="inlineStr">
        <is>
          <t>Avenida Brasil, 10 - Salas 709 e 710</t>
        </is>
      </c>
      <c r="F432" t="inlineStr">
        <is>
          <t>Centro</t>
        </is>
      </c>
      <c r="G432" t="inlineStr">
        <is>
          <t>Araruama</t>
        </is>
      </c>
      <c r="H432" t="inlineStr">
        <is>
          <t>RJ</t>
        </is>
      </c>
      <c r="I432" t="n">
        <v>5152</v>
      </c>
      <c r="J432" t="inlineStr">
        <is>
          <t>CAT 5</t>
        </is>
      </c>
      <c r="K432" t="inlineStr">
        <is>
          <t>Sim</t>
        </is>
      </c>
    </row>
    <row r="433">
      <c r="A433" s="1">
        <f>HYPERLINK("https://eurofarma-latam-crm.veevavault.com/#object/account__v/V4TZ000019134KM", "Eunice de Carvalho")</f>
        <v/>
      </c>
      <c r="B433" s="1">
        <f>HYPERLINK("https://eurofarma-latam-crm.veevavault.com/#object/account__v/V4TZ000019134KM", "Eunice Valadares de Carvalho")</f>
        <v/>
      </c>
      <c r="C433" t="inlineStr">
        <is>
          <t>RJ0312045</t>
        </is>
      </c>
      <c r="D433" t="inlineStr">
        <is>
          <t>PSQ</t>
        </is>
      </c>
      <c r="E433" t="inlineStr">
        <is>
          <t>Rua Major Félix Moreira, 81 - Sala 102</t>
        </is>
      </c>
      <c r="F433" t="inlineStr">
        <is>
          <t>Centro</t>
        </is>
      </c>
      <c r="G433" t="inlineStr">
        <is>
          <t>Araruama</t>
        </is>
      </c>
      <c r="H433" t="inlineStr">
        <is>
          <t>RJ</t>
        </is>
      </c>
      <c r="I433" t="n">
        <v>5152</v>
      </c>
      <c r="J433" t="inlineStr">
        <is>
          <t>CAT 3</t>
        </is>
      </c>
      <c r="K433" t="inlineStr">
        <is>
          <t>Sim</t>
        </is>
      </c>
    </row>
    <row r="434">
      <c r="A434" s="1">
        <f>HYPERLINK("https://eurofarma-latam-crm.veevavault.com/#object/account__v/V4TZ00001913RI4", "Fabiano da Silva")</f>
        <v/>
      </c>
      <c r="B434" s="1">
        <f>HYPERLINK("https://eurofarma-latam-crm.veevavault.com/#object/account__v/V4TZ00001913RI4", "Fabiano Louback da Silva")</f>
        <v/>
      </c>
      <c r="C434" t="inlineStr">
        <is>
          <t>RJ0567231</t>
        </is>
      </c>
      <c r="D434" t="inlineStr">
        <is>
          <t>GAS</t>
        </is>
      </c>
      <c r="E434" t="inlineStr">
        <is>
          <t>Rua Casemiro de Abreu, 58</t>
        </is>
      </c>
      <c r="F434" t="inlineStr">
        <is>
          <t>Centro</t>
        </is>
      </c>
      <c r="G434" t="inlineStr">
        <is>
          <t>Araruama</t>
        </is>
      </c>
      <c r="H434" t="inlineStr">
        <is>
          <t>RJ</t>
        </is>
      </c>
      <c r="I434" t="n">
        <v>5152</v>
      </c>
      <c r="J434" t="inlineStr">
        <is>
          <t>CAT 4</t>
        </is>
      </c>
      <c r="K434" t="inlineStr">
        <is>
          <t>Sim</t>
        </is>
      </c>
    </row>
    <row r="435">
      <c r="A435" s="1">
        <f>HYPERLINK("https://eurofarma-latam-crm.veevavault.com/#object/account__v/V4TZ000018NZ211", "Fernanda de Paula")</f>
        <v/>
      </c>
      <c r="B435" s="1">
        <f>HYPERLINK("https://eurofarma-latam-crm.veevavault.com/#object/account__v/V4TZ000018NZ211", "Fernanda Silva de Paula")</f>
        <v/>
      </c>
      <c r="C435" t="inlineStr">
        <is>
          <t>RJ0683230</t>
        </is>
      </c>
      <c r="D435" t="inlineStr">
        <is>
          <t>CLG</t>
        </is>
      </c>
      <c r="E435" t="inlineStr">
        <is>
          <t>Rua Estudante Elcira Oliveira Coutinho, S/N</t>
        </is>
      </c>
      <c r="F435" t="inlineStr">
        <is>
          <t>Barreira (Bacaxá)</t>
        </is>
      </c>
      <c r="G435" t="inlineStr">
        <is>
          <t>Saquarema</t>
        </is>
      </c>
      <c r="H435" t="inlineStr">
        <is>
          <t>RJ</t>
        </is>
      </c>
      <c r="I435" t="n">
        <v>5152</v>
      </c>
      <c r="J435" t="inlineStr">
        <is>
          <t>CAT 5</t>
        </is>
      </c>
      <c r="K435" t="inlineStr">
        <is>
          <t>Sim</t>
        </is>
      </c>
    </row>
    <row r="436">
      <c r="A436" s="1">
        <f>HYPERLINK("https://eurofarma-latam-crm.veevavault.com/#object/account__v/V4TZ000018NXHH0", "Fernando Mor")</f>
        <v/>
      </c>
      <c r="B436" s="1">
        <f>HYPERLINK("https://eurofarma-latam-crm.veevavault.com/#object/account__v/V4TZ000018NXHH0", "Fernando Bernardino Capitao Mor")</f>
        <v/>
      </c>
      <c r="C436" t="inlineStr">
        <is>
          <t>RJ0777897</t>
        </is>
      </c>
      <c r="D436" t="inlineStr">
        <is>
          <t>GAS</t>
        </is>
      </c>
      <c r="E436" t="inlineStr">
        <is>
          <t>Rua Arizio Gomes da Costa, 186</t>
        </is>
      </c>
      <c r="F436" t="inlineStr">
        <is>
          <t>Jardim Flamboyant</t>
        </is>
      </c>
      <c r="G436" t="inlineStr">
        <is>
          <t>Cabo Frio</t>
        </is>
      </c>
      <c r="H436" t="inlineStr">
        <is>
          <t>RJ</t>
        </is>
      </c>
      <c r="I436" t="n">
        <v>5152</v>
      </c>
      <c r="J436" t="inlineStr">
        <is>
          <t>CAT 5</t>
        </is>
      </c>
      <c r="K436" t="inlineStr">
        <is>
          <t>N�o</t>
        </is>
      </c>
    </row>
    <row r="437">
      <c r="A437" s="1">
        <f>HYPERLINK("https://eurofarma-latam-crm.veevavault.com/#object/account__v/V4TZ00001916C6R", "Filipe de Oliveira")</f>
        <v/>
      </c>
      <c r="B437" s="1">
        <f>HYPERLINK("https://eurofarma-latam-crm.veevavault.com/#object/account__v/V4TZ00001916C6R", "Filipe da Costa Pereira de Oliveira")</f>
        <v/>
      </c>
      <c r="C437" t="inlineStr">
        <is>
          <t>RJ1122460</t>
        </is>
      </c>
      <c r="D437" t="inlineStr">
        <is>
          <t>ORT</t>
        </is>
      </c>
      <c r="E437" t="inlineStr">
        <is>
          <t>Rua César Xará, 781 - Bloco 01</t>
        </is>
      </c>
      <c r="F437" t="inlineStr">
        <is>
          <t>Quissamã</t>
        </is>
      </c>
      <c r="G437" t="inlineStr">
        <is>
          <t>Itaboraí</t>
        </is>
      </c>
      <c r="H437" t="inlineStr">
        <is>
          <t>RJ</t>
        </is>
      </c>
      <c r="I437" t="n">
        <v>5152</v>
      </c>
      <c r="J437" t="inlineStr">
        <is>
          <t>CAT 3</t>
        </is>
      </c>
      <c r="K437" t="inlineStr">
        <is>
          <t>Sim</t>
        </is>
      </c>
    </row>
    <row r="438">
      <c r="A438" s="1">
        <f>HYPERLINK("https://eurofarma-latam-crm.veevavault.com/#object/account__v/V4TZ00001915DQU", "Flavia Ortega")</f>
        <v/>
      </c>
      <c r="B438" s="1">
        <f>HYPERLINK("https://eurofarma-latam-crm.veevavault.com/#object/account__v/V4TZ00001915DQU", "Flavia Costa Ortega")</f>
        <v/>
      </c>
      <c r="C438" t="inlineStr">
        <is>
          <t>RJ0626600</t>
        </is>
      </c>
      <c r="D438" t="inlineStr">
        <is>
          <t>ORL</t>
        </is>
      </c>
      <c r="E438" t="inlineStr">
        <is>
          <t>Avenida Oito de Maio, 534</t>
        </is>
      </c>
      <c r="F438" t="inlineStr">
        <is>
          <t>Centro</t>
        </is>
      </c>
      <c r="G438" t="inlineStr">
        <is>
          <t>Silva Jardim</t>
        </is>
      </c>
      <c r="H438" t="inlineStr">
        <is>
          <t>RJ</t>
        </is>
      </c>
      <c r="I438" t="n">
        <v>5152</v>
      </c>
      <c r="J438" t="inlineStr">
        <is>
          <t>CAT 5</t>
        </is>
      </c>
      <c r="K438" t="inlineStr">
        <is>
          <t>Sim</t>
        </is>
      </c>
    </row>
    <row r="439">
      <c r="A439" s="1">
        <f>HYPERLINK("https://eurofarma-latam-crm.veevavault.com/#object/account__v/V4TZ000019169Q4", "Flávia Rametta")</f>
        <v/>
      </c>
      <c r="B439" s="1">
        <f>HYPERLINK("https://eurofarma-latam-crm.veevavault.com/#object/account__v/V4TZ000019169Q4", "Flávia de Jesus Rametta")</f>
        <v/>
      </c>
      <c r="C439" t="inlineStr">
        <is>
          <t>RJ1198025</t>
        </is>
      </c>
      <c r="D439" t="inlineStr">
        <is>
          <t>ORT</t>
        </is>
      </c>
      <c r="E439" t="inlineStr">
        <is>
          <t>Rodovia Amaral Peixoto, S/N - KM 71 1 Andar</t>
        </is>
      </c>
      <c r="F439" t="inlineStr">
        <is>
          <t>Bacaxá (Bacaxá)</t>
        </is>
      </c>
      <c r="G439" t="inlineStr">
        <is>
          <t>Saquarema</t>
        </is>
      </c>
      <c r="H439" t="inlineStr">
        <is>
          <t>RJ</t>
        </is>
      </c>
      <c r="I439" t="n">
        <v>5152</v>
      </c>
      <c r="J439" t="inlineStr"/>
      <c r="K439" t="inlineStr"/>
    </row>
    <row r="440">
      <c r="A440" s="1">
        <f>HYPERLINK("https://eurofarma-latam-crm.veevavault.com/#object/account__v/V4TZ000018NYSYD", "Flavio de Sá")</f>
        <v/>
      </c>
      <c r="B440" s="1">
        <f>HYPERLINK("https://eurofarma-latam-crm.veevavault.com/#object/account__v/V4TZ000018NYSYD", "Flavio Rondinelli de Sá")</f>
        <v/>
      </c>
      <c r="C440" t="inlineStr">
        <is>
          <t>RJ0654574</t>
        </is>
      </c>
      <c r="D440" t="inlineStr">
        <is>
          <t>URO</t>
        </is>
      </c>
      <c r="E440" t="inlineStr">
        <is>
          <t>Estrada do Pacheco, 216</t>
        </is>
      </c>
      <c r="F440" t="inlineStr">
        <is>
          <t>Lagoinha</t>
        </is>
      </c>
      <c r="G440" t="inlineStr">
        <is>
          <t>São Gonçalo</t>
        </is>
      </c>
      <c r="H440" t="inlineStr">
        <is>
          <t>RJ</t>
        </is>
      </c>
      <c r="I440" t="n">
        <v>5152</v>
      </c>
      <c r="J440" t="inlineStr">
        <is>
          <t>CAT 4</t>
        </is>
      </c>
      <c r="K440" t="inlineStr">
        <is>
          <t>Sim</t>
        </is>
      </c>
    </row>
    <row r="441">
      <c r="A441" s="1">
        <f>HYPERLINK("https://eurofarma-latam-crm.veevavault.com/#object/account__v/V4TZ00001915F9O", "Francisco José Neto")</f>
        <v/>
      </c>
      <c r="B441" s="1">
        <f>HYPERLINK("https://eurofarma-latam-crm.veevavault.com/#object/account__v/V4TZ00001915F9O", "Francisco José Neto")</f>
        <v/>
      </c>
      <c r="C441" t="inlineStr">
        <is>
          <t>RJ0237929</t>
        </is>
      </c>
      <c r="D441" t="inlineStr">
        <is>
          <t>GER</t>
        </is>
      </c>
      <c r="E441" t="inlineStr">
        <is>
          <t>Rua Paul Harris, 117</t>
        </is>
      </c>
      <c r="F441" t="inlineStr">
        <is>
          <t>Centro</t>
        </is>
      </c>
      <c r="G441" t="inlineStr">
        <is>
          <t>Araruama</t>
        </is>
      </c>
      <c r="H441" t="inlineStr">
        <is>
          <t>RJ</t>
        </is>
      </c>
      <c r="I441" t="n">
        <v>5152</v>
      </c>
      <c r="J441" t="inlineStr">
        <is>
          <t>CAT 2</t>
        </is>
      </c>
      <c r="K441" t="inlineStr">
        <is>
          <t>Sim</t>
        </is>
      </c>
    </row>
    <row r="442">
      <c r="A442" s="1">
        <f>HYPERLINK("https://eurofarma-latam-crm.veevavault.com/#object/account__v/V4TZ025E8550VHB", "Francisco Machado")</f>
        <v/>
      </c>
      <c r="B442" s="1">
        <f>HYPERLINK("https://eurofarma-latam-crm.veevavault.com/#object/account__v/V4TZ025E8550VHB", "Francisco Jose Thome Machado")</f>
        <v/>
      </c>
      <c r="C442" t="inlineStr">
        <is>
          <t>RJ1052160</t>
        </is>
      </c>
      <c r="D442" t="inlineStr">
        <is>
          <t>ORT</t>
        </is>
      </c>
      <c r="E442" t="inlineStr">
        <is>
          <t>Rua João Carmo, 110</t>
        </is>
      </c>
      <c r="F442" t="inlineStr">
        <is>
          <t>Rio Bonito</t>
        </is>
      </c>
      <c r="G442" t="inlineStr">
        <is>
          <t>Rio Bonito</t>
        </is>
      </c>
      <c r="H442" t="inlineStr">
        <is>
          <t>RJ</t>
        </is>
      </c>
      <c r="I442" t="n">
        <v>5152</v>
      </c>
      <c r="J442" t="inlineStr">
        <is>
          <t>CAT 5</t>
        </is>
      </c>
      <c r="K442" t="inlineStr">
        <is>
          <t>Sim</t>
        </is>
      </c>
    </row>
    <row r="443">
      <c r="A443" s="1">
        <f>HYPERLINK("https://eurofarma-latam-crm.veevavault.com/#object/account__v/V4TZ00001915IEY", "Franklin de Araujo")</f>
        <v/>
      </c>
      <c r="B443" s="1">
        <f>HYPERLINK("https://eurofarma-latam-crm.veevavault.com/#object/account__v/V4TZ00001915IEY", "Franklin Moreira de Araujo")</f>
        <v/>
      </c>
      <c r="C443" t="inlineStr">
        <is>
          <t>RJ1096613</t>
        </is>
      </c>
      <c r="D443" t="inlineStr">
        <is>
          <t>CLG / PA</t>
        </is>
      </c>
      <c r="E443" t="inlineStr">
        <is>
          <t>Rua Manoel Diz Martinez, 120</t>
        </is>
      </c>
      <c r="F443" t="inlineStr">
        <is>
          <t>Centro</t>
        </is>
      </c>
      <c r="G443" t="inlineStr">
        <is>
          <t>Cachoeiras de Macacu</t>
        </is>
      </c>
      <c r="H443" t="inlineStr">
        <is>
          <t>RJ</t>
        </is>
      </c>
      <c r="I443" t="n">
        <v>5152</v>
      </c>
      <c r="J443" t="inlineStr">
        <is>
          <t>CAT 3</t>
        </is>
      </c>
      <c r="K443" t="inlineStr">
        <is>
          <t>Sim</t>
        </is>
      </c>
    </row>
    <row r="444">
      <c r="A444" s="1">
        <f>HYPERLINK("https://eurofarma-latam-crm.veevavault.com/#object/account__v/V4TZ025E8BD5WNT", "Gabriel Avellar")</f>
        <v/>
      </c>
      <c r="B444" s="1">
        <f>HYPERLINK("https://eurofarma-latam-crm.veevavault.com/#object/account__v/V4TZ025E8BD5WNT", "Gabriel da Silva Avellar")</f>
        <v/>
      </c>
      <c r="C444" t="inlineStr">
        <is>
          <t>RJ0994430</t>
        </is>
      </c>
      <c r="D444" t="inlineStr">
        <is>
          <t>NEU</t>
        </is>
      </c>
      <c r="E444" t="inlineStr">
        <is>
          <t>Rua Manoel de Abreu, 9 - Parte</t>
        </is>
      </c>
      <c r="F444" t="inlineStr">
        <is>
          <t>Centro</t>
        </is>
      </c>
      <c r="G444" t="inlineStr">
        <is>
          <t>Niterói</t>
        </is>
      </c>
      <c r="H444" t="inlineStr">
        <is>
          <t>RJ</t>
        </is>
      </c>
      <c r="I444" t="n">
        <v>5152</v>
      </c>
      <c r="J444" t="inlineStr">
        <is>
          <t>CAT 4</t>
        </is>
      </c>
      <c r="K444" t="inlineStr">
        <is>
          <t>N�o</t>
        </is>
      </c>
    </row>
    <row r="445">
      <c r="A445" s="1">
        <f>HYPERLINK("https://eurofarma-latam-crm.veevavault.com/#object/account__v/V4TZ00001915LPJ", "Gabriel Azevedo")</f>
        <v/>
      </c>
      <c r="B445" s="1">
        <f>HYPERLINK("https://eurofarma-latam-crm.veevavault.com/#object/account__v/V4TZ00001915LPJ", "Gabriel Leite Cabral Azevedo")</f>
        <v/>
      </c>
      <c r="C445" t="inlineStr">
        <is>
          <t>RJ1215213</t>
        </is>
      </c>
      <c r="D445" t="inlineStr">
        <is>
          <t>ORT</t>
        </is>
      </c>
      <c r="E445" t="inlineStr">
        <is>
          <t>Rua Ataíde Parreiras, 266</t>
        </is>
      </c>
      <c r="F445" t="inlineStr">
        <is>
          <t>Fátima</t>
        </is>
      </c>
      <c r="G445" t="inlineStr">
        <is>
          <t>Niterói</t>
        </is>
      </c>
      <c r="H445" t="inlineStr">
        <is>
          <t>RJ</t>
        </is>
      </c>
      <c r="I445" t="n">
        <v>5152</v>
      </c>
      <c r="J445" t="inlineStr"/>
      <c r="K445" t="inlineStr"/>
    </row>
    <row r="446">
      <c r="A446" s="1">
        <f>HYPERLINK("https://eurofarma-latam-crm.veevavault.com/#object/account__v/V4TZ025E83XXYAT", "Gabriel Azevedo")</f>
        <v/>
      </c>
      <c r="B446" s="1">
        <f>HYPERLINK("https://eurofarma-latam-crm.veevavault.com/#object/account__v/V4TZ025E83XXYAT", "Gabriel Rodrigues Azevedo")</f>
        <v/>
      </c>
      <c r="C446" t="inlineStr">
        <is>
          <t>RJ1269313</t>
        </is>
      </c>
      <c r="D446" t="inlineStr">
        <is>
          <t>CLG / PA</t>
        </is>
      </c>
      <c r="E446" t="inlineStr">
        <is>
          <t>Rua Adolfo Bravo, S/N</t>
        </is>
      </c>
      <c r="F446" t="inlineStr">
        <is>
          <t>Bacaxá (Bacaxá)</t>
        </is>
      </c>
      <c r="G446" t="inlineStr">
        <is>
          <t>Saquarema</t>
        </is>
      </c>
      <c r="H446" t="inlineStr">
        <is>
          <t>RJ</t>
        </is>
      </c>
      <c r="I446" t="n">
        <v>5152</v>
      </c>
      <c r="J446" t="inlineStr">
        <is>
          <t>CAT 4</t>
        </is>
      </c>
      <c r="K446" t="inlineStr">
        <is>
          <t>Sim</t>
        </is>
      </c>
    </row>
    <row r="447">
      <c r="A447" s="1">
        <f>HYPERLINK("https://eurofarma-latam-crm.veevavault.com/#object/account__v/V4TZ025E85B8JY1", "Gabriel Braga")</f>
        <v/>
      </c>
      <c r="B447" s="1">
        <f>HYPERLINK("https://eurofarma-latam-crm.veevavault.com/#object/account__v/V4TZ025E85B8JY1", "Gabriel Rodrigues Alves Braga")</f>
        <v/>
      </c>
      <c r="C447" t="inlineStr">
        <is>
          <t>RJ1314939</t>
        </is>
      </c>
      <c r="D447" t="inlineStr">
        <is>
          <t>CLG / PA</t>
        </is>
      </c>
      <c r="E447" t="inlineStr">
        <is>
          <t>Rua Pedro Luiz Souza, 108</t>
        </is>
      </c>
      <c r="F447" t="inlineStr">
        <is>
          <t>Centro</t>
        </is>
      </c>
      <c r="G447" t="inlineStr">
        <is>
          <t>Araruama</t>
        </is>
      </c>
      <c r="H447" t="inlineStr">
        <is>
          <t>RJ</t>
        </is>
      </c>
      <c r="I447" t="n">
        <v>5152</v>
      </c>
      <c r="J447" t="inlineStr">
        <is>
          <t>CAT 4</t>
        </is>
      </c>
      <c r="K447" t="inlineStr">
        <is>
          <t>Sim</t>
        </is>
      </c>
    </row>
    <row r="448">
      <c r="A448" s="1">
        <f>HYPERLINK("https://eurofarma-latam-crm.veevavault.com/#object/account__v/V4TZ000019YEPET", "Gabriel Pereira")</f>
        <v/>
      </c>
      <c r="B448" s="1">
        <f>HYPERLINK("https://eurofarma-latam-crm.veevavault.com/#object/account__v/V4TZ000019YEPET", "Gabriel da Silva Pinheiro Pereira")</f>
        <v/>
      </c>
      <c r="C448" t="inlineStr">
        <is>
          <t>RJ1275127</t>
        </is>
      </c>
      <c r="D448" t="inlineStr">
        <is>
          <t>CLG / PA</t>
        </is>
      </c>
      <c r="E448" t="inlineStr">
        <is>
          <t>Rua Coronel Madureira, 26 - Casa</t>
        </is>
      </c>
      <c r="F448" t="inlineStr">
        <is>
          <t>Centro</t>
        </is>
      </c>
      <c r="G448" t="inlineStr">
        <is>
          <t>Saquarema</t>
        </is>
      </c>
      <c r="H448" t="inlineStr">
        <is>
          <t>RJ</t>
        </is>
      </c>
      <c r="I448" t="n">
        <v>5152</v>
      </c>
      <c r="J448" t="inlineStr">
        <is>
          <t>CAT 5</t>
        </is>
      </c>
      <c r="K448" t="inlineStr">
        <is>
          <t>N�o</t>
        </is>
      </c>
    </row>
    <row r="449">
      <c r="A449" s="1">
        <f>HYPERLINK("https://eurofarma-latam-crm.veevavault.com/#object/account__v/V4TZ00001913O2L", "Geneyr de Sa")</f>
        <v/>
      </c>
      <c r="B449" s="1">
        <f>HYPERLINK("https://eurofarma-latam-crm.veevavault.com/#object/account__v/V4TZ00001913O2L", "Geneyr Pimentel de Sa")</f>
        <v/>
      </c>
      <c r="C449" t="inlineStr">
        <is>
          <t>MG0011687,RJ0033061</t>
        </is>
      </c>
      <c r="D449" t="inlineStr">
        <is>
          <t>CLG</t>
        </is>
      </c>
      <c r="E449" t="inlineStr">
        <is>
          <t>Rua José Pinto de Macedo, S/N</t>
        </is>
      </c>
      <c r="F449" t="inlineStr">
        <is>
          <t>Centro</t>
        </is>
      </c>
      <c r="G449" t="inlineStr">
        <is>
          <t>Arraial do Cabo</t>
        </is>
      </c>
      <c r="H449" t="inlineStr">
        <is>
          <t>RJ</t>
        </is>
      </c>
      <c r="I449" t="n">
        <v>5152</v>
      </c>
      <c r="J449" t="inlineStr">
        <is>
          <t>CAT 2</t>
        </is>
      </c>
      <c r="K449" t="inlineStr">
        <is>
          <t>Sim</t>
        </is>
      </c>
    </row>
    <row r="450">
      <c r="A450" s="1">
        <f>HYPERLINK("https://eurofarma-latam-crm.veevavault.com/#object/account__v/V4TZ000019YAKEI", "Genilson Boechat")</f>
        <v/>
      </c>
      <c r="B450" s="1">
        <f>HYPERLINK("https://eurofarma-latam-crm.veevavault.com/#object/account__v/V4TZ000019YAKEI", "Genilson do Nascimento Boechat")</f>
        <v/>
      </c>
      <c r="C450" t="inlineStr">
        <is>
          <t>RJ0641499</t>
        </is>
      </c>
      <c r="D450" t="inlineStr">
        <is>
          <t>CLG / PA</t>
        </is>
      </c>
      <c r="E450" t="inlineStr">
        <is>
          <t>Avenida Oito De Maio, 534 - 0</t>
        </is>
      </c>
      <c r="F450" t="inlineStr">
        <is>
          <t>Centro</t>
        </is>
      </c>
      <c r="G450" t="inlineStr">
        <is>
          <t>Silva Jardim</t>
        </is>
      </c>
      <c r="H450" t="inlineStr">
        <is>
          <t>RJ</t>
        </is>
      </c>
      <c r="I450" t="n">
        <v>5152</v>
      </c>
      <c r="J450" t="inlineStr">
        <is>
          <t>CAT 5</t>
        </is>
      </c>
      <c r="K450" t="inlineStr">
        <is>
          <t>Sim</t>
        </is>
      </c>
    </row>
    <row r="451">
      <c r="A451" s="1">
        <f>HYPERLINK("https://eurofarma-latam-crm.veevavault.com/#object/account__v/V4TZ00001913Q85", "Gerson Chagastelles")</f>
        <v/>
      </c>
      <c r="B451" s="1">
        <f>HYPERLINK("https://eurofarma-latam-crm.veevavault.com/#object/account__v/V4TZ00001913Q85", "Gerson Montedonio Chagastelles")</f>
        <v/>
      </c>
      <c r="C451" t="inlineStr">
        <is>
          <t>RJ0514447</t>
        </is>
      </c>
      <c r="D451" t="inlineStr">
        <is>
          <t>PED</t>
        </is>
      </c>
      <c r="E451" t="inlineStr">
        <is>
          <t>Rua Governador Valadares, 159</t>
        </is>
      </c>
      <c r="F451" t="inlineStr">
        <is>
          <t>São Cristóvão</t>
        </is>
      </c>
      <c r="G451" t="inlineStr">
        <is>
          <t>Cabo Frio</t>
        </is>
      </c>
      <c r="H451" t="inlineStr">
        <is>
          <t>RJ</t>
        </is>
      </c>
      <c r="I451" t="n">
        <v>5152</v>
      </c>
      <c r="J451" t="inlineStr">
        <is>
          <t>CAT 5</t>
        </is>
      </c>
      <c r="K451" t="inlineStr">
        <is>
          <t>Sim</t>
        </is>
      </c>
    </row>
    <row r="452">
      <c r="A452" s="1">
        <f>HYPERLINK("https://eurofarma-latam-crm.veevavault.com/#object/account__v/V4TZ000018NYZCF", "Gilberto Eduardo")</f>
        <v/>
      </c>
      <c r="B452" s="1">
        <f>HYPERLINK("https://eurofarma-latam-crm.veevavault.com/#object/account__v/V4TZ000018NYZCF", "Gilberto Gomes Eduardo")</f>
        <v/>
      </c>
      <c r="C452" t="inlineStr">
        <is>
          <t>RJ0414820</t>
        </is>
      </c>
      <c r="D452" t="inlineStr">
        <is>
          <t>CLG</t>
        </is>
      </c>
      <c r="E452" t="inlineStr">
        <is>
          <t>Avenida Getúlio Vargas, 979</t>
        </is>
      </c>
      <c r="F452" t="inlineStr">
        <is>
          <t>Centro</t>
        </is>
      </c>
      <c r="G452" t="inlineStr">
        <is>
          <t>Araruama</t>
        </is>
      </c>
      <c r="H452" t="inlineStr">
        <is>
          <t>RJ</t>
        </is>
      </c>
      <c r="I452" t="n">
        <v>5152</v>
      </c>
      <c r="J452" t="inlineStr">
        <is>
          <t>CAT 5</t>
        </is>
      </c>
      <c r="K452" t="inlineStr">
        <is>
          <t>N�o</t>
        </is>
      </c>
    </row>
    <row r="453">
      <c r="A453" s="1">
        <f>HYPERLINK("https://eurofarma-latam-crm.veevavault.com/#object/account__v/V4TZ000019131SK", "Gilson Medina")</f>
        <v/>
      </c>
      <c r="B453" s="1">
        <f>HYPERLINK("https://eurofarma-latam-crm.veevavault.com/#object/account__v/V4TZ000019131SK", "Gilson Barros Medina")</f>
        <v/>
      </c>
      <c r="C453" t="inlineStr">
        <is>
          <t>RJ0337401</t>
        </is>
      </c>
      <c r="D453" t="inlineStr">
        <is>
          <t>CLG</t>
        </is>
      </c>
      <c r="E453" t="inlineStr">
        <is>
          <t>Rua Doutor Mattos, 348 - Loja 105</t>
        </is>
      </c>
      <c r="F453" t="inlineStr">
        <is>
          <t>Centro</t>
        </is>
      </c>
      <c r="G453" t="inlineStr">
        <is>
          <t>Rio Bonito</t>
        </is>
      </c>
      <c r="H453" t="inlineStr">
        <is>
          <t>RJ</t>
        </is>
      </c>
      <c r="I453" t="n">
        <v>5152</v>
      </c>
      <c r="J453" t="inlineStr">
        <is>
          <t>CAT 5</t>
        </is>
      </c>
      <c r="K453" t="inlineStr">
        <is>
          <t>N�o</t>
        </is>
      </c>
    </row>
    <row r="454">
      <c r="A454" s="1">
        <f>HYPERLINK("https://eurofarma-latam-crm.veevavault.com/#object/account__v/V4TZ000019169HY", "Giovanna Polo")</f>
        <v/>
      </c>
      <c r="B454" s="1">
        <f>HYPERLINK("https://eurofarma-latam-crm.veevavault.com/#object/account__v/V4TZ000019169HY", "Giovanna Gatto Polo")</f>
        <v/>
      </c>
      <c r="C454" t="inlineStr">
        <is>
          <t>RJ0860204</t>
        </is>
      </c>
      <c r="D454" t="inlineStr">
        <is>
          <t>CLG</t>
        </is>
      </c>
      <c r="E454" t="inlineStr">
        <is>
          <t>Rua Major Félix Moreira, 267</t>
        </is>
      </c>
      <c r="F454" t="inlineStr">
        <is>
          <t>Centro</t>
        </is>
      </c>
      <c r="G454" t="inlineStr">
        <is>
          <t>Araruama</t>
        </is>
      </c>
      <c r="H454" t="inlineStr">
        <is>
          <t>RJ</t>
        </is>
      </c>
      <c r="I454" t="n">
        <v>5152</v>
      </c>
      <c r="J454" t="inlineStr">
        <is>
          <t>CAT 5</t>
        </is>
      </c>
      <c r="K454" t="inlineStr">
        <is>
          <t>N�o</t>
        </is>
      </c>
    </row>
    <row r="455">
      <c r="A455" s="1">
        <f>HYPERLINK("https://eurofarma-latam-crm.veevavault.com/#object/account__v/V4TZ00001916F8P", "Glória Lúcia Ferreira")</f>
        <v/>
      </c>
      <c r="B455" s="1">
        <f>HYPERLINK("https://eurofarma-latam-crm.veevavault.com/#object/account__v/V4TZ00001916F8P", "Glória Lúcia Oddone Ferreira")</f>
        <v/>
      </c>
      <c r="C455" t="inlineStr">
        <is>
          <t>RJ1100483</t>
        </is>
      </c>
      <c r="D455" t="inlineStr">
        <is>
          <t>CLG</t>
        </is>
      </c>
      <c r="E455" t="inlineStr">
        <is>
          <t>Rua Manoel Domingos dos Santos, 725</t>
        </is>
      </c>
      <c r="F455" t="inlineStr">
        <is>
          <t>Barreira (Bacaxá)</t>
        </is>
      </c>
      <c r="G455" t="inlineStr">
        <is>
          <t>Saquarema</t>
        </is>
      </c>
      <c r="H455" t="inlineStr">
        <is>
          <t>RJ</t>
        </is>
      </c>
      <c r="I455" t="n">
        <v>5152</v>
      </c>
      <c r="J455" t="inlineStr">
        <is>
          <t>CAT 5</t>
        </is>
      </c>
      <c r="K455" t="inlineStr">
        <is>
          <t>Sim</t>
        </is>
      </c>
    </row>
    <row r="456">
      <c r="A456" s="1">
        <f>HYPERLINK("https://eurofarma-latam-crm.veevavault.com/#object/account__v/V4TZ000018NZ4W0", "Guilherme Sally")</f>
        <v/>
      </c>
      <c r="B456" s="1">
        <f>HYPERLINK("https://eurofarma-latam-crm.veevavault.com/#object/account__v/V4TZ000018NZ4W0", "Guilherme Augusto de Carvalho Sally")</f>
        <v/>
      </c>
      <c r="C456" t="inlineStr">
        <is>
          <t>RJ0933040</t>
        </is>
      </c>
      <c r="D456" t="inlineStr">
        <is>
          <t>END</t>
        </is>
      </c>
      <c r="E456" t="inlineStr">
        <is>
          <t>Rua Getulio Vargas, 64 - Sala 207</t>
        </is>
      </c>
      <c r="F456" t="inlineStr">
        <is>
          <t>Centro</t>
        </is>
      </c>
      <c r="G456" t="inlineStr">
        <is>
          <t>Rio Bonito</t>
        </is>
      </c>
      <c r="H456" t="inlineStr">
        <is>
          <t>RJ</t>
        </is>
      </c>
      <c r="I456" t="n">
        <v>5152</v>
      </c>
      <c r="J456" t="inlineStr">
        <is>
          <t>CAT 3</t>
        </is>
      </c>
      <c r="K456" t="inlineStr">
        <is>
          <t>Sim</t>
        </is>
      </c>
    </row>
    <row r="457">
      <c r="A457" s="1">
        <f>HYPERLINK("https://eurofarma-latam-crm.veevavault.com/#object/account__v/V4TZ000018NYAA3", "Gustavo Elias José")</f>
        <v/>
      </c>
      <c r="B457" s="1">
        <f>HYPERLINK("https://eurofarma-latam-crm.veevavault.com/#object/account__v/V4TZ000018NYAA3", "Gustavo Elias José")</f>
        <v/>
      </c>
      <c r="C457" t="inlineStr">
        <is>
          <t>RJ0836281</t>
        </is>
      </c>
      <c r="D457" t="inlineStr">
        <is>
          <t>GAS</t>
        </is>
      </c>
      <c r="E457" t="inlineStr">
        <is>
          <t>Rua Doutor João Florêncio Sobrinho, S/N</t>
        </is>
      </c>
      <c r="F457" t="inlineStr">
        <is>
          <t>Centro (São Vicente)</t>
        </is>
      </c>
      <c r="G457" t="inlineStr">
        <is>
          <t>Araruama</t>
        </is>
      </c>
      <c r="H457" t="inlineStr">
        <is>
          <t>RJ</t>
        </is>
      </c>
      <c r="I457" t="n">
        <v>5152</v>
      </c>
      <c r="J457" t="inlineStr">
        <is>
          <t>CAT 4</t>
        </is>
      </c>
      <c r="K457" t="inlineStr">
        <is>
          <t>Sim</t>
        </is>
      </c>
    </row>
    <row r="458">
      <c r="A458" s="1">
        <f>HYPERLINK("https://eurofarma-latam-crm.veevavault.com/#object/account__v/V4TZ000019134FV", "Gustavo Oliveira")</f>
        <v/>
      </c>
      <c r="B458" s="1">
        <f>HYPERLINK("https://eurofarma-latam-crm.veevavault.com/#object/account__v/V4TZ000019134FV", "Gustavo Cardilo Oliveira")</f>
        <v/>
      </c>
      <c r="C458" t="inlineStr">
        <is>
          <t>RJ0923206</t>
        </is>
      </c>
      <c r="D458" t="inlineStr">
        <is>
          <t>ORT</t>
        </is>
      </c>
      <c r="E458" t="inlineStr">
        <is>
          <t>Rodovia Amaral Peixoto, S/N - KM 71 1 Andar</t>
        </is>
      </c>
      <c r="F458" t="inlineStr">
        <is>
          <t>Bacaxá (Bacaxá)</t>
        </is>
      </c>
      <c r="G458" t="inlineStr">
        <is>
          <t>Saquarema</t>
        </is>
      </c>
      <c r="H458" t="inlineStr">
        <is>
          <t>RJ</t>
        </is>
      </c>
      <c r="I458" t="n">
        <v>5152</v>
      </c>
      <c r="J458" t="inlineStr">
        <is>
          <t>CAT 5</t>
        </is>
      </c>
      <c r="K458" t="inlineStr">
        <is>
          <t>Sim</t>
        </is>
      </c>
    </row>
    <row r="459">
      <c r="A459" s="1">
        <f>HYPERLINK("https://eurofarma-latam-crm.veevavault.com/#object/account__v/V4TZ00001912YZQ", "Gwyer Borges Junior")</f>
        <v/>
      </c>
      <c r="B459" s="1">
        <f>HYPERLINK("https://eurofarma-latam-crm.veevavault.com/#object/account__v/V4TZ00001912YZQ", "Gwyer Borges Junior")</f>
        <v/>
      </c>
      <c r="C459" t="inlineStr">
        <is>
          <t>RJ0400500</t>
        </is>
      </c>
      <c r="D459" t="inlineStr">
        <is>
          <t>URO</t>
        </is>
      </c>
      <c r="E459" t="inlineStr">
        <is>
          <t>Rua Estudante Elcira Oliveira Coutinho, S/N</t>
        </is>
      </c>
      <c r="F459" t="inlineStr">
        <is>
          <t>Barreira (Bacaxá)</t>
        </is>
      </c>
      <c r="G459" t="inlineStr">
        <is>
          <t>Saquarema</t>
        </is>
      </c>
      <c r="H459" t="inlineStr">
        <is>
          <t>RJ</t>
        </is>
      </c>
      <c r="I459" t="n">
        <v>5152</v>
      </c>
      <c r="J459" t="inlineStr">
        <is>
          <t>CAT 1</t>
        </is>
      </c>
      <c r="K459" t="inlineStr">
        <is>
          <t>Sim</t>
        </is>
      </c>
    </row>
    <row r="460">
      <c r="A460" s="1">
        <f>HYPERLINK("https://eurofarma-latam-crm.veevavault.com/#object/account__v/V4TZ00001913TFP", "Hélio Júnior")</f>
        <v/>
      </c>
      <c r="B460" s="1">
        <f>HYPERLINK("https://eurofarma-latam-crm.veevavault.com/#object/account__v/V4TZ00001913TFP", "Hélio José Rodrigues Cabral Júnior")</f>
        <v/>
      </c>
      <c r="C460" t="inlineStr">
        <is>
          <t>RJ1267949</t>
        </is>
      </c>
      <c r="D460" t="inlineStr">
        <is>
          <t>PED</t>
        </is>
      </c>
      <c r="E460" t="inlineStr">
        <is>
          <t>Rua Adolfo Bravo, S/N</t>
        </is>
      </c>
      <c r="F460" t="inlineStr">
        <is>
          <t>Bacaxá (Bacaxá)</t>
        </is>
      </c>
      <c r="G460" t="inlineStr">
        <is>
          <t>Saquarema</t>
        </is>
      </c>
      <c r="H460" t="inlineStr">
        <is>
          <t>RJ</t>
        </is>
      </c>
      <c r="I460" t="n">
        <v>5152</v>
      </c>
      <c r="J460" t="inlineStr">
        <is>
          <t>CAT 4</t>
        </is>
      </c>
      <c r="K460" t="inlineStr">
        <is>
          <t>Sim</t>
        </is>
      </c>
    </row>
    <row r="461">
      <c r="A461" s="1">
        <f>HYPERLINK("https://eurofarma-latam-crm.veevavault.com/#object/account__v/V4TZ000018NXO5R", "Homero Viegas Neto")</f>
        <v/>
      </c>
      <c r="B461" s="1">
        <f>HYPERLINK("https://eurofarma-latam-crm.veevavault.com/#object/account__v/V4TZ000018NXO5R", "Homero Viegas Neto")</f>
        <v/>
      </c>
      <c r="C461" t="inlineStr">
        <is>
          <t>RJ0455865</t>
        </is>
      </c>
      <c r="D461" t="inlineStr">
        <is>
          <t>CLG / SNC</t>
        </is>
      </c>
      <c r="E461" t="inlineStr">
        <is>
          <t>Rua Oito De Maio, 292 - Loja 05</t>
        </is>
      </c>
      <c r="F461" t="inlineStr">
        <is>
          <t>Centro</t>
        </is>
      </c>
      <c r="G461" t="inlineStr">
        <is>
          <t>Silva Jardim</t>
        </is>
      </c>
      <c r="H461" t="inlineStr">
        <is>
          <t>RJ</t>
        </is>
      </c>
      <c r="I461" t="n">
        <v>5152</v>
      </c>
      <c r="J461" t="inlineStr">
        <is>
          <t>CAT 2</t>
        </is>
      </c>
      <c r="K461" t="inlineStr">
        <is>
          <t>Sim</t>
        </is>
      </c>
    </row>
    <row r="462">
      <c r="A462" s="1">
        <f>HYPERLINK("https://eurofarma-latam-crm.veevavault.com/#object/account__v/V4TZ000019161QN", "Hugo Amado")</f>
        <v/>
      </c>
      <c r="B462" s="1">
        <f>HYPERLINK("https://eurofarma-latam-crm.veevavault.com/#object/account__v/V4TZ000019161QN", "Hugo de Sousa Amado")</f>
        <v/>
      </c>
      <c r="C462" t="inlineStr">
        <is>
          <t>RJ1078682</t>
        </is>
      </c>
      <c r="D462" t="inlineStr">
        <is>
          <t>CLG / PA</t>
        </is>
      </c>
      <c r="E462" t="inlineStr">
        <is>
          <t>Rua Major Félix Moreira, 359</t>
        </is>
      </c>
      <c r="F462" t="inlineStr">
        <is>
          <t>Centro</t>
        </is>
      </c>
      <c r="G462" t="inlineStr">
        <is>
          <t>Araruama</t>
        </is>
      </c>
      <c r="H462" t="inlineStr">
        <is>
          <t>RJ</t>
        </is>
      </c>
      <c r="I462" t="n">
        <v>5152</v>
      </c>
      <c r="J462" t="inlineStr">
        <is>
          <t>CAT 5</t>
        </is>
      </c>
      <c r="K462" t="inlineStr">
        <is>
          <t>Sim</t>
        </is>
      </c>
    </row>
    <row r="463">
      <c r="A463" s="1">
        <f>HYPERLINK("https://eurofarma-latam-crm.veevavault.com/#object/account__v/V4TZ00001915ECY", "Igor Nepomuceno")</f>
        <v/>
      </c>
      <c r="B463" s="1">
        <f>HYPERLINK("https://eurofarma-latam-crm.veevavault.com/#object/account__v/V4TZ00001915ECY", "Igor Monteiro Bittencourt Nepomuceno")</f>
        <v/>
      </c>
      <c r="C463" t="inlineStr">
        <is>
          <t>RJ1222392</t>
        </is>
      </c>
      <c r="D463" t="inlineStr">
        <is>
          <t>CLG / PA</t>
        </is>
      </c>
      <c r="E463" t="inlineStr">
        <is>
          <t>Rua Vítor Rocha, 410</t>
        </is>
      </c>
      <c r="F463" t="inlineStr">
        <is>
          <t>Parque Burle</t>
        </is>
      </c>
      <c r="G463" t="inlineStr">
        <is>
          <t>Cabo Frio</t>
        </is>
      </c>
      <c r="H463" t="inlineStr">
        <is>
          <t>RJ</t>
        </is>
      </c>
      <c r="I463" t="n">
        <v>5152</v>
      </c>
      <c r="J463" t="inlineStr">
        <is>
          <t>CAT 5</t>
        </is>
      </c>
      <c r="K463" t="inlineStr">
        <is>
          <t>Sim</t>
        </is>
      </c>
    </row>
    <row r="464">
      <c r="A464" s="1">
        <f>HYPERLINK("https://eurofarma-latam-crm.veevavault.com/#object/account__v/V4TZ00001914Y6A", "Isabela Lima")</f>
        <v/>
      </c>
      <c r="B464" s="1">
        <f>HYPERLINK("https://eurofarma-latam-crm.veevavault.com/#object/account__v/V4TZ00001914Y6A", "Isabela Guerra Lima")</f>
        <v/>
      </c>
      <c r="C464" t="inlineStr">
        <is>
          <t>RJ0814270</t>
        </is>
      </c>
      <c r="D464" t="inlineStr">
        <is>
          <t>CLG</t>
        </is>
      </c>
      <c r="E464" t="inlineStr">
        <is>
          <t>Rua Gavião Peixoto, 182 - Sala 601</t>
        </is>
      </c>
      <c r="F464" t="inlineStr">
        <is>
          <t>Icaraí</t>
        </is>
      </c>
      <c r="G464" t="inlineStr">
        <is>
          <t>Niterói</t>
        </is>
      </c>
      <c r="H464" t="inlineStr">
        <is>
          <t>RJ</t>
        </is>
      </c>
      <c r="I464" t="n">
        <v>5152</v>
      </c>
      <c r="J464" t="inlineStr">
        <is>
          <t>CAT 4</t>
        </is>
      </c>
      <c r="K464" t="inlineStr">
        <is>
          <t>Sim</t>
        </is>
      </c>
    </row>
    <row r="465">
      <c r="A465" s="1">
        <f>HYPERLINK("https://eurofarma-latam-crm.veevavault.com/#object/account__v/V4TZ000018NY57X", "Isabella Braga")</f>
        <v/>
      </c>
      <c r="B465" s="1">
        <f>HYPERLINK("https://eurofarma-latam-crm.veevavault.com/#object/account__v/V4TZ000018NY57X", "Isabella Rodrigues Costa Braga")</f>
        <v/>
      </c>
      <c r="C465" t="inlineStr">
        <is>
          <t>RJ0995789</t>
        </is>
      </c>
      <c r="D465" t="inlineStr">
        <is>
          <t>PED</t>
        </is>
      </c>
      <c r="E465" t="inlineStr">
        <is>
          <t>Rua Presidente Arthur Bernardes, 552 - Sala 202 Sala 204</t>
        </is>
      </c>
      <c r="F465" t="inlineStr">
        <is>
          <t>Centro</t>
        </is>
      </c>
      <c r="G465" t="inlineStr">
        <is>
          <t>Rio Bonito</t>
        </is>
      </c>
      <c r="H465" t="inlineStr">
        <is>
          <t>RJ</t>
        </is>
      </c>
      <c r="I465" t="n">
        <v>5152</v>
      </c>
      <c r="J465" t="inlineStr">
        <is>
          <t>CAT 5</t>
        </is>
      </c>
      <c r="K465" t="inlineStr">
        <is>
          <t>Sim</t>
        </is>
      </c>
    </row>
    <row r="466">
      <c r="A466" s="1">
        <f>HYPERLINK("https://eurofarma-latam-crm.veevavault.com/#object/account__v/V4TZ025E8EW27M2", "Isabella Raphaella Cruz")</f>
        <v/>
      </c>
      <c r="B466" s="1">
        <f>HYPERLINK("https://eurofarma-latam-crm.veevavault.com/#object/account__v/V4TZ025E8EW27M2", "Isabella Raphaella Cabral Cruz")</f>
        <v/>
      </c>
      <c r="C466" t="inlineStr">
        <is>
          <t>RJ1387084</t>
        </is>
      </c>
      <c r="D466" t="inlineStr">
        <is>
          <t>CLG / PA</t>
        </is>
      </c>
      <c r="E466" t="inlineStr">
        <is>
          <t>Avenida Nilo Peçanha, 835</t>
        </is>
      </c>
      <c r="F466" t="inlineStr">
        <is>
          <t>Centro</t>
        </is>
      </c>
      <c r="G466" t="inlineStr">
        <is>
          <t>Araruama</t>
        </is>
      </c>
      <c r="H466" t="inlineStr">
        <is>
          <t>RJ</t>
        </is>
      </c>
      <c r="I466" t="n">
        <v>5152</v>
      </c>
      <c r="J466" t="inlineStr"/>
      <c r="K466" t="inlineStr"/>
    </row>
    <row r="467">
      <c r="A467" s="1">
        <f>HYPERLINK("https://eurofarma-latam-crm.veevavault.com/#object/account__v/V4TZ000018NXWF6", "Ivy de Mello")</f>
        <v/>
      </c>
      <c r="B467" s="1">
        <f>HYPERLINK("https://eurofarma-latam-crm.veevavault.com/#object/account__v/V4TZ000018NXWF6", "Ivy Dias Gilano de Mello")</f>
        <v/>
      </c>
      <c r="C467" t="inlineStr">
        <is>
          <t>RJ0959715</t>
        </is>
      </c>
      <c r="D467" t="inlineStr">
        <is>
          <t>PED</t>
        </is>
      </c>
      <c r="E467" t="inlineStr">
        <is>
          <t>Rodovia Amaral Peixoto, S/N - KM 71 1 Andar</t>
        </is>
      </c>
      <c r="F467" t="inlineStr">
        <is>
          <t>Bacaxá (Bacaxá)</t>
        </is>
      </c>
      <c r="G467" t="inlineStr">
        <is>
          <t>Saquarema</t>
        </is>
      </c>
      <c r="H467" t="inlineStr">
        <is>
          <t>RJ</t>
        </is>
      </c>
      <c r="I467" t="n">
        <v>5152</v>
      </c>
      <c r="J467" t="inlineStr">
        <is>
          <t>CAT 4</t>
        </is>
      </c>
      <c r="K467" t="inlineStr">
        <is>
          <t>Sim</t>
        </is>
      </c>
    </row>
    <row r="468">
      <c r="A468" s="1">
        <f>HYPERLINK("https://eurofarma-latam-crm.veevavault.com/#object/account__v/V4TZ00001915P99", "Jais Alvarenga")</f>
        <v/>
      </c>
      <c r="B468" s="1">
        <f>HYPERLINK("https://eurofarma-latam-crm.veevavault.com/#object/account__v/V4TZ00001915P99", "Jais Monteiro Cordeiro de Alvarenga")</f>
        <v/>
      </c>
      <c r="C468" t="inlineStr">
        <is>
          <t>RJ1274333</t>
        </is>
      </c>
      <c r="D468" t="inlineStr">
        <is>
          <t>PED</t>
        </is>
      </c>
      <c r="E468" t="inlineStr">
        <is>
          <t>Rua Baster Pillar, S/N</t>
        </is>
      </c>
      <c r="F468" t="inlineStr">
        <is>
          <t>Parque Hotel</t>
        </is>
      </c>
      <c r="G468" t="inlineStr">
        <is>
          <t>Araruama</t>
        </is>
      </c>
      <c r="H468" t="inlineStr">
        <is>
          <t>RJ</t>
        </is>
      </c>
      <c r="I468" t="n">
        <v>5152</v>
      </c>
      <c r="J468" t="inlineStr">
        <is>
          <t>CAT 4</t>
        </is>
      </c>
      <c r="K468" t="inlineStr">
        <is>
          <t>Sim</t>
        </is>
      </c>
    </row>
    <row r="469">
      <c r="A469" s="1">
        <f>HYPERLINK("https://eurofarma-latam-crm.veevavault.com/#object/account__v/V4TZ00001913U4Y", "Jakeline Guimaraes")</f>
        <v/>
      </c>
      <c r="B469" s="1">
        <f>HYPERLINK("https://eurofarma-latam-crm.veevavault.com/#object/account__v/V4TZ00001913U4Y", "Jakeline Amaral Guimaraes")</f>
        <v/>
      </c>
      <c r="C469" t="inlineStr">
        <is>
          <t>RJ1087720</t>
        </is>
      </c>
      <c r="D469" t="inlineStr">
        <is>
          <t>CLG / PA</t>
        </is>
      </c>
      <c r="E469" t="inlineStr">
        <is>
          <t>Rua Estudante Elcira Oliveira Coutinho, S/N</t>
        </is>
      </c>
      <c r="F469" t="inlineStr">
        <is>
          <t>Barreira (Bacaxá)</t>
        </is>
      </c>
      <c r="G469" t="inlineStr">
        <is>
          <t>Saquarema</t>
        </is>
      </c>
      <c r="H469" t="inlineStr">
        <is>
          <t>RJ</t>
        </is>
      </c>
      <c r="I469" t="n">
        <v>5152</v>
      </c>
      <c r="J469" t="inlineStr">
        <is>
          <t>CAT 5</t>
        </is>
      </c>
      <c r="K469" t="inlineStr">
        <is>
          <t>Sim</t>
        </is>
      </c>
    </row>
    <row r="470">
      <c r="A470" s="1">
        <f>HYPERLINK("https://eurofarma-latam-crm.veevavault.com/#object/account__v/V4TZ00001915S0I", "Javier Salguero")</f>
        <v/>
      </c>
      <c r="B470" s="1">
        <f>HYPERLINK("https://eurofarma-latam-crm.veevavault.com/#object/account__v/V4TZ00001915S0I", "Javier Zafra Salguero")</f>
        <v/>
      </c>
      <c r="C470" t="inlineStr">
        <is>
          <t>RJ0585513</t>
        </is>
      </c>
      <c r="D470" t="inlineStr">
        <is>
          <t>CLG / END</t>
        </is>
      </c>
      <c r="E470" t="inlineStr">
        <is>
          <t>Rua Gavião Peixoto, 124 - Sala 501</t>
        </is>
      </c>
      <c r="F470" t="inlineStr">
        <is>
          <t>Icaraí</t>
        </is>
      </c>
      <c r="G470" t="inlineStr">
        <is>
          <t>Niterói</t>
        </is>
      </c>
      <c r="H470" t="inlineStr">
        <is>
          <t>RJ</t>
        </is>
      </c>
      <c r="I470" t="n">
        <v>5152</v>
      </c>
      <c r="J470" t="inlineStr">
        <is>
          <t>CAT 4</t>
        </is>
      </c>
      <c r="K470" t="inlineStr">
        <is>
          <t>Sim</t>
        </is>
      </c>
    </row>
    <row r="471">
      <c r="A471" s="1">
        <f>HYPERLINK("https://eurofarma-latam-crm.veevavault.com/#object/account__v/V4TZ0000191404T", "Jefferson Branco")</f>
        <v/>
      </c>
      <c r="B471" s="1">
        <f>HYPERLINK("https://eurofarma-latam-crm.veevavault.com/#object/account__v/V4TZ0000191404T", "Jefferson Castello Branco")</f>
        <v/>
      </c>
      <c r="C471" t="inlineStr">
        <is>
          <t>RJ0585619</t>
        </is>
      </c>
      <c r="D471" t="inlineStr">
        <is>
          <t>ORT</t>
        </is>
      </c>
      <c r="E471" t="inlineStr">
        <is>
          <t>Rua Baster Pillar, S/N</t>
        </is>
      </c>
      <c r="F471" t="inlineStr">
        <is>
          <t>Parque Hotel</t>
        </is>
      </c>
      <c r="G471" t="inlineStr">
        <is>
          <t>Araruama</t>
        </is>
      </c>
      <c r="H471" t="inlineStr">
        <is>
          <t>RJ</t>
        </is>
      </c>
      <c r="I471" t="n">
        <v>5152</v>
      </c>
      <c r="J471" t="inlineStr">
        <is>
          <t>CAT 1</t>
        </is>
      </c>
      <c r="K471" t="inlineStr">
        <is>
          <t>Sim</t>
        </is>
      </c>
    </row>
    <row r="472">
      <c r="A472" s="1">
        <f>HYPERLINK("https://eurofarma-latam-crm.veevavault.com/#object/account__v/V4TZ0000191445K", "João Alberto Oliveira")</f>
        <v/>
      </c>
      <c r="B472" s="1">
        <f>HYPERLINK("https://eurofarma-latam-crm.veevavault.com/#object/account__v/V4TZ0000191445K", "João Alberto Teixeira Oliveira")</f>
        <v/>
      </c>
      <c r="C472" t="inlineStr">
        <is>
          <t>RJ0311070</t>
        </is>
      </c>
      <c r="D472" t="inlineStr">
        <is>
          <t>CLG / END</t>
        </is>
      </c>
      <c r="E472" t="inlineStr">
        <is>
          <t>Rua Adolfo Bravo, S/N</t>
        </is>
      </c>
      <c r="F472" t="inlineStr">
        <is>
          <t>Bacaxá (Bacaxá)</t>
        </is>
      </c>
      <c r="G472" t="inlineStr">
        <is>
          <t>Saquarema</t>
        </is>
      </c>
      <c r="H472" t="inlineStr">
        <is>
          <t>RJ</t>
        </is>
      </c>
      <c r="I472" t="n">
        <v>5152</v>
      </c>
      <c r="J472" t="inlineStr">
        <is>
          <t>CAT 2</t>
        </is>
      </c>
      <c r="K472" t="inlineStr">
        <is>
          <t>Sim</t>
        </is>
      </c>
    </row>
    <row r="473">
      <c r="A473" s="1">
        <f>HYPERLINK("https://eurofarma-latam-crm.veevavault.com/#object/account__v/V4TZ00001915G4T", "João Alcino Abreu")</f>
        <v/>
      </c>
      <c r="B473" s="1">
        <f>HYPERLINK("https://eurofarma-latam-crm.veevavault.com/#object/account__v/V4TZ00001915G4T", "João Alcino da Costa Abreu")</f>
        <v/>
      </c>
      <c r="C473" t="inlineStr">
        <is>
          <t>RJ0220952</t>
        </is>
      </c>
      <c r="D473" t="inlineStr">
        <is>
          <t>PED</t>
        </is>
      </c>
      <c r="E473" t="inlineStr">
        <is>
          <t>Avenida Roberto Silveira, 518 - Casa</t>
        </is>
      </c>
      <c r="F473" t="inlineStr">
        <is>
          <t>Icaraí</t>
        </is>
      </c>
      <c r="G473" t="inlineStr">
        <is>
          <t>Niterói</t>
        </is>
      </c>
      <c r="H473" t="inlineStr">
        <is>
          <t>RJ</t>
        </is>
      </c>
      <c r="I473" t="n">
        <v>5152</v>
      </c>
      <c r="J473" t="inlineStr">
        <is>
          <t>CAT 5</t>
        </is>
      </c>
      <c r="K473" t="inlineStr">
        <is>
          <t>Sim</t>
        </is>
      </c>
    </row>
    <row r="474">
      <c r="A474" s="1">
        <f>HYPERLINK("https://eurofarma-latam-crm.veevavault.com/#object/account__v/V4TZ000018NY8Z9", "João Klein")</f>
        <v/>
      </c>
      <c r="B474" s="1">
        <f>HYPERLINK("https://eurofarma-latam-crm.veevavault.com/#object/account__v/V4TZ000018NY8Z9", "João Lucas Mattos Klein")</f>
        <v/>
      </c>
      <c r="C474" t="inlineStr">
        <is>
          <t>RJ1140701</t>
        </is>
      </c>
      <c r="D474" t="inlineStr">
        <is>
          <t>ORT</t>
        </is>
      </c>
      <c r="E474" t="inlineStr">
        <is>
          <t>Rodovia Washington Luiz, S/N - BR 040 Km 109</t>
        </is>
      </c>
      <c r="F474" t="inlineStr">
        <is>
          <t>Vila Actura</t>
        </is>
      </c>
      <c r="G474" t="inlineStr">
        <is>
          <t>Duque de Caxias</t>
        </is>
      </c>
      <c r="H474" t="inlineStr">
        <is>
          <t>RJ</t>
        </is>
      </c>
      <c r="I474" t="n">
        <v>5152</v>
      </c>
      <c r="J474" t="inlineStr">
        <is>
          <t>CAT 5</t>
        </is>
      </c>
      <c r="K474" t="inlineStr">
        <is>
          <t>Sim</t>
        </is>
      </c>
    </row>
    <row r="475">
      <c r="A475" s="1">
        <f>HYPERLINK("https://eurofarma-latam-crm.veevavault.com/#object/account__v/V4TZ000019M5UZV", "João Medeiros")</f>
        <v/>
      </c>
      <c r="B475" s="1">
        <f>HYPERLINK("https://eurofarma-latam-crm.veevavault.com/#object/account__v/V4TZ000019M5UZV", "João Claudio Prates Medeiros")</f>
        <v/>
      </c>
      <c r="C475" t="inlineStr">
        <is>
          <t>RJ1268597</t>
        </is>
      </c>
      <c r="D475" t="inlineStr">
        <is>
          <t>PED</t>
        </is>
      </c>
      <c r="E475" t="inlineStr">
        <is>
          <t>Rua Baster Pillar, S/N</t>
        </is>
      </c>
      <c r="F475" t="inlineStr">
        <is>
          <t>Parque Hotel</t>
        </is>
      </c>
      <c r="G475" t="inlineStr">
        <is>
          <t>Araruama</t>
        </is>
      </c>
      <c r="H475" t="inlineStr">
        <is>
          <t>RJ</t>
        </is>
      </c>
      <c r="I475" t="n">
        <v>5152</v>
      </c>
      <c r="J475" t="inlineStr">
        <is>
          <t>CAT 5</t>
        </is>
      </c>
      <c r="K475" t="inlineStr">
        <is>
          <t>Sim</t>
        </is>
      </c>
    </row>
    <row r="476">
      <c r="A476" s="1">
        <f>HYPERLINK("https://eurofarma-latam-crm.veevavault.com/#object/account__v/V4TZ00001914KE2", "Jorge Luiz Brandão")</f>
        <v/>
      </c>
      <c r="B476" s="1">
        <f>HYPERLINK("https://eurofarma-latam-crm.veevavault.com/#object/account__v/V4TZ00001914KE2", "Jorge Luiz da Silva Brandão")</f>
        <v/>
      </c>
      <c r="C476" t="inlineStr">
        <is>
          <t>RJ0287488</t>
        </is>
      </c>
      <c r="D476" t="inlineStr">
        <is>
          <t>PED</t>
        </is>
      </c>
      <c r="E476" t="inlineStr">
        <is>
          <t>Estrada Do Rio Vermelho, S/N</t>
        </is>
      </c>
      <c r="F476" t="inlineStr">
        <is>
          <t>Rio Vermelho</t>
        </is>
      </c>
      <c r="G476" t="inlineStr">
        <is>
          <t>Rio Bonito</t>
        </is>
      </c>
      <c r="H476" t="inlineStr">
        <is>
          <t>RJ</t>
        </is>
      </c>
      <c r="I476" t="n">
        <v>5152</v>
      </c>
      <c r="J476" t="inlineStr">
        <is>
          <t>CAT 2</t>
        </is>
      </c>
      <c r="K476" t="inlineStr">
        <is>
          <t>Sim</t>
        </is>
      </c>
    </row>
    <row r="477">
      <c r="A477" s="1">
        <f>HYPERLINK("https://eurofarma-latam-crm.veevavault.com/#object/account__v/V4TZ00001913PPQ", "Jorge Luiz de Lemos")</f>
        <v/>
      </c>
      <c r="B477" s="1">
        <f>HYPERLINK("https://eurofarma-latam-crm.veevavault.com/#object/account__v/V4TZ00001913PPQ", "Jorge Luiz Britto de Lemos")</f>
        <v/>
      </c>
      <c r="C477" t="inlineStr">
        <is>
          <t>RJ0358633</t>
        </is>
      </c>
      <c r="D477" t="inlineStr">
        <is>
          <t>CLG</t>
        </is>
      </c>
      <c r="E477" t="inlineStr">
        <is>
          <t>Rua Pedro Luiz Souza, 108</t>
        </is>
      </c>
      <c r="F477" t="inlineStr">
        <is>
          <t>Centro</t>
        </is>
      </c>
      <c r="G477" t="inlineStr">
        <is>
          <t>Araruama</t>
        </is>
      </c>
      <c r="H477" t="inlineStr">
        <is>
          <t>RJ</t>
        </is>
      </c>
      <c r="I477" t="n">
        <v>5152</v>
      </c>
      <c r="J477" t="inlineStr">
        <is>
          <t>CAT 5</t>
        </is>
      </c>
      <c r="K477" t="inlineStr">
        <is>
          <t>N�o</t>
        </is>
      </c>
    </row>
    <row r="478">
      <c r="A478" s="1">
        <f>HYPERLINK("https://eurofarma-latam-crm.veevavault.com/#object/account__v/V4TZ00001915HF4", "Jorge Negri")</f>
        <v/>
      </c>
      <c r="B478" s="1">
        <f>HYPERLINK("https://eurofarma-latam-crm.veevavault.com/#object/account__v/V4TZ00001915HF4", "Jorge Eduardo Andrade Negri")</f>
        <v/>
      </c>
      <c r="C478" t="inlineStr">
        <is>
          <t>RJ0208692</t>
        </is>
      </c>
      <c r="D478" t="inlineStr">
        <is>
          <t>CLG / END</t>
        </is>
      </c>
      <c r="E478" t="inlineStr">
        <is>
          <t>Rua Pedro Luiz Souza, 108</t>
        </is>
      </c>
      <c r="F478" t="inlineStr">
        <is>
          <t>Centro</t>
        </is>
      </c>
      <c r="G478" t="inlineStr">
        <is>
          <t>Araruama</t>
        </is>
      </c>
      <c r="H478" t="inlineStr">
        <is>
          <t>RJ</t>
        </is>
      </c>
      <c r="I478" t="n">
        <v>5152</v>
      </c>
      <c r="J478" t="inlineStr">
        <is>
          <t>CAT 5</t>
        </is>
      </c>
      <c r="K478" t="inlineStr">
        <is>
          <t>N�o</t>
        </is>
      </c>
    </row>
    <row r="479">
      <c r="A479" s="1">
        <f>HYPERLINK("https://eurofarma-latam-crm.veevavault.com/#object/account__v/V4TZ000019166B5", "José Antônio Vidal Junior")</f>
        <v/>
      </c>
      <c r="B479" s="1">
        <f>HYPERLINK("https://eurofarma-latam-crm.veevavault.com/#object/account__v/V4TZ000019166B5", "José Antônio Rodriguez Vidal Junior")</f>
        <v/>
      </c>
      <c r="C479" t="inlineStr">
        <is>
          <t>RJ0242630</t>
        </is>
      </c>
      <c r="D479" t="inlineStr">
        <is>
          <t>PSQ</t>
        </is>
      </c>
      <c r="E479" t="inlineStr">
        <is>
          <t>Avenida Getúlio Vargas, 979</t>
        </is>
      </c>
      <c r="F479" t="inlineStr">
        <is>
          <t>Centro</t>
        </is>
      </c>
      <c r="G479" t="inlineStr">
        <is>
          <t>Araruama</t>
        </is>
      </c>
      <c r="H479" t="inlineStr">
        <is>
          <t>RJ</t>
        </is>
      </c>
      <c r="I479" t="n">
        <v>5152</v>
      </c>
      <c r="J479" t="inlineStr">
        <is>
          <t>CAT 3</t>
        </is>
      </c>
      <c r="K479" t="inlineStr">
        <is>
          <t>Sim</t>
        </is>
      </c>
    </row>
    <row r="480">
      <c r="A480" s="1">
        <f>HYPERLINK("https://eurofarma-latam-crm.veevavault.com/#object/account__v/V4TZ000018NXR9T", "Jose Carvalho")</f>
        <v/>
      </c>
      <c r="B480" s="1">
        <f>HYPERLINK("https://eurofarma-latam-crm.veevavault.com/#object/account__v/V4TZ000018NXR9T", "Jose Gomes de Carvalho")</f>
        <v/>
      </c>
      <c r="C480" t="inlineStr">
        <is>
          <t>RJ0412028</t>
        </is>
      </c>
      <c r="D480" t="inlineStr">
        <is>
          <t>ORT</t>
        </is>
      </c>
      <c r="E480" t="inlineStr">
        <is>
          <t>Rua Comendador Bento José Martins, 297 - Sala 306</t>
        </is>
      </c>
      <c r="F480" t="inlineStr">
        <is>
          <t>Centro</t>
        </is>
      </c>
      <c r="G480" t="inlineStr">
        <is>
          <t>Araruama</t>
        </is>
      </c>
      <c r="H480" t="inlineStr">
        <is>
          <t>RJ</t>
        </is>
      </c>
      <c r="I480" t="n">
        <v>5152</v>
      </c>
      <c r="J480" t="inlineStr">
        <is>
          <t>CAT 5</t>
        </is>
      </c>
      <c r="K480" t="inlineStr">
        <is>
          <t>Sim</t>
        </is>
      </c>
    </row>
    <row r="481">
      <c r="A481" s="1">
        <f>HYPERLINK("https://eurofarma-latam-crm.veevavault.com/#object/account__v/V4TZ00001912WR3", "Jose Dias")</f>
        <v/>
      </c>
      <c r="B481" s="1">
        <f>HYPERLINK("https://eurofarma-latam-crm.veevavault.com/#object/account__v/V4TZ00001912WR3", "Jose Roberto Dias")</f>
        <v/>
      </c>
      <c r="C481" t="inlineStr">
        <is>
          <t>RJ0250479</t>
        </is>
      </c>
      <c r="D481" t="inlineStr">
        <is>
          <t>ORT</t>
        </is>
      </c>
      <c r="E481" t="inlineStr">
        <is>
          <t>Rua Domingos R Amaral, 665</t>
        </is>
      </c>
      <c r="F481" t="inlineStr">
        <is>
          <t>Parque Hotel</t>
        </is>
      </c>
      <c r="G481" t="inlineStr">
        <is>
          <t>Araruama</t>
        </is>
      </c>
      <c r="H481" t="inlineStr">
        <is>
          <t>RJ</t>
        </is>
      </c>
      <c r="I481" t="n">
        <v>5152</v>
      </c>
      <c r="J481" t="inlineStr">
        <is>
          <t>CAT 3</t>
        </is>
      </c>
      <c r="K481" t="inlineStr">
        <is>
          <t>Sim</t>
        </is>
      </c>
    </row>
    <row r="482">
      <c r="A482" s="1">
        <f>HYPERLINK("https://eurofarma-latam-crm.veevavault.com/#object/account__v/V4TZ0000191630A", "Jose Maria Japhet")</f>
        <v/>
      </c>
      <c r="B482" s="1">
        <f>HYPERLINK("https://eurofarma-latam-crm.veevavault.com/#object/account__v/V4TZ0000191630A", "Jose Maria Lopes Natividade Japhet")</f>
        <v/>
      </c>
      <c r="C482" t="inlineStr">
        <is>
          <t>RJ0802360</t>
        </is>
      </c>
      <c r="D482" t="inlineStr">
        <is>
          <t>CLG / PA</t>
        </is>
      </c>
      <c r="E482" t="inlineStr">
        <is>
          <t>Rua Adilson Oliveira, 989 - Esquina</t>
        </is>
      </c>
      <c r="F482" t="inlineStr">
        <is>
          <t>Madressilva (Bacaxá)</t>
        </is>
      </c>
      <c r="G482" t="inlineStr">
        <is>
          <t>Saquarema</t>
        </is>
      </c>
      <c r="H482" t="inlineStr">
        <is>
          <t>RJ</t>
        </is>
      </c>
      <c r="I482" t="n">
        <v>5152</v>
      </c>
      <c r="J482" t="inlineStr">
        <is>
          <t>CAT 5</t>
        </is>
      </c>
      <c r="K482" t="inlineStr">
        <is>
          <t>N�o</t>
        </is>
      </c>
    </row>
    <row r="483">
      <c r="A483" s="1">
        <f>HYPERLINK("https://eurofarma-latam-crm.veevavault.com/#object/account__v/V4TZ000018NXH9J", "José Mauro da Silva")</f>
        <v/>
      </c>
      <c r="B483" s="1">
        <f>HYPERLINK("https://eurofarma-latam-crm.veevavault.com/#object/account__v/V4TZ000018NXH9J", "José Mauro Carneiro Mármore da Silva")</f>
        <v/>
      </c>
      <c r="C483" t="inlineStr">
        <is>
          <t>RJ0383482</t>
        </is>
      </c>
      <c r="D483" t="inlineStr">
        <is>
          <t>CLG / SNC</t>
        </is>
      </c>
      <c r="E483" t="inlineStr">
        <is>
          <t>Rua Adolfo Bravo, S/N</t>
        </is>
      </c>
      <c r="F483" t="inlineStr">
        <is>
          <t>Bacaxá (Bacaxá)</t>
        </is>
      </c>
      <c r="G483" t="inlineStr">
        <is>
          <t>Saquarema</t>
        </is>
      </c>
      <c r="H483" t="inlineStr">
        <is>
          <t>RJ</t>
        </is>
      </c>
      <c r="I483" t="n">
        <v>5152</v>
      </c>
      <c r="J483" t="inlineStr">
        <is>
          <t>CAT 5</t>
        </is>
      </c>
      <c r="K483" t="inlineStr">
        <is>
          <t>N�o</t>
        </is>
      </c>
    </row>
    <row r="484">
      <c r="A484" s="1">
        <f>HYPERLINK("https://eurofarma-latam-crm.veevavault.com/#object/account__v/V4TZ04ASGMADTFQ", "Júlia Araújo")</f>
        <v/>
      </c>
      <c r="B484" s="1">
        <f>HYPERLINK("https://eurofarma-latam-crm.veevavault.com/#object/account__v/V4TZ04ASGMADTFQ", "Júlia Mattos Werneck Araújo")</f>
        <v/>
      </c>
      <c r="C484" t="inlineStr">
        <is>
          <t>RJ1382825</t>
        </is>
      </c>
      <c r="D484" t="inlineStr">
        <is>
          <t>PED</t>
        </is>
      </c>
      <c r="E484" t="inlineStr">
        <is>
          <t>Avenida Getúlio Vargas, S/N</t>
        </is>
      </c>
      <c r="F484" t="inlineStr">
        <is>
          <t>Centro</t>
        </is>
      </c>
      <c r="G484" t="inlineStr">
        <is>
          <t>Araruama</t>
        </is>
      </c>
      <c r="H484" t="inlineStr">
        <is>
          <t>RJ</t>
        </is>
      </c>
      <c r="I484" t="n">
        <v>5152</v>
      </c>
      <c r="J484" t="inlineStr">
        <is>
          <t>CAT 5</t>
        </is>
      </c>
      <c r="K484" t="inlineStr">
        <is>
          <t>Sim</t>
        </is>
      </c>
    </row>
    <row r="485">
      <c r="A485" s="1">
        <f>HYPERLINK("https://eurofarma-latam-crm.veevavault.com/#object/account__v/V4TZ000018NXWTQ", "Júlia Campello")</f>
        <v/>
      </c>
      <c r="B485" s="1">
        <f>HYPERLINK("https://eurofarma-latam-crm.veevavault.com/#object/account__v/V4TZ000018NXWTQ", "Júlia Machado Azeredo Campello")</f>
        <v/>
      </c>
      <c r="C485" t="inlineStr">
        <is>
          <t>RJ1042726</t>
        </is>
      </c>
      <c r="D485" t="inlineStr">
        <is>
          <t>ORT</t>
        </is>
      </c>
      <c r="E485" t="inlineStr">
        <is>
          <t>Rua Pastor Luiz Laurentino, 1292</t>
        </is>
      </c>
      <c r="F485" t="inlineStr">
        <is>
          <t>Centro</t>
        </is>
      </c>
      <c r="G485" t="inlineStr">
        <is>
          <t>Casimiro de Abreu</t>
        </is>
      </c>
      <c r="H485" t="inlineStr">
        <is>
          <t>RJ</t>
        </is>
      </c>
      <c r="I485" t="n">
        <v>5152</v>
      </c>
      <c r="J485" t="inlineStr">
        <is>
          <t>CAT 5</t>
        </is>
      </c>
      <c r="K485" t="inlineStr">
        <is>
          <t>N�o</t>
        </is>
      </c>
    </row>
    <row r="486">
      <c r="A486" s="1">
        <f>HYPERLINK("https://eurofarma-latam-crm.veevavault.com/#object/account__v/V4TZ000018NYNCD", "Julia de Azevedo")</f>
        <v/>
      </c>
      <c r="B486" s="1">
        <f>HYPERLINK("https://eurofarma-latam-crm.veevavault.com/#object/account__v/V4TZ000018NYNCD", "Julia Alfradique Pinto de Azevedo")</f>
        <v/>
      </c>
      <c r="C486" t="inlineStr">
        <is>
          <t>RJ0903639</t>
        </is>
      </c>
      <c r="D486" t="inlineStr">
        <is>
          <t>PED</t>
        </is>
      </c>
      <c r="E486" t="inlineStr">
        <is>
          <t>Rua Noventa e Sete, 1008</t>
        </is>
      </c>
      <c r="F486" t="inlineStr">
        <is>
          <t>Jaconé (Sampaio Correia)</t>
        </is>
      </c>
      <c r="G486" t="inlineStr">
        <is>
          <t>Saquarema</t>
        </is>
      </c>
      <c r="H486" t="inlineStr">
        <is>
          <t>RJ</t>
        </is>
      </c>
      <c r="I486" t="n">
        <v>5152</v>
      </c>
      <c r="J486" t="inlineStr">
        <is>
          <t>CAT 5</t>
        </is>
      </c>
      <c r="K486" t="inlineStr">
        <is>
          <t>Sim</t>
        </is>
      </c>
    </row>
    <row r="487">
      <c r="A487" s="1">
        <f>HYPERLINK("https://eurofarma-latam-crm.veevavault.com/#object/account__v/V4TZ000018NY0KU", "Juliana Liguori")</f>
        <v/>
      </c>
      <c r="B487" s="1">
        <f>HYPERLINK("https://eurofarma-latam-crm.veevavault.com/#object/account__v/V4TZ000018NY0KU", "Juliana Luna Liguori")</f>
        <v/>
      </c>
      <c r="C487" t="inlineStr">
        <is>
          <t>RJ0601103</t>
        </is>
      </c>
      <c r="D487" t="inlineStr">
        <is>
          <t>PED</t>
        </is>
      </c>
      <c r="E487" t="inlineStr">
        <is>
          <t>Avenida Getúlio Vargas, 655 - B</t>
        </is>
      </c>
      <c r="F487" t="inlineStr">
        <is>
          <t>Centro</t>
        </is>
      </c>
      <c r="G487" t="inlineStr">
        <is>
          <t>Araruama</t>
        </is>
      </c>
      <c r="H487" t="inlineStr">
        <is>
          <t>RJ</t>
        </is>
      </c>
      <c r="I487" t="n">
        <v>5152</v>
      </c>
      <c r="J487" t="inlineStr">
        <is>
          <t>CAT 4</t>
        </is>
      </c>
      <c r="K487" t="inlineStr">
        <is>
          <t>Sim</t>
        </is>
      </c>
    </row>
    <row r="488">
      <c r="A488" s="1">
        <f>HYPERLINK("https://eurofarma-latam-crm.veevavault.com/#object/account__v/V4TZ000019148J3", "Juliana Segalote")</f>
        <v/>
      </c>
      <c r="B488" s="1">
        <f>HYPERLINK("https://eurofarma-latam-crm.veevavault.com/#object/account__v/V4TZ000019148J3", "Juliana de Oliveira Segalote")</f>
        <v/>
      </c>
      <c r="C488" t="inlineStr">
        <is>
          <t>RJ0829960</t>
        </is>
      </c>
      <c r="D488" t="inlineStr">
        <is>
          <t>GAS</t>
        </is>
      </c>
      <c r="E488" t="inlineStr">
        <is>
          <t>Rua João Carmo, 110</t>
        </is>
      </c>
      <c r="F488" t="inlineStr">
        <is>
          <t>Rio Bonito</t>
        </is>
      </c>
      <c r="G488" t="inlineStr">
        <is>
          <t>Rio Bonito</t>
        </is>
      </c>
      <c r="H488" t="inlineStr">
        <is>
          <t>RJ</t>
        </is>
      </c>
      <c r="I488" t="n">
        <v>5152</v>
      </c>
      <c r="J488" t="inlineStr">
        <is>
          <t>CAT 3</t>
        </is>
      </c>
      <c r="K488" t="inlineStr">
        <is>
          <t>Sim</t>
        </is>
      </c>
    </row>
    <row r="489">
      <c r="A489" s="1">
        <f>HYPERLINK("https://eurofarma-latam-crm.veevavault.com/#object/account__v/V4TZ000018NXZXK", "Julio Segalote")</f>
        <v/>
      </c>
      <c r="B489" s="1">
        <f>HYPERLINK("https://eurofarma-latam-crm.veevavault.com/#object/account__v/V4TZ000018NXZXK", "Julio Cesar Segalote")</f>
        <v/>
      </c>
      <c r="C489" t="inlineStr">
        <is>
          <t>RJ0347492</t>
        </is>
      </c>
      <c r="D489" t="inlineStr">
        <is>
          <t>GAS</t>
        </is>
      </c>
      <c r="E489" t="inlineStr">
        <is>
          <t>Avenida Martinho Almeida, 222</t>
        </is>
      </c>
      <c r="F489" t="inlineStr">
        <is>
          <t>Mangueirinha</t>
        </is>
      </c>
      <c r="G489" t="inlineStr">
        <is>
          <t>Rio Bonito</t>
        </is>
      </c>
      <c r="H489" t="inlineStr">
        <is>
          <t>RJ</t>
        </is>
      </c>
      <c r="I489" t="n">
        <v>5152</v>
      </c>
      <c r="J489" t="inlineStr">
        <is>
          <t>CAT 4</t>
        </is>
      </c>
      <c r="K489" t="inlineStr">
        <is>
          <t>Sim</t>
        </is>
      </c>
    </row>
    <row r="490">
      <c r="A490" s="1">
        <f>HYPERLINK("https://eurofarma-latam-crm.veevavault.com/#object/account__v/V4TZ00001912X54", "Karen Silva")</f>
        <v/>
      </c>
      <c r="B490" s="1">
        <f>HYPERLINK("https://eurofarma-latam-crm.veevavault.com/#object/account__v/V4TZ00001912X54", "Karen Dias Silva")</f>
        <v/>
      </c>
      <c r="C490" t="inlineStr">
        <is>
          <t>MG0052448,RJ0869538</t>
        </is>
      </c>
      <c r="D490" t="inlineStr">
        <is>
          <t>END</t>
        </is>
      </c>
      <c r="E490" t="inlineStr">
        <is>
          <t>Rua Estudante Elcira Oliveira Coutinho, S/N</t>
        </is>
      </c>
      <c r="F490" t="inlineStr">
        <is>
          <t>Barreira (Bacaxá)</t>
        </is>
      </c>
      <c r="G490" t="inlineStr">
        <is>
          <t>Saquarema</t>
        </is>
      </c>
      <c r="H490" t="inlineStr">
        <is>
          <t>RJ</t>
        </is>
      </c>
      <c r="I490" t="n">
        <v>5152</v>
      </c>
      <c r="J490" t="inlineStr">
        <is>
          <t>CAT 4</t>
        </is>
      </c>
      <c r="K490" t="inlineStr">
        <is>
          <t>Sim</t>
        </is>
      </c>
    </row>
    <row r="491">
      <c r="A491" s="1">
        <f>HYPERLINK("https://eurofarma-latam-crm.veevavault.com/#object/account__v/V4TZ000018NZ3KX", "Kirlla Alvarenga")</f>
        <v/>
      </c>
      <c r="B491" s="1">
        <f>HYPERLINK("https://eurofarma-latam-crm.veevavault.com/#object/account__v/V4TZ000018NZ3KX", "Kirlla Medici Alvarenga")</f>
        <v/>
      </c>
      <c r="C491" t="inlineStr">
        <is>
          <t>RJ0859915</t>
        </is>
      </c>
      <c r="D491" t="inlineStr">
        <is>
          <t>GAS</t>
        </is>
      </c>
      <c r="E491" t="inlineStr">
        <is>
          <t>Rua Doutor Milton de Souza Pacheco, 6</t>
        </is>
      </c>
      <c r="F491" t="inlineStr">
        <is>
          <t>Centro</t>
        </is>
      </c>
      <c r="G491" t="inlineStr">
        <is>
          <t>Maricá</t>
        </is>
      </c>
      <c r="H491" t="inlineStr">
        <is>
          <t>RJ</t>
        </is>
      </c>
      <c r="I491" t="n">
        <v>5152</v>
      </c>
      <c r="J491" t="inlineStr">
        <is>
          <t>CAT 5</t>
        </is>
      </c>
      <c r="K491" t="inlineStr">
        <is>
          <t>Sim</t>
        </is>
      </c>
    </row>
    <row r="492">
      <c r="A492" s="1">
        <f>HYPERLINK("https://eurofarma-latam-crm.veevavault.com/#object/account__v/V4TZ025E8AYK243", "Kíssila Gomes")</f>
        <v/>
      </c>
      <c r="B492" s="1">
        <f>HYPERLINK("https://eurofarma-latam-crm.veevavault.com/#object/account__v/V4TZ025E8AYK243", "Kíssila Ferreira Gomes")</f>
        <v/>
      </c>
      <c r="C492" t="inlineStr">
        <is>
          <t>RJ1354388</t>
        </is>
      </c>
      <c r="D492" t="inlineStr">
        <is>
          <t>PED</t>
        </is>
      </c>
      <c r="E492" t="inlineStr">
        <is>
          <t>Rua Pastor Luiz Laurentino, 1292</t>
        </is>
      </c>
      <c r="F492" t="inlineStr">
        <is>
          <t>Centro</t>
        </is>
      </c>
      <c r="G492" t="inlineStr">
        <is>
          <t>Casimiro de Abreu</t>
        </is>
      </c>
      <c r="H492" t="inlineStr">
        <is>
          <t>RJ</t>
        </is>
      </c>
      <c r="I492" t="n">
        <v>5152</v>
      </c>
      <c r="J492" t="inlineStr">
        <is>
          <t>CAT 5</t>
        </is>
      </c>
      <c r="K492" t="inlineStr">
        <is>
          <t>N�o</t>
        </is>
      </c>
    </row>
    <row r="493">
      <c r="A493" s="1">
        <f>HYPERLINK("https://eurofarma-latam-crm.veevavault.com/#object/account__v/V4TZ025E8C5YFV8", "Laressa Paula Rossatto")</f>
        <v/>
      </c>
      <c r="B493" s="1">
        <f>HYPERLINK("https://eurofarma-latam-crm.veevavault.com/#object/account__v/V4TZ025E8C5YFV8", "Laressa Paula Rossatto")</f>
        <v/>
      </c>
      <c r="C493" t="inlineStr">
        <is>
          <t>RJ1350099</t>
        </is>
      </c>
      <c r="D493" t="inlineStr">
        <is>
          <t>CLG / PA</t>
        </is>
      </c>
      <c r="E493" t="inlineStr">
        <is>
          <t>Rua Adolfo Bravo, S/N</t>
        </is>
      </c>
      <c r="F493" t="inlineStr">
        <is>
          <t>Bacaxá (Bacaxá)</t>
        </is>
      </c>
      <c r="G493" t="inlineStr">
        <is>
          <t>Saquarema</t>
        </is>
      </c>
      <c r="H493" t="inlineStr">
        <is>
          <t>RJ</t>
        </is>
      </c>
      <c r="I493" t="n">
        <v>5152</v>
      </c>
      <c r="J493" t="inlineStr">
        <is>
          <t>CAT 5</t>
        </is>
      </c>
      <c r="K493" t="inlineStr">
        <is>
          <t>N�o</t>
        </is>
      </c>
    </row>
    <row r="494">
      <c r="A494" s="1">
        <f>HYPERLINK("https://eurofarma-latam-crm.veevavault.com/#object/account__v/V4TZ025E8FGTDRL", "Larissa Carvalho")</f>
        <v/>
      </c>
      <c r="B494" s="1">
        <f>HYPERLINK("https://eurofarma-latam-crm.veevavault.com/#object/account__v/V4TZ025E8FGTDRL", "Larissa Melo Demier De Carvalho")</f>
        <v/>
      </c>
      <c r="C494" t="inlineStr">
        <is>
          <t>RJ1357263</t>
        </is>
      </c>
      <c r="D494" t="inlineStr">
        <is>
          <t>PED</t>
        </is>
      </c>
      <c r="E494" t="inlineStr">
        <is>
          <t>Estrada Do Rio Vermelho, S/N</t>
        </is>
      </c>
      <c r="F494" t="inlineStr">
        <is>
          <t>Rio Vermelho</t>
        </is>
      </c>
      <c r="G494" t="inlineStr">
        <is>
          <t>Rio Bonito</t>
        </is>
      </c>
      <c r="H494" t="inlineStr">
        <is>
          <t>RJ</t>
        </is>
      </c>
      <c r="I494" t="n">
        <v>5152</v>
      </c>
      <c r="J494" t="inlineStr"/>
      <c r="K494" t="inlineStr"/>
    </row>
    <row r="495">
      <c r="A495" s="1">
        <f>HYPERLINK("https://eurofarma-latam-crm.veevavault.com/#object/account__v/V4TZ000018NYPWB", "Larissa Ribeiro")</f>
        <v/>
      </c>
      <c r="B495" s="1">
        <f>HYPERLINK("https://eurofarma-latam-crm.veevavault.com/#object/account__v/V4TZ000018NYPWB", "Larissa Machado Osorio Ribeiro")</f>
        <v/>
      </c>
      <c r="C495" t="inlineStr">
        <is>
          <t>RJ0803251</t>
        </is>
      </c>
      <c r="D495" t="inlineStr">
        <is>
          <t>PED</t>
        </is>
      </c>
      <c r="E495" t="inlineStr">
        <is>
          <t>Rua Acyr Rezende de Souza e Silva, 100</t>
        </is>
      </c>
      <c r="F495" t="inlineStr">
        <is>
          <t>Vila Birigui</t>
        </is>
      </c>
      <c r="G495" t="inlineStr">
        <is>
          <t>Rondonópolis</t>
        </is>
      </c>
      <c r="H495" t="inlineStr">
        <is>
          <t>MT</t>
        </is>
      </c>
      <c r="I495" t="n">
        <v>5152</v>
      </c>
      <c r="J495" t="inlineStr">
        <is>
          <t>CAT 4</t>
        </is>
      </c>
      <c r="K495" t="inlineStr">
        <is>
          <t>Sim</t>
        </is>
      </c>
    </row>
    <row r="496">
      <c r="A496" s="1">
        <f>HYPERLINK("https://eurofarma-latam-crm.veevavault.com/#object/account__v/V4TZ0000191333V", "Laurindo Lima")</f>
        <v/>
      </c>
      <c r="B496" s="1">
        <f>HYPERLINK("https://eurofarma-latam-crm.veevavault.com/#object/account__v/V4TZ0000191333V", "Laurindo de Oliveira Lima")</f>
        <v/>
      </c>
      <c r="C496" t="inlineStr">
        <is>
          <t>RJ0302414</t>
        </is>
      </c>
      <c r="D496" t="inlineStr">
        <is>
          <t>CLG</t>
        </is>
      </c>
      <c r="E496" t="inlineStr">
        <is>
          <t>Rua João Carmo, 110</t>
        </is>
      </c>
      <c r="F496" t="inlineStr">
        <is>
          <t>Rio Bonito</t>
        </is>
      </c>
      <c r="G496" t="inlineStr">
        <is>
          <t>Rio Bonito</t>
        </is>
      </c>
      <c r="H496" t="inlineStr">
        <is>
          <t>RJ</t>
        </is>
      </c>
      <c r="I496" t="n">
        <v>5152</v>
      </c>
      <c r="J496" t="inlineStr">
        <is>
          <t>CAT 4</t>
        </is>
      </c>
      <c r="K496" t="inlineStr">
        <is>
          <t>Sim</t>
        </is>
      </c>
    </row>
    <row r="497">
      <c r="A497" s="1">
        <f>HYPERLINK("https://eurofarma-latam-crm.veevavault.com/#object/account__v/V4TZ025E88PQ9V9", "Layla Isabel")</f>
        <v/>
      </c>
      <c r="B497" s="1">
        <f>HYPERLINK("https://eurofarma-latam-crm.veevavault.com/#object/account__v/V4TZ025E88PQ9V9", "Layla Petrucci Nasser D'angelo Isabel")</f>
        <v/>
      </c>
      <c r="C497" t="inlineStr">
        <is>
          <t>RJ1328883</t>
        </is>
      </c>
      <c r="D497" t="inlineStr">
        <is>
          <t>CLG / PA</t>
        </is>
      </c>
      <c r="E497" t="inlineStr">
        <is>
          <t>Rua Sousa Barros, 70</t>
        </is>
      </c>
      <c r="F497" t="inlineStr">
        <is>
          <t>Engenho Novo</t>
        </is>
      </c>
      <c r="G497" t="inlineStr">
        <is>
          <t>Rio de Janeiro</t>
        </is>
      </c>
      <c r="H497" t="inlineStr">
        <is>
          <t>RJ</t>
        </is>
      </c>
      <c r="I497" t="n">
        <v>5152</v>
      </c>
      <c r="J497" t="inlineStr">
        <is>
          <t>CAT 5</t>
        </is>
      </c>
      <c r="K497" t="inlineStr">
        <is>
          <t>Sim</t>
        </is>
      </c>
    </row>
    <row r="498">
      <c r="A498" s="1">
        <f>HYPERLINK("https://eurofarma-latam-crm.veevavault.com/#object/account__v/V4TZ000018NXUSY", "Lays Rocha")</f>
        <v/>
      </c>
      <c r="B498" s="1">
        <f>HYPERLINK("https://eurofarma-latam-crm.veevavault.com/#object/account__v/V4TZ000018NXUSY", "Lays Teixeira Pimentel Moreira da Rocha")</f>
        <v/>
      </c>
      <c r="C498" t="inlineStr">
        <is>
          <t>RJ0932981</t>
        </is>
      </c>
      <c r="D498" t="inlineStr">
        <is>
          <t>PED</t>
        </is>
      </c>
      <c r="E498" t="inlineStr">
        <is>
          <t>Avenida da Liberdade, 73</t>
        </is>
      </c>
      <c r="F498" t="inlineStr">
        <is>
          <t>Centro</t>
        </is>
      </c>
      <c r="G498" t="inlineStr">
        <is>
          <t>Arraial do Cabo</t>
        </is>
      </c>
      <c r="H498" t="inlineStr">
        <is>
          <t>RJ</t>
        </is>
      </c>
      <c r="I498" t="n">
        <v>5152</v>
      </c>
      <c r="J498" t="inlineStr">
        <is>
          <t>CAT 5</t>
        </is>
      </c>
      <c r="K498" t="inlineStr">
        <is>
          <t>Sim</t>
        </is>
      </c>
    </row>
    <row r="499">
      <c r="A499" s="1">
        <f>HYPERLINK("https://eurofarma-latam-crm.veevavault.com/#object/account__v/V4TZ025E86GHXSF", "Leandra Corrêa")</f>
        <v/>
      </c>
      <c r="B499" s="1">
        <f>HYPERLINK("https://eurofarma-latam-crm.veevavault.com/#object/account__v/V4TZ025E86GHXSF", "Leandra Nogueira Corrêa")</f>
        <v/>
      </c>
      <c r="C499" t="inlineStr">
        <is>
          <t>RJ1312120</t>
        </is>
      </c>
      <c r="D499" t="inlineStr">
        <is>
          <t>CLG / PA</t>
        </is>
      </c>
      <c r="E499" t="inlineStr">
        <is>
          <t>Rua Vicente de Lima Cleto, 296</t>
        </is>
      </c>
      <c r="F499" t="inlineStr">
        <is>
          <t>Nova Cidade</t>
        </is>
      </c>
      <c r="G499" t="inlineStr">
        <is>
          <t>São Gonçalo</t>
        </is>
      </c>
      <c r="H499" t="inlineStr">
        <is>
          <t>RJ</t>
        </is>
      </c>
      <c r="I499" t="n">
        <v>5152</v>
      </c>
      <c r="J499" t="inlineStr">
        <is>
          <t>CAT 2</t>
        </is>
      </c>
      <c r="K499" t="inlineStr">
        <is>
          <t>Sim</t>
        </is>
      </c>
    </row>
    <row r="500">
      <c r="A500" s="1">
        <f>HYPERLINK("https://eurofarma-latam-crm.veevavault.com/#object/account__v/V4TZ00001914TBO", "Leandro Ferreira")</f>
        <v/>
      </c>
      <c r="B500" s="1">
        <f>HYPERLINK("https://eurofarma-latam-crm.veevavault.com/#object/account__v/V4TZ00001914TBO", "Leandro Vieira Ferreira")</f>
        <v/>
      </c>
      <c r="C500" t="inlineStr">
        <is>
          <t>RJ0767530</t>
        </is>
      </c>
      <c r="D500" t="inlineStr">
        <is>
          <t>ORL</t>
        </is>
      </c>
      <c r="E500" t="inlineStr">
        <is>
          <t>Rua Professor Waldir Celem, 127-163</t>
        </is>
      </c>
      <c r="F500" t="inlineStr">
        <is>
          <t>Parque Aeroporto</t>
        </is>
      </c>
      <c r="G500" t="inlineStr">
        <is>
          <t>Macaé</t>
        </is>
      </c>
      <c r="H500" t="inlineStr">
        <is>
          <t>RJ</t>
        </is>
      </c>
      <c r="I500" t="n">
        <v>5152</v>
      </c>
      <c r="J500" t="inlineStr">
        <is>
          <t>CAT 4</t>
        </is>
      </c>
      <c r="K500" t="inlineStr">
        <is>
          <t>Sim</t>
        </is>
      </c>
    </row>
    <row r="501">
      <c r="A501" s="1">
        <f>HYPERLINK("https://eurofarma-latam-crm.veevavault.com/#object/account__v/V4TZ025E85HR8K5", "Leonardo Dias")</f>
        <v/>
      </c>
      <c r="B501" s="1">
        <f>HYPERLINK("https://eurofarma-latam-crm.veevavault.com/#object/account__v/V4TZ025E85HR8K5", "Leonardo Schettini Magalhães Dias")</f>
        <v/>
      </c>
      <c r="C501" t="inlineStr">
        <is>
          <t>RJ1306081</t>
        </is>
      </c>
      <c r="D501" t="inlineStr">
        <is>
          <t>PED</t>
        </is>
      </c>
      <c r="E501" t="inlineStr">
        <is>
          <t>Avenida Oito de Maio, 534</t>
        </is>
      </c>
      <c r="F501" t="inlineStr">
        <is>
          <t>Centro</t>
        </is>
      </c>
      <c r="G501" t="inlineStr">
        <is>
          <t>Silva Jardim</t>
        </is>
      </c>
      <c r="H501" t="inlineStr">
        <is>
          <t>RJ</t>
        </is>
      </c>
      <c r="I501" t="n">
        <v>5152</v>
      </c>
      <c r="J501" t="inlineStr">
        <is>
          <t>CAT 5</t>
        </is>
      </c>
      <c r="K501" t="inlineStr">
        <is>
          <t>Sim</t>
        </is>
      </c>
    </row>
    <row r="502">
      <c r="A502" s="1">
        <f>HYPERLINK("https://eurofarma-latam-crm.veevavault.com/#object/account__v/V4TZ000019134JA", "Leonardo Ferreira")</f>
        <v/>
      </c>
      <c r="B502" s="1">
        <f>HYPERLINK("https://eurofarma-latam-crm.veevavault.com/#object/account__v/V4TZ000019134JA", "Leonardo de Moura Ferreira")</f>
        <v/>
      </c>
      <c r="C502" t="inlineStr">
        <is>
          <t>RJ0699985</t>
        </is>
      </c>
      <c r="D502" t="inlineStr">
        <is>
          <t>CLG / SNC</t>
        </is>
      </c>
      <c r="E502" t="inlineStr">
        <is>
          <t>Rua Major Félix Moreira, 267</t>
        </is>
      </c>
      <c r="F502" t="inlineStr">
        <is>
          <t>Centro</t>
        </is>
      </c>
      <c r="G502" t="inlineStr">
        <is>
          <t>Araruama</t>
        </is>
      </c>
      <c r="H502" t="inlineStr">
        <is>
          <t>RJ</t>
        </is>
      </c>
      <c r="I502" t="n">
        <v>5152</v>
      </c>
      <c r="J502" t="inlineStr">
        <is>
          <t>CAT 3</t>
        </is>
      </c>
      <c r="K502" t="inlineStr">
        <is>
          <t>Sim</t>
        </is>
      </c>
    </row>
    <row r="503">
      <c r="A503" s="1">
        <f>HYPERLINK("https://eurofarma-latam-crm.veevavault.com/#object/account__v/V4TZ00001914E39", "Leonardo Ferreira")</f>
        <v/>
      </c>
      <c r="B503" s="1">
        <f>HYPERLINK("https://eurofarma-latam-crm.veevavault.com/#object/account__v/V4TZ00001914E39", "Leonardo de Faria Ferreira")</f>
        <v/>
      </c>
      <c r="C503" t="inlineStr">
        <is>
          <t>RJ0869953</t>
        </is>
      </c>
      <c r="D503" t="inlineStr">
        <is>
          <t>CLG</t>
        </is>
      </c>
      <c r="E503" t="inlineStr">
        <is>
          <t>Rua Florisbela Rosa da Penha, S/N</t>
        </is>
      </c>
      <c r="F503" t="inlineStr">
        <is>
          <t>Braga</t>
        </is>
      </c>
      <c r="G503" t="inlineStr">
        <is>
          <t>Cabo Frio</t>
        </is>
      </c>
      <c r="H503" t="inlineStr">
        <is>
          <t>RJ</t>
        </is>
      </c>
      <c r="I503" t="n">
        <v>5152</v>
      </c>
      <c r="J503" t="inlineStr">
        <is>
          <t>CAT 5</t>
        </is>
      </c>
      <c r="K503" t="inlineStr">
        <is>
          <t>Sim</t>
        </is>
      </c>
    </row>
    <row r="504">
      <c r="A504" s="1">
        <f>HYPERLINK("https://eurofarma-latam-crm.veevavault.com/#object/account__v/V4TZ00001915SJ9", "Leonardo Jorge Lage")</f>
        <v/>
      </c>
      <c r="B504" s="1">
        <f>HYPERLINK("https://eurofarma-latam-crm.veevavault.com/#object/account__v/V4TZ00001915SJ9", "Leonardo Jorge Lage")</f>
        <v/>
      </c>
      <c r="C504" t="inlineStr">
        <is>
          <t>RJ0536822</t>
        </is>
      </c>
      <c r="D504" t="inlineStr">
        <is>
          <t>CLG</t>
        </is>
      </c>
      <c r="E504" t="inlineStr">
        <is>
          <t>Rua Major Félix Moreira, 267</t>
        </is>
      </c>
      <c r="F504" t="inlineStr">
        <is>
          <t>Centro</t>
        </is>
      </c>
      <c r="G504" t="inlineStr">
        <is>
          <t>Araruama</t>
        </is>
      </c>
      <c r="H504" t="inlineStr">
        <is>
          <t>RJ</t>
        </is>
      </c>
      <c r="I504" t="n">
        <v>5152</v>
      </c>
      <c r="J504" t="inlineStr">
        <is>
          <t>CAT 5</t>
        </is>
      </c>
      <c r="K504" t="inlineStr">
        <is>
          <t>N�o</t>
        </is>
      </c>
    </row>
    <row r="505">
      <c r="A505" s="1">
        <f>HYPERLINK("https://eurofarma-latam-crm.veevavault.com/#object/account__v/V4TZ025E8622KT8", "Leticia Pereira")</f>
        <v/>
      </c>
      <c r="B505" s="1">
        <f>HYPERLINK("https://eurofarma-latam-crm.veevavault.com/#object/account__v/V4TZ025E8622KT8", "Leticia Matos Vasconcellos Pereira")</f>
        <v/>
      </c>
      <c r="C505" t="inlineStr">
        <is>
          <t>RJ1314521</t>
        </is>
      </c>
      <c r="D505" t="inlineStr">
        <is>
          <t>CLG / PA</t>
        </is>
      </c>
      <c r="E505" t="inlineStr">
        <is>
          <t>Rua Oliveira Viana, S/N - Casa</t>
        </is>
      </c>
      <c r="F505" t="inlineStr">
        <is>
          <t>Rio Seco</t>
        </is>
      </c>
      <c r="G505" t="inlineStr">
        <is>
          <t>Araruama</t>
        </is>
      </c>
      <c r="H505" t="inlineStr">
        <is>
          <t>RJ</t>
        </is>
      </c>
      <c r="I505" t="n">
        <v>5152</v>
      </c>
      <c r="J505" t="inlineStr">
        <is>
          <t>CAT 4</t>
        </is>
      </c>
      <c r="K505" t="inlineStr">
        <is>
          <t>Sim</t>
        </is>
      </c>
    </row>
    <row r="506">
      <c r="A506" s="1">
        <f>HYPERLINK("https://eurofarma-latam-crm.veevavault.com/#object/account__v/V4TZ00001915XC1", "Leticia Ribas")</f>
        <v/>
      </c>
      <c r="B506" s="1">
        <f>HYPERLINK("https://eurofarma-latam-crm.veevavault.com/#object/account__v/V4TZ00001915XC1", "Leticia Borges Ribas")</f>
        <v/>
      </c>
      <c r="C506" t="inlineStr">
        <is>
          <t>RJ0420967</t>
        </is>
      </c>
      <c r="D506" t="inlineStr">
        <is>
          <t>PED</t>
        </is>
      </c>
      <c r="E506" t="inlineStr">
        <is>
          <t>Rua Doutor João Florêncio Sobrinho, S/N</t>
        </is>
      </c>
      <c r="F506" t="inlineStr">
        <is>
          <t>Centro (São Vicente)</t>
        </is>
      </c>
      <c r="G506" t="inlineStr">
        <is>
          <t>Araruama</t>
        </is>
      </c>
      <c r="H506" t="inlineStr">
        <is>
          <t>RJ</t>
        </is>
      </c>
      <c r="I506" t="n">
        <v>5152</v>
      </c>
      <c r="J506" t="inlineStr">
        <is>
          <t>CAT 5</t>
        </is>
      </c>
      <c r="K506" t="inlineStr">
        <is>
          <t>Sim</t>
        </is>
      </c>
    </row>
    <row r="507">
      <c r="A507" s="1">
        <f>HYPERLINK("https://eurofarma-latam-crm.veevavault.com/#object/account__v/V4TZ000018NYXST", "Leticia Soares")</f>
        <v/>
      </c>
      <c r="B507" s="1">
        <f>HYPERLINK("https://eurofarma-latam-crm.veevavault.com/#object/account__v/V4TZ000018NYXST", "Leticia Costa Moreira Soares")</f>
        <v/>
      </c>
      <c r="C507" t="inlineStr">
        <is>
          <t>RJ1169904</t>
        </is>
      </c>
      <c r="D507" t="inlineStr">
        <is>
          <t>ORL</t>
        </is>
      </c>
      <c r="E507" t="inlineStr">
        <is>
          <t>Rua Baster Pillar, S/N</t>
        </is>
      </c>
      <c r="F507" t="inlineStr">
        <is>
          <t>Parque Hotel</t>
        </is>
      </c>
      <c r="G507" t="inlineStr">
        <is>
          <t>Araruama</t>
        </is>
      </c>
      <c r="H507" t="inlineStr">
        <is>
          <t>RJ</t>
        </is>
      </c>
      <c r="I507" t="n">
        <v>5152</v>
      </c>
      <c r="J507" t="inlineStr">
        <is>
          <t>CAT 3</t>
        </is>
      </c>
      <c r="K507" t="inlineStr">
        <is>
          <t>Sim</t>
        </is>
      </c>
    </row>
    <row r="508">
      <c r="A508" s="1">
        <f>HYPERLINK("https://eurofarma-latam-crm.veevavault.com/#object/account__v/V4TZ000019166CL", "Liomar Pena")</f>
        <v/>
      </c>
      <c r="B508" s="1">
        <f>HYPERLINK("https://eurofarma-latam-crm.veevavault.com/#object/account__v/V4TZ000019166CL", "Liomar Ribeiro Pena")</f>
        <v/>
      </c>
      <c r="C508" t="inlineStr">
        <is>
          <t>RJ0567946</t>
        </is>
      </c>
      <c r="D508" t="inlineStr">
        <is>
          <t>CLG</t>
        </is>
      </c>
      <c r="E508" t="inlineStr">
        <is>
          <t>Estrada de Antenor Cardoso da Fonseca, S/N</t>
        </is>
      </c>
      <c r="F508" t="inlineStr">
        <is>
          <t>Porto do Carro</t>
        </is>
      </c>
      <c r="G508" t="inlineStr">
        <is>
          <t>Cabo Frio</t>
        </is>
      </c>
      <c r="H508" t="inlineStr">
        <is>
          <t>RJ</t>
        </is>
      </c>
      <c r="I508" t="n">
        <v>5152</v>
      </c>
      <c r="J508" t="inlineStr">
        <is>
          <t>CAT 5</t>
        </is>
      </c>
      <c r="K508" t="inlineStr">
        <is>
          <t>N�o</t>
        </is>
      </c>
    </row>
    <row r="509">
      <c r="A509" s="1">
        <f>HYPERLINK("https://eurofarma-latam-crm.veevavault.com/#object/account__v/V4TZ00001913DJK", "Liz Vargas")</f>
        <v/>
      </c>
      <c r="B509" s="1">
        <f>HYPERLINK("https://eurofarma-latam-crm.veevavault.com/#object/account__v/V4TZ00001913DJK", "Liz Edilma Pajaro Vargas")</f>
        <v/>
      </c>
      <c r="C509" t="inlineStr">
        <is>
          <t>RJ0603757</t>
        </is>
      </c>
      <c r="D509" t="inlineStr">
        <is>
          <t>PED</t>
        </is>
      </c>
      <c r="E509" t="inlineStr">
        <is>
          <t>Rua Gregorio Pinto, S/N</t>
        </is>
      </c>
      <c r="F509" t="inlineStr">
        <is>
          <t>Rio Do Ouro</t>
        </is>
      </c>
      <c r="G509" t="inlineStr">
        <is>
          <t>Rio Bonito</t>
        </is>
      </c>
      <c r="H509" t="inlineStr">
        <is>
          <t>RJ</t>
        </is>
      </c>
      <c r="I509" t="n">
        <v>5152</v>
      </c>
      <c r="J509" t="inlineStr">
        <is>
          <t>CAT 2</t>
        </is>
      </c>
      <c r="K509" t="inlineStr">
        <is>
          <t>Sim</t>
        </is>
      </c>
    </row>
    <row r="510">
      <c r="A510" s="1">
        <f>HYPERLINK("https://eurofarma-latam-crm.veevavault.com/#object/account__v/V4TZ00001913I0H", "Lucas Righi")</f>
        <v/>
      </c>
      <c r="B510" s="1">
        <f>HYPERLINK("https://eurofarma-latam-crm.veevavault.com/#object/account__v/V4TZ00001913I0H", "Lucas Duarte Righi")</f>
        <v/>
      </c>
      <c r="C510" t="inlineStr">
        <is>
          <t>RJ0890189</t>
        </is>
      </c>
      <c r="D510" t="inlineStr">
        <is>
          <t>ORT</t>
        </is>
      </c>
      <c r="E510" t="inlineStr">
        <is>
          <t>Praça Edyla Pinheiro, 61</t>
        </is>
      </c>
      <c r="F510" t="inlineStr">
        <is>
          <t>Centro</t>
        </is>
      </c>
      <c r="G510" t="inlineStr">
        <is>
          <t>Iguaba Grande</t>
        </is>
      </c>
      <c r="H510" t="inlineStr">
        <is>
          <t>RJ</t>
        </is>
      </c>
      <c r="I510" t="n">
        <v>5152</v>
      </c>
      <c r="J510" t="inlineStr">
        <is>
          <t>CAT 4</t>
        </is>
      </c>
      <c r="K510" t="inlineStr">
        <is>
          <t>Sim</t>
        </is>
      </c>
    </row>
    <row r="511">
      <c r="A511" s="1">
        <f>HYPERLINK("https://eurofarma-latam-crm.veevavault.com/#object/account__v/V4TZ000018NZ63N", "Luciana Fernandes")</f>
        <v/>
      </c>
      <c r="B511" s="1">
        <f>HYPERLINK("https://eurofarma-latam-crm.veevavault.com/#object/account__v/V4TZ000018NZ63N", "Luciana Neves Fernandes")</f>
        <v/>
      </c>
      <c r="C511" t="inlineStr">
        <is>
          <t>RJ0567225</t>
        </is>
      </c>
      <c r="D511" t="inlineStr">
        <is>
          <t>GAS</t>
        </is>
      </c>
      <c r="E511" t="inlineStr">
        <is>
          <t>Rua Adolfo Bravo, 38 - Casa</t>
        </is>
      </c>
      <c r="F511" t="inlineStr">
        <is>
          <t>Bacaxá (Bacaxá)</t>
        </is>
      </c>
      <c r="G511" t="inlineStr">
        <is>
          <t>Saquarema</t>
        </is>
      </c>
      <c r="H511" t="inlineStr">
        <is>
          <t>RJ</t>
        </is>
      </c>
      <c r="I511" t="n">
        <v>5152</v>
      </c>
      <c r="J511" t="inlineStr">
        <is>
          <t>CAT 5</t>
        </is>
      </c>
      <c r="K511" t="inlineStr">
        <is>
          <t>Sim</t>
        </is>
      </c>
    </row>
    <row r="512">
      <c r="A512" s="1">
        <f>HYPERLINK("https://eurofarma-latam-crm.veevavault.com/#object/account__v/V4TZ000019168KF", "Luciana Muniz")</f>
        <v/>
      </c>
      <c r="B512" s="1">
        <f>HYPERLINK("https://eurofarma-latam-crm.veevavault.com/#object/account__v/V4TZ000019168KF", "Luciana Ramos de Souza Gomes Muniz")</f>
        <v/>
      </c>
      <c r="C512" t="inlineStr">
        <is>
          <t>RJ1119605</t>
        </is>
      </c>
      <c r="D512" t="inlineStr">
        <is>
          <t>END</t>
        </is>
      </c>
      <c r="E512" t="inlineStr">
        <is>
          <t>Avenida Saquarema, 5070</t>
        </is>
      </c>
      <c r="F512" t="inlineStr">
        <is>
          <t>Bacaxá (Bacaxá)</t>
        </is>
      </c>
      <c r="G512" t="inlineStr">
        <is>
          <t>Saquarema</t>
        </is>
      </c>
      <c r="H512" t="inlineStr">
        <is>
          <t>RJ</t>
        </is>
      </c>
      <c r="I512" t="n">
        <v>5152</v>
      </c>
      <c r="J512" t="inlineStr">
        <is>
          <t>CAT 4</t>
        </is>
      </c>
      <c r="K512" t="inlineStr">
        <is>
          <t>Sim</t>
        </is>
      </c>
    </row>
    <row r="513">
      <c r="A513" s="1">
        <f>HYPERLINK("https://eurofarma-latam-crm.veevavault.com/#object/account__v/V4TZ0000191573M", "Luciano Guedes")</f>
        <v/>
      </c>
      <c r="B513" s="1">
        <f>HYPERLINK("https://eurofarma-latam-crm.veevavault.com/#object/account__v/V4TZ0000191573M", "Luciano Mendes Guedes")</f>
        <v/>
      </c>
      <c r="C513" t="inlineStr">
        <is>
          <t>RJ0625892</t>
        </is>
      </c>
      <c r="D513" t="inlineStr">
        <is>
          <t>GAS</t>
        </is>
      </c>
      <c r="E513" t="inlineStr">
        <is>
          <t>Rua Doutor João Florêncio Sobrinho, S/N</t>
        </is>
      </c>
      <c r="F513" t="inlineStr">
        <is>
          <t>Centro (São Vicente)</t>
        </is>
      </c>
      <c r="G513" t="inlineStr">
        <is>
          <t>Araruama</t>
        </is>
      </c>
      <c r="H513" t="inlineStr">
        <is>
          <t>RJ</t>
        </is>
      </c>
      <c r="I513" t="n">
        <v>5152</v>
      </c>
      <c r="J513" t="inlineStr">
        <is>
          <t>CAT 4</t>
        </is>
      </c>
      <c r="K513" t="inlineStr">
        <is>
          <t>Sim</t>
        </is>
      </c>
    </row>
    <row r="514">
      <c r="A514" s="1">
        <f>HYPERLINK("https://eurofarma-latam-crm.veevavault.com/#object/account__v/V4TZ00001912ZTV", "Ludimila Moura")</f>
        <v/>
      </c>
      <c r="B514" s="1">
        <f>HYPERLINK("https://eurofarma-latam-crm.veevavault.com/#object/account__v/V4TZ00001912ZTV", "Ludimila Marins de Almeida Moura")</f>
        <v/>
      </c>
      <c r="C514" t="inlineStr">
        <is>
          <t>RJ0724483</t>
        </is>
      </c>
      <c r="D514" t="inlineStr">
        <is>
          <t>NEU</t>
        </is>
      </c>
      <c r="E514" t="inlineStr">
        <is>
          <t>Rua Estudante Elcira Oliveira Coutinho, S/N - Clínica</t>
        </is>
      </c>
      <c r="F514" t="inlineStr">
        <is>
          <t>Barreira (Bacaxá)</t>
        </is>
      </c>
      <c r="G514" t="inlineStr">
        <is>
          <t>Saquarema</t>
        </is>
      </c>
      <c r="H514" t="inlineStr">
        <is>
          <t>RJ</t>
        </is>
      </c>
      <c r="I514" t="n">
        <v>5152</v>
      </c>
      <c r="J514" t="inlineStr">
        <is>
          <t>CAT 2</t>
        </is>
      </c>
      <c r="K514" t="inlineStr">
        <is>
          <t>Sim</t>
        </is>
      </c>
    </row>
    <row r="515">
      <c r="A515" s="1">
        <f>HYPERLINK("https://eurofarma-latam-crm.veevavault.com/#object/account__v/V4TZ00001913X6H", "Ludmila Soares")</f>
        <v/>
      </c>
      <c r="B515" s="1">
        <f>HYPERLINK("https://eurofarma-latam-crm.veevavault.com/#object/account__v/V4TZ00001913X6H", "Ludmila Hipolito Mesquita Soares")</f>
        <v/>
      </c>
      <c r="C515" t="inlineStr">
        <is>
          <t>RJ0836214</t>
        </is>
      </c>
      <c r="D515" t="inlineStr">
        <is>
          <t>END</t>
        </is>
      </c>
      <c r="E515" t="inlineStr">
        <is>
          <t>Estrada Prefeito Álvaro de Carvalho Júnior, S/N</t>
        </is>
      </c>
      <c r="F515" t="inlineStr">
        <is>
          <t>Nancilândia</t>
        </is>
      </c>
      <c r="G515" t="inlineStr">
        <is>
          <t>Itaboraí</t>
        </is>
      </c>
      <c r="H515" t="inlineStr">
        <is>
          <t>RJ</t>
        </is>
      </c>
      <c r="I515" t="n">
        <v>5152</v>
      </c>
      <c r="J515" t="inlineStr">
        <is>
          <t>CAT 4</t>
        </is>
      </c>
      <c r="K515" t="inlineStr">
        <is>
          <t>Sim</t>
        </is>
      </c>
    </row>
    <row r="516">
      <c r="A516" s="1">
        <f>HYPERLINK("https://eurofarma-latam-crm.veevavault.com/#object/account__v/V4TZ00001915IIW", "Luis Carlos Marinho")</f>
        <v/>
      </c>
      <c r="B516" s="1">
        <f>HYPERLINK("https://eurofarma-latam-crm.veevavault.com/#object/account__v/V4TZ00001915IIW", "Luis Carlos Marinho")</f>
        <v/>
      </c>
      <c r="C516" t="inlineStr">
        <is>
          <t>RJ0526090</t>
        </is>
      </c>
      <c r="D516" t="inlineStr">
        <is>
          <t>NEU</t>
        </is>
      </c>
      <c r="E516" t="inlineStr">
        <is>
          <t>Rua Beatriz Amaral Pereira, 218</t>
        </is>
      </c>
      <c r="F516" t="inlineStr">
        <is>
          <t>Bacaxá (Bacaxá)</t>
        </is>
      </c>
      <c r="G516" t="inlineStr">
        <is>
          <t>Saquarema</t>
        </is>
      </c>
      <c r="H516" t="inlineStr">
        <is>
          <t>RJ</t>
        </is>
      </c>
      <c r="I516" t="n">
        <v>5152</v>
      </c>
      <c r="J516" t="inlineStr">
        <is>
          <t>CAT 4</t>
        </is>
      </c>
      <c r="K516" t="inlineStr">
        <is>
          <t>Sim</t>
        </is>
      </c>
    </row>
    <row r="517">
      <c r="A517" s="1">
        <f>HYPERLINK("https://eurofarma-latam-crm.veevavault.com/#object/account__v/V4TZ00001913AXR", "Luis Orlando Faria")</f>
        <v/>
      </c>
      <c r="B517" s="1">
        <f>HYPERLINK("https://eurofarma-latam-crm.veevavault.com/#object/account__v/V4TZ00001913AXR", "Luis Orlando de Melo Faria")</f>
        <v/>
      </c>
      <c r="C517" t="inlineStr">
        <is>
          <t>RJ0447015</t>
        </is>
      </c>
      <c r="D517" t="inlineStr">
        <is>
          <t>ORL</t>
        </is>
      </c>
      <c r="E517" t="inlineStr">
        <is>
          <t>Rua João Carmo, 110</t>
        </is>
      </c>
      <c r="F517" t="inlineStr">
        <is>
          <t>Rio Bonito</t>
        </is>
      </c>
      <c r="G517" t="inlineStr">
        <is>
          <t>Rio Bonito</t>
        </is>
      </c>
      <c r="H517" t="inlineStr">
        <is>
          <t>RJ</t>
        </is>
      </c>
      <c r="I517" t="n">
        <v>5152</v>
      </c>
      <c r="J517" t="inlineStr">
        <is>
          <t>CAT 2</t>
        </is>
      </c>
      <c r="K517" t="inlineStr">
        <is>
          <t>Sim</t>
        </is>
      </c>
    </row>
    <row r="518">
      <c r="A518" s="1">
        <f>HYPERLINK("https://eurofarma-latam-crm.veevavault.com/#object/account__v/V4TZ025E84WSDSH", "Luiz Amador")</f>
        <v/>
      </c>
      <c r="B518" s="1">
        <f>HYPERLINK("https://eurofarma-latam-crm.veevavault.com/#object/account__v/V4TZ025E84WSDSH", "Luiz Otavio Souza Amador")</f>
        <v/>
      </c>
      <c r="C518" t="inlineStr">
        <is>
          <t>RJ1306782</t>
        </is>
      </c>
      <c r="D518" t="inlineStr">
        <is>
          <t>PED</t>
        </is>
      </c>
      <c r="E518" t="inlineStr">
        <is>
          <t>Rua Noventa e Sete, 1008</t>
        </is>
      </c>
      <c r="F518" t="inlineStr">
        <is>
          <t>Jaconé (Sampaio Correia)</t>
        </is>
      </c>
      <c r="G518" t="inlineStr">
        <is>
          <t>Saquarema</t>
        </is>
      </c>
      <c r="H518" t="inlineStr">
        <is>
          <t>RJ</t>
        </is>
      </c>
      <c r="I518" t="n">
        <v>5152</v>
      </c>
      <c r="J518" t="inlineStr">
        <is>
          <t>CAT 5</t>
        </is>
      </c>
      <c r="K518" t="inlineStr">
        <is>
          <t>Sim</t>
        </is>
      </c>
    </row>
    <row r="519">
      <c r="A519" s="1">
        <f>HYPERLINK("https://eurofarma-latam-crm.veevavault.com/#object/account__v/V4TZ00001915MCT", "Luiz Carlos Pimentel")</f>
        <v/>
      </c>
      <c r="B519" s="1">
        <f>HYPERLINK("https://eurofarma-latam-crm.veevavault.com/#object/account__v/V4TZ00001915MCT", "Luiz Carlos de Araujo Pimentel")</f>
        <v/>
      </c>
      <c r="C519" t="inlineStr">
        <is>
          <t>RJ0699160</t>
        </is>
      </c>
      <c r="D519" t="inlineStr">
        <is>
          <t>ORL</t>
        </is>
      </c>
      <c r="E519" t="inlineStr">
        <is>
          <t>Rua Cândido Reis, 89</t>
        </is>
      </c>
      <c r="F519" t="inlineStr">
        <is>
          <t>Coelho</t>
        </is>
      </c>
      <c r="G519" t="inlineStr">
        <is>
          <t>São Gonçalo</t>
        </is>
      </c>
      <c r="H519" t="inlineStr">
        <is>
          <t>RJ</t>
        </is>
      </c>
      <c r="I519" t="n">
        <v>5152</v>
      </c>
      <c r="J519" t="inlineStr">
        <is>
          <t>CAT 3</t>
        </is>
      </c>
      <c r="K519" t="inlineStr">
        <is>
          <t>Sim</t>
        </is>
      </c>
    </row>
    <row r="520">
      <c r="A520" s="1">
        <f>HYPERLINK("https://eurofarma-latam-crm.veevavault.com/#object/account__v/V4TZ00001915J5G", "Luiz Carlos Silva")</f>
        <v/>
      </c>
      <c r="B520" s="1">
        <f>HYPERLINK("https://eurofarma-latam-crm.veevavault.com/#object/account__v/V4TZ00001915J5G", "Luiz Carlos Pereira Silva")</f>
        <v/>
      </c>
      <c r="C520" t="inlineStr">
        <is>
          <t>MG0075911,RJ0395433</t>
        </is>
      </c>
      <c r="D520" t="inlineStr">
        <is>
          <t>NEU</t>
        </is>
      </c>
      <c r="E520" t="inlineStr">
        <is>
          <t>Rodovia Inspetor Jonas Pezzo Costa, 507</t>
        </is>
      </c>
      <c r="F520" t="inlineStr">
        <is>
          <t>Centro</t>
        </is>
      </c>
      <c r="G520" t="inlineStr">
        <is>
          <t>Itamonte</t>
        </is>
      </c>
      <c r="H520" t="inlineStr">
        <is>
          <t>MG</t>
        </is>
      </c>
      <c r="I520" t="n">
        <v>5152</v>
      </c>
      <c r="J520" t="inlineStr">
        <is>
          <t>CAT 3</t>
        </is>
      </c>
      <c r="K520" t="inlineStr">
        <is>
          <t>Sim</t>
        </is>
      </c>
    </row>
    <row r="521">
      <c r="A521" s="1">
        <f>HYPERLINK("https://eurofarma-latam-crm.veevavault.com/#object/account__v/V4TZ000018NZ8V7", "Luiz Cunha")</f>
        <v/>
      </c>
      <c r="B521" s="1">
        <f>HYPERLINK("https://eurofarma-latam-crm.veevavault.com/#object/account__v/V4TZ000018NZ8V7", "Luiz Henrique Pereira da Cunha")</f>
        <v/>
      </c>
      <c r="C521" t="inlineStr">
        <is>
          <t>RJ0221495</t>
        </is>
      </c>
      <c r="D521" t="inlineStr">
        <is>
          <t>ORT</t>
        </is>
      </c>
      <c r="E521" t="inlineStr">
        <is>
          <t>Rua João do Carmo, 206</t>
        </is>
      </c>
      <c r="F521" t="inlineStr">
        <is>
          <t>Centro</t>
        </is>
      </c>
      <c r="G521" t="inlineStr">
        <is>
          <t>Rio Bonito</t>
        </is>
      </c>
      <c r="H521" t="inlineStr">
        <is>
          <t>RJ</t>
        </is>
      </c>
      <c r="I521" t="n">
        <v>5152</v>
      </c>
      <c r="J521" t="inlineStr">
        <is>
          <t>CAT 5</t>
        </is>
      </c>
      <c r="K521" t="inlineStr">
        <is>
          <t>N�o</t>
        </is>
      </c>
    </row>
    <row r="522">
      <c r="A522" s="1">
        <f>HYPERLINK("https://eurofarma-latam-crm.veevavault.com/#object/account__v/V4TZ00001913P4U", "Luiz Eduardo Amim")</f>
        <v/>
      </c>
      <c r="B522" s="1">
        <f>HYPERLINK("https://eurofarma-latam-crm.veevavault.com/#object/account__v/V4TZ00001913P4U", "Luiz Eduardo Utrini Amim")</f>
        <v/>
      </c>
      <c r="C522" t="inlineStr">
        <is>
          <t>RJ0406312</t>
        </is>
      </c>
      <c r="D522" t="inlineStr">
        <is>
          <t>CLG</t>
        </is>
      </c>
      <c r="E522" t="inlineStr">
        <is>
          <t>Rua João Carmo, 110</t>
        </is>
      </c>
      <c r="F522" t="inlineStr">
        <is>
          <t>Rio Bonito</t>
        </is>
      </c>
      <c r="G522" t="inlineStr">
        <is>
          <t>Rio Bonito</t>
        </is>
      </c>
      <c r="H522" t="inlineStr">
        <is>
          <t>RJ</t>
        </is>
      </c>
      <c r="I522" t="n">
        <v>5152</v>
      </c>
      <c r="J522" t="inlineStr">
        <is>
          <t>CAT 4</t>
        </is>
      </c>
      <c r="K522" t="inlineStr">
        <is>
          <t>Sim</t>
        </is>
      </c>
    </row>
    <row r="523">
      <c r="A523" s="1">
        <f>HYPERLINK("https://eurofarma-latam-crm.veevavault.com/#object/account__v/V4TZ000018NYKGT", "Luiz Fernandes")</f>
        <v/>
      </c>
      <c r="B523" s="1">
        <f>HYPERLINK("https://eurofarma-latam-crm.veevavault.com/#object/account__v/V4TZ000018NYKGT", "Luiz Carlos Gama Fernandes")</f>
        <v/>
      </c>
      <c r="C523" t="inlineStr">
        <is>
          <t>RJ0172190</t>
        </is>
      </c>
      <c r="D523" t="inlineStr">
        <is>
          <t>PED</t>
        </is>
      </c>
      <c r="E523" t="inlineStr">
        <is>
          <t>Rua João Carmo, 110</t>
        </is>
      </c>
      <c r="F523" t="inlineStr">
        <is>
          <t>Rio Bonito</t>
        </is>
      </c>
      <c r="G523" t="inlineStr">
        <is>
          <t>Rio Bonito</t>
        </is>
      </c>
      <c r="H523" t="inlineStr">
        <is>
          <t>RJ</t>
        </is>
      </c>
      <c r="I523" t="n">
        <v>5152</v>
      </c>
      <c r="J523" t="inlineStr">
        <is>
          <t>CAT 5</t>
        </is>
      </c>
      <c r="K523" t="inlineStr">
        <is>
          <t>N�o</t>
        </is>
      </c>
    </row>
    <row r="524">
      <c r="A524" s="1">
        <f>HYPERLINK("https://eurofarma-latam-crm.veevavault.com/#object/account__v/V4TZ000018NYE9A", "Luiz Ferreira")</f>
        <v/>
      </c>
      <c r="B524" s="1">
        <f>HYPERLINK("https://eurofarma-latam-crm.veevavault.com/#object/account__v/V4TZ000018NYE9A", "Luiz Gaspar de Oliveira Ferreira")</f>
        <v/>
      </c>
      <c r="C524" t="inlineStr">
        <is>
          <t>RJ0520873</t>
        </is>
      </c>
      <c r="D524" t="inlineStr">
        <is>
          <t>GAS</t>
        </is>
      </c>
      <c r="E524" t="inlineStr">
        <is>
          <t>Rua Major Félix Moreira, 267</t>
        </is>
      </c>
      <c r="F524" t="inlineStr">
        <is>
          <t>Centro</t>
        </is>
      </c>
      <c r="G524" t="inlineStr">
        <is>
          <t>Araruama</t>
        </is>
      </c>
      <c r="H524" t="inlineStr">
        <is>
          <t>RJ</t>
        </is>
      </c>
      <c r="I524" t="n">
        <v>5152</v>
      </c>
      <c r="J524" t="inlineStr">
        <is>
          <t>CAT 4</t>
        </is>
      </c>
      <c r="K524" t="inlineStr">
        <is>
          <t>Sim</t>
        </is>
      </c>
    </row>
    <row r="525">
      <c r="A525" s="1">
        <f>HYPERLINK("https://eurofarma-latam-crm.veevavault.com/#object/account__v/V4TZ00001915Y55", "Luiza Borba")</f>
        <v/>
      </c>
      <c r="B525" s="1">
        <f>HYPERLINK("https://eurofarma-latam-crm.veevavault.com/#object/account__v/V4TZ00001915Y55", "Luiza Helena Barroso de Borba")</f>
        <v/>
      </c>
      <c r="C525" t="inlineStr">
        <is>
          <t>RJ0594096</t>
        </is>
      </c>
      <c r="D525" t="inlineStr">
        <is>
          <t>CLG / END</t>
        </is>
      </c>
      <c r="E525" t="inlineStr">
        <is>
          <t>Avenida Getúlio Vargas, 1304 - Salas 106 e 107</t>
        </is>
      </c>
      <c r="F525" t="inlineStr">
        <is>
          <t>Centro</t>
        </is>
      </c>
      <c r="G525" t="inlineStr">
        <is>
          <t>Araruama</t>
        </is>
      </c>
      <c r="H525" t="inlineStr">
        <is>
          <t>RJ</t>
        </is>
      </c>
      <c r="I525" t="n">
        <v>5152</v>
      </c>
      <c r="J525" t="inlineStr">
        <is>
          <t>CAT 5</t>
        </is>
      </c>
      <c r="K525" t="inlineStr">
        <is>
          <t>Sim</t>
        </is>
      </c>
    </row>
    <row r="526">
      <c r="A526" s="1">
        <f>HYPERLINK("https://eurofarma-latam-crm.veevavault.com/#object/account__v/V4TZ00001916FBL", "Luíza Cedro")</f>
        <v/>
      </c>
      <c r="B526" s="1">
        <f>HYPERLINK("https://eurofarma-latam-crm.veevavault.com/#object/account__v/V4TZ00001916FBL", "Luíza Freire Cedro")</f>
        <v/>
      </c>
      <c r="C526" t="inlineStr">
        <is>
          <t>RJ1095609</t>
        </is>
      </c>
      <c r="D526" t="inlineStr">
        <is>
          <t>PED</t>
        </is>
      </c>
      <c r="E526" t="inlineStr">
        <is>
          <t>Rodovia Amaral Peixoto, S/N - KM 107</t>
        </is>
      </c>
      <c r="F526" t="inlineStr">
        <is>
          <t>Balneário São Pedro</t>
        </is>
      </c>
      <c r="G526" t="inlineStr">
        <is>
          <t>São Pedro da Aldeia</t>
        </is>
      </c>
      <c r="H526" t="inlineStr">
        <is>
          <t>RJ</t>
        </is>
      </c>
      <c r="I526" t="n">
        <v>5152</v>
      </c>
      <c r="J526" t="inlineStr">
        <is>
          <t>CAT 4</t>
        </is>
      </c>
      <c r="K526" t="inlineStr">
        <is>
          <t>Sim</t>
        </is>
      </c>
    </row>
    <row r="527">
      <c r="A527" s="1">
        <f>HYPERLINK("https://eurofarma-latam-crm.veevavault.com/#object/account__v/V4TZ000018NXMMP", "Luiza Maria Barbosa")</f>
        <v/>
      </c>
      <c r="B527" s="1">
        <f>HYPERLINK("https://eurofarma-latam-crm.veevavault.com/#object/account__v/V4TZ000018NXMMP", "Luiza Maria Quintanilha Barbosa")</f>
        <v/>
      </c>
      <c r="C527" t="inlineStr">
        <is>
          <t>RJ0408676</t>
        </is>
      </c>
      <c r="D527" t="inlineStr">
        <is>
          <t>CLG</t>
        </is>
      </c>
      <c r="E527" t="inlineStr">
        <is>
          <t>Rua Pedro Luiz Souza, S/N</t>
        </is>
      </c>
      <c r="F527" t="inlineStr">
        <is>
          <t>Centro</t>
        </is>
      </c>
      <c r="G527" t="inlineStr">
        <is>
          <t>Araruama</t>
        </is>
      </c>
      <c r="H527" t="inlineStr">
        <is>
          <t>RJ</t>
        </is>
      </c>
      <c r="I527" t="n">
        <v>5152</v>
      </c>
      <c r="J527" t="inlineStr">
        <is>
          <t>CAT 5</t>
        </is>
      </c>
      <c r="K527" t="inlineStr">
        <is>
          <t>Sim</t>
        </is>
      </c>
    </row>
    <row r="528">
      <c r="A528" s="1">
        <f>HYPERLINK("https://eurofarma-latam-crm.veevavault.com/#object/account__v/V4TZ000018NXUA3", "Luz Perez")</f>
        <v/>
      </c>
      <c r="B528" s="1">
        <f>HYPERLINK("https://eurofarma-latam-crm.veevavault.com/#object/account__v/V4TZ000018NXUA3", "Luz Adriana Paez Perez")</f>
        <v/>
      </c>
      <c r="C528" t="inlineStr">
        <is>
          <t>RJ0585520</t>
        </is>
      </c>
      <c r="D528" t="inlineStr">
        <is>
          <t>ORT</t>
        </is>
      </c>
      <c r="E528" t="inlineStr">
        <is>
          <t>Rua Voluntários da Pátria, 408</t>
        </is>
      </c>
      <c r="F528" t="inlineStr">
        <is>
          <t>Botafogo</t>
        </is>
      </c>
      <c r="G528" t="inlineStr">
        <is>
          <t>Rio de Janeiro</t>
        </is>
      </c>
      <c r="H528" t="inlineStr">
        <is>
          <t>RJ</t>
        </is>
      </c>
      <c r="I528" t="n">
        <v>5152</v>
      </c>
      <c r="J528" t="inlineStr">
        <is>
          <t>CAT 4</t>
        </is>
      </c>
      <c r="K528" t="inlineStr">
        <is>
          <t>Sim</t>
        </is>
      </c>
    </row>
    <row r="529">
      <c r="A529" s="1">
        <f>HYPERLINK("https://eurofarma-latam-crm.veevavault.com/#object/account__v/V4TZ000018NXKKX", "Lya Pereira")</f>
        <v/>
      </c>
      <c r="B529" s="1">
        <f>HYPERLINK("https://eurofarma-latam-crm.veevavault.com/#object/account__v/V4TZ000018NXKKX", "Lya Magalhães Pinto Pereira")</f>
        <v/>
      </c>
      <c r="C529" t="inlineStr">
        <is>
          <t>RJ0749982</t>
        </is>
      </c>
      <c r="D529" t="inlineStr">
        <is>
          <t>GER</t>
        </is>
      </c>
      <c r="E529" t="inlineStr">
        <is>
          <t>Avenida Oito de Maio, 534</t>
        </is>
      </c>
      <c r="F529" t="inlineStr">
        <is>
          <t>Centro</t>
        </is>
      </c>
      <c r="G529" t="inlineStr">
        <is>
          <t>Silva Jardim</t>
        </is>
      </c>
      <c r="H529" t="inlineStr">
        <is>
          <t>RJ</t>
        </is>
      </c>
      <c r="I529" t="n">
        <v>5152</v>
      </c>
      <c r="J529" t="inlineStr">
        <is>
          <t>CAT 3</t>
        </is>
      </c>
      <c r="K529" t="inlineStr">
        <is>
          <t>Sim</t>
        </is>
      </c>
    </row>
    <row r="530">
      <c r="A530" s="1">
        <f>HYPERLINK("https://eurofarma-latam-crm.veevavault.com/#object/account__v/V4TZ00001913PN7", "Maralisa Vieira")</f>
        <v/>
      </c>
      <c r="B530" s="1">
        <f>HYPERLINK("https://eurofarma-latam-crm.veevavault.com/#object/account__v/V4TZ00001913PN7", "Maralisa Ribeiro Vieira")</f>
        <v/>
      </c>
      <c r="C530" t="inlineStr">
        <is>
          <t>RJ1104225</t>
        </is>
      </c>
      <c r="D530" t="inlineStr">
        <is>
          <t>ORL</t>
        </is>
      </c>
      <c r="E530" t="inlineStr">
        <is>
          <t>Rua Major Félix Moreira, 359</t>
        </is>
      </c>
      <c r="F530" t="inlineStr">
        <is>
          <t>Centro</t>
        </is>
      </c>
      <c r="G530" t="inlineStr">
        <is>
          <t>Araruama</t>
        </is>
      </c>
      <c r="H530" t="inlineStr">
        <is>
          <t>RJ</t>
        </is>
      </c>
      <c r="I530" t="n">
        <v>5152</v>
      </c>
      <c r="J530" t="inlineStr">
        <is>
          <t>CAT 4</t>
        </is>
      </c>
      <c r="K530" t="inlineStr">
        <is>
          <t>Sim</t>
        </is>
      </c>
    </row>
    <row r="531">
      <c r="A531" s="1">
        <f>HYPERLINK("https://eurofarma-latam-crm.veevavault.com/#object/account__v/V4TZ025E83QOE3D", "Marcela Moura")</f>
        <v/>
      </c>
      <c r="B531" s="1">
        <f>HYPERLINK("https://eurofarma-latam-crm.veevavault.com/#object/account__v/V4TZ025E83QOE3D", "Marcela Mamede de Araújo Moura")</f>
        <v/>
      </c>
      <c r="C531" t="inlineStr">
        <is>
          <t>RJ1269976</t>
        </is>
      </c>
      <c r="D531" t="inlineStr">
        <is>
          <t>PED</t>
        </is>
      </c>
      <c r="E531" t="inlineStr">
        <is>
          <t>Rua Minas Gerais, S/N</t>
        </is>
      </c>
      <c r="F531" t="inlineStr">
        <is>
          <t>Brasilândia</t>
        </is>
      </c>
      <c r="G531" t="inlineStr">
        <is>
          <t>São Gonçalo</t>
        </is>
      </c>
      <c r="H531" t="inlineStr">
        <is>
          <t>RJ</t>
        </is>
      </c>
      <c r="I531" t="n">
        <v>5152</v>
      </c>
      <c r="J531" t="inlineStr">
        <is>
          <t>CAT 4</t>
        </is>
      </c>
      <c r="K531" t="inlineStr">
        <is>
          <t>Sim</t>
        </is>
      </c>
    </row>
    <row r="532">
      <c r="A532" s="1">
        <f>HYPERLINK("https://eurofarma-latam-crm.veevavault.com/#object/account__v/V4TZ04ASGNAGPB9", "Marcella Ferreira")</f>
        <v/>
      </c>
      <c r="B532" s="1">
        <f>HYPERLINK("https://eurofarma-latam-crm.veevavault.com/#object/account__v/V4TZ04ASGNAGPB9", "Marcella Musquim Ferreira")</f>
        <v/>
      </c>
      <c r="C532" t="inlineStr">
        <is>
          <t>RJ1383988</t>
        </is>
      </c>
      <c r="D532" t="inlineStr">
        <is>
          <t>PED</t>
        </is>
      </c>
      <c r="E532" t="inlineStr">
        <is>
          <t>Rua Pedro Luiz Souza, 108</t>
        </is>
      </c>
      <c r="F532" t="inlineStr">
        <is>
          <t>Centro</t>
        </is>
      </c>
      <c r="G532" t="inlineStr">
        <is>
          <t>Araruama</t>
        </is>
      </c>
      <c r="H532" t="inlineStr">
        <is>
          <t>RJ</t>
        </is>
      </c>
      <c r="I532" t="n">
        <v>5152</v>
      </c>
      <c r="J532" t="inlineStr"/>
      <c r="K532" t="inlineStr"/>
    </row>
    <row r="533">
      <c r="A533" s="1">
        <f>HYPERLINK("https://eurofarma-latam-crm.veevavault.com/#object/account__v/V4TZ00001913J1F", "Marcelo Braga")</f>
        <v/>
      </c>
      <c r="B533" s="1">
        <f>HYPERLINK("https://eurofarma-latam-crm.veevavault.com/#object/account__v/V4TZ00001913J1F", "Marcelo Medeiros Braga")</f>
        <v/>
      </c>
      <c r="C533" t="inlineStr">
        <is>
          <t>RJ0629618</t>
        </is>
      </c>
      <c r="D533" t="inlineStr">
        <is>
          <t>GAS</t>
        </is>
      </c>
      <c r="E533" t="inlineStr">
        <is>
          <t>Rua Bernardo Vasconcelos, 1020 - Loja 104 e 105</t>
        </is>
      </c>
      <c r="F533" t="inlineStr">
        <is>
          <t>Centro</t>
        </is>
      </c>
      <c r="G533" t="inlineStr">
        <is>
          <t>Araruama</t>
        </is>
      </c>
      <c r="H533" t="inlineStr">
        <is>
          <t>RJ</t>
        </is>
      </c>
      <c r="I533" t="n">
        <v>5152</v>
      </c>
      <c r="J533" t="inlineStr">
        <is>
          <t>CAT 5</t>
        </is>
      </c>
      <c r="K533" t="inlineStr">
        <is>
          <t>Sim</t>
        </is>
      </c>
    </row>
    <row r="534">
      <c r="A534" s="1">
        <f>HYPERLINK("https://eurofarma-latam-crm.veevavault.com/#object/account__v/V4TZ000018NY1CK", "Marcelo Lage")</f>
        <v/>
      </c>
      <c r="B534" s="1">
        <f>HYPERLINK("https://eurofarma-latam-crm.veevavault.com/#object/account__v/V4TZ000018NY1CK", "Marcelo Jorge Lage")</f>
        <v/>
      </c>
      <c r="C534" t="inlineStr">
        <is>
          <t>RJ0548386</t>
        </is>
      </c>
      <c r="D534" t="inlineStr">
        <is>
          <t>ORT</t>
        </is>
      </c>
      <c r="E534" t="inlineStr">
        <is>
          <t>Rua Cinco de Julho, 263</t>
        </is>
      </c>
      <c r="F534" t="inlineStr">
        <is>
          <t>Icaraí</t>
        </is>
      </c>
      <c r="G534" t="inlineStr">
        <is>
          <t>Niterói</t>
        </is>
      </c>
      <c r="H534" t="inlineStr">
        <is>
          <t>RJ</t>
        </is>
      </c>
      <c r="I534" t="n">
        <v>5152</v>
      </c>
      <c r="J534" t="inlineStr">
        <is>
          <t>CAT 2</t>
        </is>
      </c>
      <c r="K534" t="inlineStr">
        <is>
          <t>Sim</t>
        </is>
      </c>
    </row>
    <row r="535">
      <c r="A535" s="1">
        <f>HYPERLINK("https://eurofarma-latam-crm.veevavault.com/#object/account__v/V4TZ00001913JYU", "Marcelo Takizawa")</f>
        <v/>
      </c>
      <c r="B535" s="1">
        <f>HYPERLINK("https://eurofarma-latam-crm.veevavault.com/#object/account__v/V4TZ00001913JYU", "Marcelo Caname Hirata Takizawa")</f>
        <v/>
      </c>
      <c r="C535" t="inlineStr">
        <is>
          <t>PR0044457,RJ1224204</t>
        </is>
      </c>
      <c r="D535" t="inlineStr">
        <is>
          <t>PSQ</t>
        </is>
      </c>
      <c r="E535" t="inlineStr">
        <is>
          <t>Rua Major Félix Moreira, 297 - Sala 201</t>
        </is>
      </c>
      <c r="F535" t="inlineStr">
        <is>
          <t>Centro</t>
        </is>
      </c>
      <c r="G535" t="inlineStr">
        <is>
          <t>Araruama</t>
        </is>
      </c>
      <c r="H535" t="inlineStr">
        <is>
          <t>RJ</t>
        </is>
      </c>
      <c r="I535" t="n">
        <v>5152</v>
      </c>
      <c r="J535" t="inlineStr">
        <is>
          <t>CAT 1</t>
        </is>
      </c>
      <c r="K535" t="inlineStr">
        <is>
          <t>Sim</t>
        </is>
      </c>
    </row>
    <row r="536">
      <c r="A536" s="1">
        <f>HYPERLINK("https://eurofarma-latam-crm.veevavault.com/#object/account__v/V4TZ00001916HB2", "Marcio da Silva")</f>
        <v/>
      </c>
      <c r="B536" s="1">
        <f>HYPERLINK("https://eurofarma-latam-crm.veevavault.com/#object/account__v/V4TZ00001916HB2", "Marcio Cockrane da Silva")</f>
        <v/>
      </c>
      <c r="C536" t="inlineStr">
        <is>
          <t>RJ0813958</t>
        </is>
      </c>
      <c r="D536" t="inlineStr">
        <is>
          <t>ORT</t>
        </is>
      </c>
      <c r="E536" t="inlineStr">
        <is>
          <t>Rua La Sale, 12</t>
        </is>
      </c>
      <c r="F536" t="inlineStr">
        <is>
          <t>Centro</t>
        </is>
      </c>
      <c r="G536" t="inlineStr">
        <is>
          <t>Niterói</t>
        </is>
      </c>
      <c r="H536" t="inlineStr">
        <is>
          <t>RJ</t>
        </is>
      </c>
      <c r="I536" t="n">
        <v>5152</v>
      </c>
      <c r="J536" t="inlineStr">
        <is>
          <t>CAT 4</t>
        </is>
      </c>
      <c r="K536" t="inlineStr">
        <is>
          <t>Sim</t>
        </is>
      </c>
    </row>
    <row r="537">
      <c r="A537" s="1">
        <f>HYPERLINK("https://eurofarma-latam-crm.veevavault.com/#object/account__v/V4TZ00001913G37", "Marcio Neves")</f>
        <v/>
      </c>
      <c r="B537" s="1">
        <f>HYPERLINK("https://eurofarma-latam-crm.veevavault.com/#object/account__v/V4TZ00001913G37", "Marcio Ramos Neves")</f>
        <v/>
      </c>
      <c r="C537" t="inlineStr">
        <is>
          <t>RJ0883492</t>
        </is>
      </c>
      <c r="D537" t="inlineStr">
        <is>
          <t>CLG / SNC</t>
        </is>
      </c>
      <c r="E537" t="inlineStr">
        <is>
          <t>Rua Henrique Macedo Soares, 137 - Sala 202</t>
        </is>
      </c>
      <c r="F537" t="inlineStr">
        <is>
          <t>Centro</t>
        </is>
      </c>
      <c r="G537" t="inlineStr">
        <is>
          <t>Araruama</t>
        </is>
      </c>
      <c r="H537" t="inlineStr">
        <is>
          <t>RJ</t>
        </is>
      </c>
      <c r="I537" t="n">
        <v>5152</v>
      </c>
      <c r="J537" t="inlineStr">
        <is>
          <t>CAT 5</t>
        </is>
      </c>
      <c r="K537" t="inlineStr">
        <is>
          <t>Sim</t>
        </is>
      </c>
    </row>
    <row r="538">
      <c r="A538" s="1">
        <f>HYPERLINK("https://eurofarma-latam-crm.veevavault.com/#object/account__v/V4TZ0000191531Z", "Marco Lopes")</f>
        <v/>
      </c>
      <c r="B538" s="1">
        <f>HYPERLINK("https://eurofarma-latam-crm.veevavault.com/#object/account__v/V4TZ0000191531Z", "Marco Aurelio Vernieri Lopes")</f>
        <v/>
      </c>
      <c r="C538" t="inlineStr">
        <is>
          <t>RJ0482230</t>
        </is>
      </c>
      <c r="D538" t="inlineStr">
        <is>
          <t>URO</t>
        </is>
      </c>
      <c r="E538" t="inlineStr">
        <is>
          <t>Rua Beatriz Amaral Pereira, 15</t>
        </is>
      </c>
      <c r="F538" t="inlineStr">
        <is>
          <t>Bacaxá</t>
        </is>
      </c>
      <c r="G538" t="inlineStr">
        <is>
          <t>Saquarema</t>
        </is>
      </c>
      <c r="H538" t="inlineStr">
        <is>
          <t>RJ</t>
        </is>
      </c>
      <c r="I538" t="n">
        <v>5152</v>
      </c>
      <c r="J538" t="inlineStr">
        <is>
          <t>CAT 5</t>
        </is>
      </c>
      <c r="K538" t="inlineStr">
        <is>
          <t>N�o</t>
        </is>
      </c>
    </row>
    <row r="539">
      <c r="A539" s="1">
        <f>HYPERLINK("https://eurofarma-latam-crm.veevavault.com/#object/account__v/V4TZ000018NXKIN", "Marcos Aurelio Oliveira")</f>
        <v/>
      </c>
      <c r="B539" s="1">
        <f>HYPERLINK("https://eurofarma-latam-crm.veevavault.com/#object/account__v/V4TZ000018NXKIN", "Marcos Aurelio Baptista de Oliveira")</f>
        <v/>
      </c>
      <c r="C539" t="inlineStr">
        <is>
          <t>RJ0436320</t>
        </is>
      </c>
      <c r="D539" t="inlineStr">
        <is>
          <t>ORL</t>
        </is>
      </c>
      <c r="E539" t="inlineStr">
        <is>
          <t>Rua Gentil Mendonça, 29</t>
        </is>
      </c>
      <c r="F539" t="inlineStr">
        <is>
          <t>Bacaxá</t>
        </is>
      </c>
      <c r="G539" t="inlineStr">
        <is>
          <t>Saquarema</t>
        </is>
      </c>
      <c r="H539" t="inlineStr">
        <is>
          <t>RJ</t>
        </is>
      </c>
      <c r="I539" t="n">
        <v>5152</v>
      </c>
      <c r="J539" t="inlineStr">
        <is>
          <t>CAT 5</t>
        </is>
      </c>
      <c r="K539" t="inlineStr">
        <is>
          <t>Sim</t>
        </is>
      </c>
    </row>
    <row r="540">
      <c r="A540" s="1">
        <f>HYPERLINK("https://eurofarma-latam-crm.veevavault.com/#object/account__v/V4TZ025E87IKYKV", "Maria Carvalho")</f>
        <v/>
      </c>
      <c r="B540" s="1">
        <f>HYPERLINK("https://eurofarma-latam-crm.veevavault.com/#object/account__v/V4TZ025E87IKYKV", "Maria Letícia Moraes Rodrigues Carvalho")</f>
        <v/>
      </c>
      <c r="C540" t="inlineStr">
        <is>
          <t>RJ1253034</t>
        </is>
      </c>
      <c r="D540" t="inlineStr">
        <is>
          <t>PSQ</t>
        </is>
      </c>
      <c r="E540" t="inlineStr">
        <is>
          <t>Estrada Velha de Maricá, 51</t>
        </is>
      </c>
      <c r="F540" t="inlineStr">
        <is>
          <t>São José do Imbassaí</t>
        </is>
      </c>
      <c r="G540" t="inlineStr">
        <is>
          <t>Maricá</t>
        </is>
      </c>
      <c r="H540" t="inlineStr">
        <is>
          <t>RJ</t>
        </is>
      </c>
      <c r="I540" t="n">
        <v>5152</v>
      </c>
      <c r="J540" t="inlineStr">
        <is>
          <t>CAT 2</t>
        </is>
      </c>
      <c r="K540" t="inlineStr">
        <is>
          <t>Sim</t>
        </is>
      </c>
    </row>
    <row r="541">
      <c r="A541" s="1">
        <f>HYPERLINK("https://eurofarma-latam-crm.veevavault.com/#object/account__v/V4TZ025E87ENRPL", "Maria Ferraz")</f>
        <v/>
      </c>
      <c r="B541" s="1">
        <f>HYPERLINK("https://eurofarma-latam-crm.veevavault.com/#object/account__v/V4TZ025E87ENRPL", "Maria Cristina Salgado Ferraz")</f>
        <v/>
      </c>
      <c r="C541" t="inlineStr">
        <is>
          <t>RJ0462919</t>
        </is>
      </c>
      <c r="D541" t="inlineStr">
        <is>
          <t>CLG</t>
        </is>
      </c>
      <c r="E541" t="inlineStr">
        <is>
          <t>Rua João Do Carmo, 206</t>
        </is>
      </c>
      <c r="F541" t="inlineStr">
        <is>
          <t>Centro</t>
        </is>
      </c>
      <c r="G541" t="inlineStr">
        <is>
          <t>Rio Bonito</t>
        </is>
      </c>
      <c r="H541" t="inlineStr">
        <is>
          <t>RJ</t>
        </is>
      </c>
      <c r="I541" t="n">
        <v>5152</v>
      </c>
      <c r="J541" t="inlineStr">
        <is>
          <t>CAT 4</t>
        </is>
      </c>
      <c r="K541" t="inlineStr">
        <is>
          <t>Sim</t>
        </is>
      </c>
    </row>
    <row r="542">
      <c r="A542" s="1">
        <f>HYPERLINK("https://eurofarma-latam-crm.veevavault.com/#object/account__v/V4TZ00001913LGO", "Maria Maders")</f>
        <v/>
      </c>
      <c r="B542" s="1">
        <f>HYPERLINK("https://eurofarma-latam-crm.veevavault.com/#object/account__v/V4TZ00001913LGO", "Maria Dejany da Silva Rodríguez Maders")</f>
        <v/>
      </c>
      <c r="C542" t="inlineStr">
        <is>
          <t>RJ0769274</t>
        </is>
      </c>
      <c r="D542" t="inlineStr">
        <is>
          <t>CLG / PA</t>
        </is>
      </c>
      <c r="E542" t="inlineStr">
        <is>
          <t>Avenida Nilo Peçanha, 835</t>
        </is>
      </c>
      <c r="F542" t="inlineStr">
        <is>
          <t>Centro</t>
        </is>
      </c>
      <c r="G542" t="inlineStr">
        <is>
          <t>Araruama</t>
        </is>
      </c>
      <c r="H542" t="inlineStr">
        <is>
          <t>RJ</t>
        </is>
      </c>
      <c r="I542" t="n">
        <v>5152</v>
      </c>
      <c r="J542" t="inlineStr">
        <is>
          <t>CAT 3</t>
        </is>
      </c>
      <c r="K542" t="inlineStr">
        <is>
          <t>Sim</t>
        </is>
      </c>
    </row>
    <row r="543">
      <c r="A543" s="1">
        <f>HYPERLINK("https://eurofarma-latam-crm.veevavault.com/#object/account__v/V4TZ00001915ZJQ", "Maria Martins")</f>
        <v/>
      </c>
      <c r="B543" s="1">
        <f>HYPERLINK("https://eurofarma-latam-crm.veevavault.com/#object/account__v/V4TZ00001915ZJQ", "Maria das Graças Quarterolli Martins")</f>
        <v/>
      </c>
      <c r="C543" t="inlineStr">
        <is>
          <t>RJ0459780</t>
        </is>
      </c>
      <c r="D543" t="inlineStr">
        <is>
          <t>ORL</t>
        </is>
      </c>
      <c r="E543" t="inlineStr">
        <is>
          <t>Rua Pedro Luiz Souza, 108</t>
        </is>
      </c>
      <c r="F543" t="inlineStr">
        <is>
          <t>Centro</t>
        </is>
      </c>
      <c r="G543" t="inlineStr">
        <is>
          <t>Araruama</t>
        </is>
      </c>
      <c r="H543" t="inlineStr">
        <is>
          <t>RJ</t>
        </is>
      </c>
      <c r="I543" t="n">
        <v>5152</v>
      </c>
      <c r="J543" t="inlineStr">
        <is>
          <t>CAT 5</t>
        </is>
      </c>
      <c r="K543" t="inlineStr">
        <is>
          <t>N�o</t>
        </is>
      </c>
    </row>
    <row r="544">
      <c r="A544" s="1">
        <f>HYPERLINK("https://eurofarma-latam-crm.veevavault.com/#object/account__v/V4TZ00001915U9O", "Maria Pazza")</f>
        <v/>
      </c>
      <c r="B544" s="1">
        <f>HYPERLINK("https://eurofarma-latam-crm.veevavault.com/#object/account__v/V4TZ00001915U9O", "Maria Cristina dos Santos Pazza")</f>
        <v/>
      </c>
      <c r="C544" t="inlineStr">
        <is>
          <t>RJ0850691</t>
        </is>
      </c>
      <c r="D544" t="inlineStr">
        <is>
          <t>PED</t>
        </is>
      </c>
      <c r="E544" t="inlineStr">
        <is>
          <t>Rodovia Washington Luiz, S/N - BR 040 Km 109</t>
        </is>
      </c>
      <c r="F544" t="inlineStr">
        <is>
          <t>Vila Actura</t>
        </is>
      </c>
      <c r="G544" t="inlineStr">
        <is>
          <t>Duque de Caxias</t>
        </is>
      </c>
      <c r="H544" t="inlineStr">
        <is>
          <t>RJ</t>
        </is>
      </c>
      <c r="I544" t="n">
        <v>5152</v>
      </c>
      <c r="J544" t="inlineStr">
        <is>
          <t>CAT 4</t>
        </is>
      </c>
      <c r="K544" t="inlineStr">
        <is>
          <t>Sim</t>
        </is>
      </c>
    </row>
    <row r="545">
      <c r="A545" s="1">
        <f>HYPERLINK("https://eurofarma-latam-crm.veevavault.com/#object/account__v/V4TZ00001914YZ1", "Mariana Ferreira")</f>
        <v/>
      </c>
      <c r="B545" s="1">
        <f>HYPERLINK("https://eurofarma-latam-crm.veevavault.com/#object/account__v/V4TZ00001914YZ1", "Mariana Demier de Carvalho Ferreira")</f>
        <v/>
      </c>
      <c r="C545" t="inlineStr">
        <is>
          <t>RJ1269828</t>
        </is>
      </c>
      <c r="D545" t="inlineStr">
        <is>
          <t>PED</t>
        </is>
      </c>
      <c r="E545" t="inlineStr">
        <is>
          <t>Avenida Martinho Almeida, 222 - Anexo 1</t>
        </is>
      </c>
      <c r="F545" t="inlineStr">
        <is>
          <t>Mangueirinha</t>
        </is>
      </c>
      <c r="G545" t="inlineStr">
        <is>
          <t>Rio Bonito</t>
        </is>
      </c>
      <c r="H545" t="inlineStr">
        <is>
          <t>RJ</t>
        </is>
      </c>
      <c r="I545" t="n">
        <v>5152</v>
      </c>
      <c r="J545" t="inlineStr">
        <is>
          <t>CAT 5</t>
        </is>
      </c>
      <c r="K545" t="inlineStr">
        <is>
          <t>Sim</t>
        </is>
      </c>
    </row>
    <row r="546">
      <c r="A546" s="1">
        <f>HYPERLINK("https://eurofarma-latam-crm.veevavault.com/#object/account__v/V4TZ025E87UM3PL", "Mariana Juliano")</f>
        <v/>
      </c>
      <c r="B546" s="1">
        <f>HYPERLINK("https://eurofarma-latam-crm.veevavault.com/#object/account__v/V4TZ025E87UM3PL", "Mariana Salgado Marchon Juliano")</f>
        <v/>
      </c>
      <c r="C546" t="inlineStr">
        <is>
          <t>RJ1127101</t>
        </is>
      </c>
      <c r="D546" t="inlineStr">
        <is>
          <t>PED</t>
        </is>
      </c>
      <c r="E546" t="inlineStr">
        <is>
          <t>Avenida Brasil, 141</t>
        </is>
      </c>
      <c r="F546" t="inlineStr">
        <is>
          <t>Centro</t>
        </is>
      </c>
      <c r="G546" t="inlineStr">
        <is>
          <t>Araruama</t>
        </is>
      </c>
      <c r="H546" t="inlineStr">
        <is>
          <t>RJ</t>
        </is>
      </c>
      <c r="I546" t="n">
        <v>5152</v>
      </c>
      <c r="J546" t="inlineStr">
        <is>
          <t>CAT 5</t>
        </is>
      </c>
      <c r="K546" t="inlineStr">
        <is>
          <t>N�o</t>
        </is>
      </c>
    </row>
    <row r="547">
      <c r="A547" s="1">
        <f>HYPERLINK("https://eurofarma-latam-crm.veevavault.com/#object/account__v/V4TZ000018NY8R9", "Marianna Rocha")</f>
        <v/>
      </c>
      <c r="B547" s="1">
        <f>HYPERLINK("https://eurofarma-latam-crm.veevavault.com/#object/account__v/V4TZ000018NY8R9", "Marianna Daher Rocha")</f>
        <v/>
      </c>
      <c r="C547" t="inlineStr">
        <is>
          <t>RJ0813982</t>
        </is>
      </c>
      <c r="D547" t="inlineStr">
        <is>
          <t>CLG / END</t>
        </is>
      </c>
      <c r="E547" t="inlineStr">
        <is>
          <t>Rua Governador Valadares, 22</t>
        </is>
      </c>
      <c r="F547" t="inlineStr">
        <is>
          <t>São Cristóvão</t>
        </is>
      </c>
      <c r="G547" t="inlineStr">
        <is>
          <t>Cabo Frio</t>
        </is>
      </c>
      <c r="H547" t="inlineStr">
        <is>
          <t>RJ</t>
        </is>
      </c>
      <c r="I547" t="n">
        <v>5152</v>
      </c>
      <c r="J547" t="inlineStr">
        <is>
          <t>CAT 5</t>
        </is>
      </c>
      <c r="K547" t="inlineStr">
        <is>
          <t>Sim</t>
        </is>
      </c>
    </row>
    <row r="548">
      <c r="A548" s="1">
        <f>HYPERLINK("https://eurofarma-latam-crm.veevavault.com/#object/account__v/V4TZ000018NXN4S", "Matheus Medeiros")</f>
        <v/>
      </c>
      <c r="B548" s="1">
        <f>HYPERLINK("https://eurofarma-latam-crm.veevavault.com/#object/account__v/V4TZ000018NXN4S", "Matheus de Campos Medeiros")</f>
        <v/>
      </c>
      <c r="C548" t="inlineStr">
        <is>
          <t>RJ0949604,SP0179899</t>
        </is>
      </c>
      <c r="D548" t="inlineStr">
        <is>
          <t>NEU</t>
        </is>
      </c>
      <c r="E548" t="inlineStr">
        <is>
          <t>Avenida Oito de Maio, 534</t>
        </is>
      </c>
      <c r="F548" t="inlineStr">
        <is>
          <t>Centro</t>
        </is>
      </c>
      <c r="G548" t="inlineStr">
        <is>
          <t>Silva Jardim</t>
        </is>
      </c>
      <c r="H548" t="inlineStr">
        <is>
          <t>RJ</t>
        </is>
      </c>
      <c r="I548" t="n">
        <v>5152</v>
      </c>
      <c r="J548" t="inlineStr">
        <is>
          <t>CAT 1</t>
        </is>
      </c>
      <c r="K548" t="inlineStr">
        <is>
          <t>Sim</t>
        </is>
      </c>
    </row>
    <row r="549">
      <c r="A549" s="1">
        <f>HYPERLINK("https://eurofarma-latam-crm.veevavault.com/#object/account__v/V4TZ000019YEOQK", "Maysa Teixeira")</f>
        <v/>
      </c>
      <c r="B549" s="1">
        <f>HYPERLINK("https://eurofarma-latam-crm.veevavault.com/#object/account__v/V4TZ000019YEOQK", "Maysa Silva Teixeira")</f>
        <v/>
      </c>
      <c r="C549" t="inlineStr">
        <is>
          <t>RJ1106813</t>
        </is>
      </c>
      <c r="D549" t="inlineStr">
        <is>
          <t>PED</t>
        </is>
      </c>
      <c r="E549" t="inlineStr">
        <is>
          <t>Rua Major Félix Moreira, 267</t>
        </is>
      </c>
      <c r="F549" t="inlineStr">
        <is>
          <t>Centro</t>
        </is>
      </c>
      <c r="G549" t="inlineStr">
        <is>
          <t>Araruama</t>
        </is>
      </c>
      <c r="H549" t="inlineStr">
        <is>
          <t>RJ</t>
        </is>
      </c>
      <c r="I549" t="n">
        <v>5152</v>
      </c>
      <c r="J549" t="inlineStr">
        <is>
          <t>CAT 5</t>
        </is>
      </c>
      <c r="K549" t="inlineStr">
        <is>
          <t>Sim</t>
        </is>
      </c>
    </row>
    <row r="550">
      <c r="A550" s="1">
        <f>HYPERLINK("https://eurofarma-latam-crm.veevavault.com/#object/account__v/V4TZ000018NYZUN", "Mendali Tatagiba")</f>
        <v/>
      </c>
      <c r="B550" s="1">
        <f>HYPERLINK("https://eurofarma-latam-crm.veevavault.com/#object/account__v/V4TZ000018NYZUN", "Mendali Mariani de A. Moussallem Tatagiba")</f>
        <v/>
      </c>
      <c r="C550" t="inlineStr">
        <is>
          <t>PA0007493,RJ0744689</t>
        </is>
      </c>
      <c r="D550" t="inlineStr">
        <is>
          <t>PSQ</t>
        </is>
      </c>
      <c r="E550" t="inlineStr">
        <is>
          <t>Estrada De Jacunda, S/N</t>
        </is>
      </c>
      <c r="F550" t="inlineStr">
        <is>
          <t>Jacunda</t>
        </is>
      </c>
      <c r="G550" t="inlineStr">
        <is>
          <t>Rio Bonito</t>
        </is>
      </c>
      <c r="H550" t="inlineStr">
        <is>
          <t>RJ</t>
        </is>
      </c>
      <c r="I550" t="n">
        <v>5152</v>
      </c>
      <c r="J550" t="inlineStr">
        <is>
          <t>CAT 1</t>
        </is>
      </c>
      <c r="K550" t="inlineStr">
        <is>
          <t>Sim</t>
        </is>
      </c>
    </row>
    <row r="551">
      <c r="A551" s="1">
        <f>HYPERLINK("https://eurofarma-latam-crm.veevavault.com/#object/account__v/V4TZ00001912X8X", "Monique de Oliveira")</f>
        <v/>
      </c>
      <c r="B551" s="1">
        <f>HYPERLINK("https://eurofarma-latam-crm.veevavault.com/#object/account__v/V4TZ00001912X8X", "Monique Sousa de Oliveira")</f>
        <v/>
      </c>
      <c r="C551" t="inlineStr">
        <is>
          <t>RJ0640921,SP0181099</t>
        </is>
      </c>
      <c r="D551" t="inlineStr">
        <is>
          <t>PED</t>
        </is>
      </c>
      <c r="E551" t="inlineStr">
        <is>
          <t>Avenida Doutor Roberto Silveira, S/N</t>
        </is>
      </c>
      <c r="F551" t="inlineStr">
        <is>
          <t>Agostinho Porto</t>
        </is>
      </c>
      <c r="G551" t="inlineStr">
        <is>
          <t>São João de Meriti</t>
        </is>
      </c>
      <c r="H551" t="inlineStr">
        <is>
          <t>RJ</t>
        </is>
      </c>
      <c r="I551" t="n">
        <v>5152</v>
      </c>
      <c r="J551" t="inlineStr">
        <is>
          <t>CAT 5</t>
        </is>
      </c>
      <c r="K551" t="inlineStr">
        <is>
          <t>Sim</t>
        </is>
      </c>
    </row>
    <row r="552">
      <c r="A552" s="1">
        <f>HYPERLINK("https://eurofarma-latam-crm.veevavault.com/#object/account__v/V4TZ000019161GE", "Murilo Villela")</f>
        <v/>
      </c>
      <c r="B552" s="1">
        <f>HYPERLINK("https://eurofarma-latam-crm.veevavault.com/#object/account__v/V4TZ000019161GE", "Murilo Augusto Fortuna Villela")</f>
        <v/>
      </c>
      <c r="C552" t="inlineStr">
        <is>
          <t>RJ1242210</t>
        </is>
      </c>
      <c r="D552" t="inlineStr">
        <is>
          <t>CLG / PA</t>
        </is>
      </c>
      <c r="E552" t="inlineStr">
        <is>
          <t>Rodovia Washington Luiz, S/N - BR 040 Km 109</t>
        </is>
      </c>
      <c r="F552" t="inlineStr">
        <is>
          <t>Vila Actura</t>
        </is>
      </c>
      <c r="G552" t="inlineStr">
        <is>
          <t>Duque de Caxias</t>
        </is>
      </c>
      <c r="H552" t="inlineStr">
        <is>
          <t>RJ</t>
        </is>
      </c>
      <c r="I552" t="n">
        <v>5152</v>
      </c>
      <c r="J552" t="inlineStr">
        <is>
          <t>CAT 5</t>
        </is>
      </c>
      <c r="K552" t="inlineStr">
        <is>
          <t>N�o</t>
        </is>
      </c>
    </row>
    <row r="553">
      <c r="A553" s="1">
        <f>HYPERLINK("https://eurofarma-latam-crm.veevavault.com/#object/account__v/V4TZ00001914989", "Nadia Costa")</f>
        <v/>
      </c>
      <c r="B553" s="1">
        <f>HYPERLINK("https://eurofarma-latam-crm.veevavault.com/#object/account__v/V4TZ00001914989", "Nadia Vanea da Costa")</f>
        <v/>
      </c>
      <c r="C553" t="inlineStr">
        <is>
          <t>RJ0445418</t>
        </is>
      </c>
      <c r="D553" t="inlineStr">
        <is>
          <t>CLG / PA</t>
        </is>
      </c>
      <c r="E553" t="inlineStr">
        <is>
          <t>Rua Vigário Correa, 1345</t>
        </is>
      </c>
      <c r="F553" t="inlineStr">
        <is>
          <t>Corrêas</t>
        </is>
      </c>
      <c r="G553" t="inlineStr">
        <is>
          <t>Petrópolis</t>
        </is>
      </c>
      <c r="H553" t="inlineStr">
        <is>
          <t>RJ</t>
        </is>
      </c>
      <c r="I553" t="n">
        <v>5152</v>
      </c>
      <c r="J553" t="inlineStr">
        <is>
          <t>CAT 5</t>
        </is>
      </c>
      <c r="K553" t="inlineStr">
        <is>
          <t>N�o</t>
        </is>
      </c>
    </row>
    <row r="554">
      <c r="A554" s="1">
        <f>HYPERLINK("https://eurofarma-latam-crm.veevavault.com/#object/account__v/V4TZ000018NZ5A6", "Natália Maria Soares")</f>
        <v/>
      </c>
      <c r="B554" s="1">
        <f>HYPERLINK("https://eurofarma-latam-crm.veevavault.com/#object/account__v/V4TZ000018NZ5A6", "Natália Maria de Oliveira Ferreira Soares")</f>
        <v/>
      </c>
      <c r="C554" t="inlineStr">
        <is>
          <t>RJ1231340</t>
        </is>
      </c>
      <c r="D554" t="inlineStr">
        <is>
          <t>PED</t>
        </is>
      </c>
      <c r="E554" t="inlineStr">
        <is>
          <t>Rua Bispo Lacerda, 19</t>
        </is>
      </c>
      <c r="F554" t="inlineStr">
        <is>
          <t>Del Castilho</t>
        </is>
      </c>
      <c r="G554" t="inlineStr">
        <is>
          <t>Rio de Janeiro</t>
        </is>
      </c>
      <c r="H554" t="inlineStr">
        <is>
          <t>RJ</t>
        </is>
      </c>
      <c r="I554" t="n">
        <v>5152</v>
      </c>
      <c r="J554" t="inlineStr">
        <is>
          <t>CAT 4</t>
        </is>
      </c>
      <c r="K554" t="inlineStr">
        <is>
          <t>Sim</t>
        </is>
      </c>
    </row>
    <row r="555">
      <c r="A555" s="1">
        <f>HYPERLINK("https://eurofarma-latam-crm.veevavault.com/#object/account__v/V4TZ000018NYR4C", "Natalia Silva")</f>
        <v/>
      </c>
      <c r="B555" s="1">
        <f>HYPERLINK("https://eurofarma-latam-crm.veevavault.com/#object/account__v/V4TZ000018NYR4C", "Natalia Cardoso da Silva")</f>
        <v/>
      </c>
      <c r="C555" t="inlineStr">
        <is>
          <t>RJ0989460</t>
        </is>
      </c>
      <c r="D555" t="inlineStr">
        <is>
          <t>PSQ</t>
        </is>
      </c>
      <c r="E555" t="inlineStr">
        <is>
          <t>Rua Bernardo Vasconcelos, 1020 - Loja 104 e 105</t>
        </is>
      </c>
      <c r="F555" t="inlineStr">
        <is>
          <t>Centro</t>
        </is>
      </c>
      <c r="G555" t="inlineStr">
        <is>
          <t>Araruama</t>
        </is>
      </c>
      <c r="H555" t="inlineStr">
        <is>
          <t>RJ</t>
        </is>
      </c>
      <c r="I555" t="n">
        <v>5152</v>
      </c>
      <c r="J555" t="inlineStr">
        <is>
          <t>CAT 1</t>
        </is>
      </c>
      <c r="K555" t="inlineStr">
        <is>
          <t>Sim</t>
        </is>
      </c>
    </row>
    <row r="556">
      <c r="A556" s="1">
        <f>HYPERLINK("https://eurofarma-latam-crm.veevavault.com/#object/account__v/V4TZ000018NY672", "Nataly de Castro")</f>
        <v/>
      </c>
      <c r="B556" s="1">
        <f>HYPERLINK("https://eurofarma-latam-crm.veevavault.com/#object/account__v/V4TZ000018NY672", "Nataly Maduro de Castro")</f>
        <v/>
      </c>
      <c r="C556" t="inlineStr">
        <is>
          <t>RJ1066781</t>
        </is>
      </c>
      <c r="D556" t="inlineStr">
        <is>
          <t>CLG / PA</t>
        </is>
      </c>
      <c r="E556" t="inlineStr">
        <is>
          <t>Avenida Ubirajara, 25</t>
        </is>
      </c>
      <c r="F556" t="inlineStr">
        <is>
          <t>Irajá</t>
        </is>
      </c>
      <c r="G556" t="inlineStr">
        <is>
          <t>Rio de Janeiro</t>
        </is>
      </c>
      <c r="H556" t="inlineStr">
        <is>
          <t>RJ</t>
        </is>
      </c>
      <c r="I556" t="n">
        <v>5152</v>
      </c>
      <c r="J556" t="inlineStr">
        <is>
          <t>CAT 4</t>
        </is>
      </c>
      <c r="K556" t="inlineStr">
        <is>
          <t>Sim</t>
        </is>
      </c>
    </row>
    <row r="557">
      <c r="A557" s="1">
        <f>HYPERLINK("https://eurofarma-latam-crm.veevavault.com/#object/account__v/V4TZ000019137L0", "Nathalia Barrozo")</f>
        <v/>
      </c>
      <c r="B557" s="1">
        <f>HYPERLINK("https://eurofarma-latam-crm.veevavault.com/#object/account__v/V4TZ000019137L0", "Nathalia de Oliveira Barrozo")</f>
        <v/>
      </c>
      <c r="C557" t="inlineStr">
        <is>
          <t>RJ0978574</t>
        </is>
      </c>
      <c r="D557" t="inlineStr">
        <is>
          <t>CLG / SNC</t>
        </is>
      </c>
      <c r="E557" t="inlineStr">
        <is>
          <t>Rua Baster Pillar, S/N</t>
        </is>
      </c>
      <c r="F557" t="inlineStr">
        <is>
          <t>Parque Hotel</t>
        </is>
      </c>
      <c r="G557" t="inlineStr">
        <is>
          <t>Araruama</t>
        </is>
      </c>
      <c r="H557" t="inlineStr">
        <is>
          <t>RJ</t>
        </is>
      </c>
      <c r="I557" t="n">
        <v>5152</v>
      </c>
      <c r="J557" t="inlineStr">
        <is>
          <t>CAT 3</t>
        </is>
      </c>
      <c r="K557" t="inlineStr">
        <is>
          <t>Sim</t>
        </is>
      </c>
    </row>
    <row r="558">
      <c r="A558" s="1">
        <f>HYPERLINK("https://eurofarma-latam-crm.veevavault.com/#object/account__v/V4TZ00001915NZH", "Nelson Braga")</f>
        <v/>
      </c>
      <c r="B558" s="1">
        <f>HYPERLINK("https://eurofarma-latam-crm.veevavault.com/#object/account__v/V4TZ00001915NZH", "Nelson Luiz Velasco Braga")</f>
        <v/>
      </c>
      <c r="C558" t="inlineStr">
        <is>
          <t>RJ0562908</t>
        </is>
      </c>
      <c r="D558" t="inlineStr">
        <is>
          <t>CLG / END</t>
        </is>
      </c>
      <c r="E558" t="inlineStr">
        <is>
          <t>Avenida Martinho Almeida, 222</t>
        </is>
      </c>
      <c r="F558" t="inlineStr">
        <is>
          <t>Mangueirinha</t>
        </is>
      </c>
      <c r="G558" t="inlineStr">
        <is>
          <t>Rio Bonito</t>
        </is>
      </c>
      <c r="H558" t="inlineStr">
        <is>
          <t>RJ</t>
        </is>
      </c>
      <c r="I558" t="n">
        <v>5152</v>
      </c>
      <c r="J558" t="inlineStr">
        <is>
          <t>CAT 4</t>
        </is>
      </c>
      <c r="K558" t="inlineStr">
        <is>
          <t>Sim</t>
        </is>
      </c>
    </row>
    <row r="559">
      <c r="A559" s="1">
        <f>HYPERLINK("https://eurofarma-latam-crm.veevavault.com/#object/account__v/V4TZ00001915MQX", "Nelson Neves")</f>
        <v/>
      </c>
      <c r="B559" s="1">
        <f>HYPERLINK("https://eurofarma-latam-crm.veevavault.com/#object/account__v/V4TZ00001915MQX", "Nelson Costa Neves")</f>
        <v/>
      </c>
      <c r="C559" t="inlineStr">
        <is>
          <t>RJ0328750</t>
        </is>
      </c>
      <c r="D559" t="inlineStr">
        <is>
          <t>CLG / END</t>
        </is>
      </c>
      <c r="E559" t="inlineStr">
        <is>
          <t>Rua São Pedro, S/N</t>
        </is>
      </c>
      <c r="F559" t="inlineStr">
        <is>
          <t>Três Vendas</t>
        </is>
      </c>
      <c r="G559" t="inlineStr">
        <is>
          <t>Araruama</t>
        </is>
      </c>
      <c r="H559" t="inlineStr">
        <is>
          <t>RJ</t>
        </is>
      </c>
      <c r="I559" t="n">
        <v>5152</v>
      </c>
      <c r="J559" t="inlineStr">
        <is>
          <t>CAT 3</t>
        </is>
      </c>
      <c r="K559" t="inlineStr">
        <is>
          <t>Sim</t>
        </is>
      </c>
    </row>
    <row r="560">
      <c r="A560" s="1">
        <f>HYPERLINK("https://eurofarma-latam-crm.veevavault.com/#object/account__v/V4TZ000018NYQSH", "Nelson Pereira")</f>
        <v/>
      </c>
      <c r="B560" s="1">
        <f>HYPERLINK("https://eurofarma-latam-crm.veevavault.com/#object/account__v/V4TZ000018NYQSH", "Nelson Pessione Pereira")</f>
        <v/>
      </c>
      <c r="C560" t="inlineStr">
        <is>
          <t>RJ0514909</t>
        </is>
      </c>
      <c r="D560" t="inlineStr">
        <is>
          <t>CLG / PA</t>
        </is>
      </c>
      <c r="E560" t="inlineStr">
        <is>
          <t>Rua Doutor João Florêncio Sobrinho, S/N</t>
        </is>
      </c>
      <c r="F560" t="inlineStr">
        <is>
          <t>Centro (São Vicente)</t>
        </is>
      </c>
      <c r="G560" t="inlineStr">
        <is>
          <t>Araruama</t>
        </is>
      </c>
      <c r="H560" t="inlineStr">
        <is>
          <t>RJ</t>
        </is>
      </c>
      <c r="I560" t="n">
        <v>5152</v>
      </c>
      <c r="J560" t="inlineStr">
        <is>
          <t>CAT 5</t>
        </is>
      </c>
      <c r="K560" t="inlineStr">
        <is>
          <t>N�o</t>
        </is>
      </c>
    </row>
    <row r="561">
      <c r="A561" s="1">
        <f>HYPERLINK("https://eurofarma-latam-crm.veevavault.com/#object/account__v/V4TZ00001913TUN", "Newton Valladão")</f>
        <v/>
      </c>
      <c r="B561" s="1">
        <f>HYPERLINK("https://eurofarma-latam-crm.veevavault.com/#object/account__v/V4TZ00001913TUN", "Newton Oliveira Valladão")</f>
        <v/>
      </c>
      <c r="C561" t="inlineStr">
        <is>
          <t>RJ0501396</t>
        </is>
      </c>
      <c r="D561" t="inlineStr">
        <is>
          <t>ORT</t>
        </is>
      </c>
      <c r="E561" t="inlineStr">
        <is>
          <t>Avenida Getúlio Vargas, 1304 - Salas 106 e 107</t>
        </is>
      </c>
      <c r="F561" t="inlineStr">
        <is>
          <t>Centro</t>
        </is>
      </c>
      <c r="G561" t="inlineStr">
        <is>
          <t>Araruama</t>
        </is>
      </c>
      <c r="H561" t="inlineStr">
        <is>
          <t>RJ</t>
        </is>
      </c>
      <c r="I561" t="n">
        <v>5152</v>
      </c>
      <c r="J561" t="inlineStr">
        <is>
          <t>CAT 5</t>
        </is>
      </c>
      <c r="K561" t="inlineStr">
        <is>
          <t>Sim</t>
        </is>
      </c>
    </row>
    <row r="562">
      <c r="A562" s="1">
        <f>HYPERLINK("https://eurofarma-latam-crm.veevavault.com/#object/account__v/V4TZ0000191396P", "Nina Oliveira")</f>
        <v/>
      </c>
      <c r="B562" s="1">
        <f>HYPERLINK("https://eurofarma-latam-crm.veevavault.com/#object/account__v/V4TZ0000191396P", "Nina Fernandes Caratiero de Oliveira")</f>
        <v/>
      </c>
      <c r="C562" t="inlineStr">
        <is>
          <t>RJ0708445</t>
        </is>
      </c>
      <c r="D562" t="inlineStr">
        <is>
          <t>PED</t>
        </is>
      </c>
      <c r="E562" t="inlineStr">
        <is>
          <t>Rua Capitão Jorge Soares, S/N</t>
        </is>
      </c>
      <c r="F562" t="inlineStr">
        <is>
          <t>Estação</t>
        </is>
      </c>
      <c r="G562" t="inlineStr">
        <is>
          <t>Iguaba Grande</t>
        </is>
      </c>
      <c r="H562" t="inlineStr">
        <is>
          <t>RJ</t>
        </is>
      </c>
      <c r="I562" t="n">
        <v>5152</v>
      </c>
      <c r="J562" t="inlineStr">
        <is>
          <t>CAT 5</t>
        </is>
      </c>
      <c r="K562" t="inlineStr">
        <is>
          <t>Sim</t>
        </is>
      </c>
    </row>
    <row r="563">
      <c r="A563" s="1">
        <f>HYPERLINK("https://eurofarma-latam-crm.veevavault.com/#object/account__v/V4TZ000018NZA9C", "Octávio Varella")</f>
        <v/>
      </c>
      <c r="B563" s="1">
        <f>HYPERLINK("https://eurofarma-latam-crm.veevavault.com/#object/account__v/V4TZ000018NZA9C", "Octávio Neves Varella")</f>
        <v/>
      </c>
      <c r="C563" t="inlineStr">
        <is>
          <t>RJ0953555</t>
        </is>
      </c>
      <c r="D563" t="inlineStr">
        <is>
          <t>GAS</t>
        </is>
      </c>
      <c r="E563" t="inlineStr">
        <is>
          <t>Rua Prefeito Waldir da Silva Lobo, 2</t>
        </is>
      </c>
      <c r="F563" t="inlineStr">
        <is>
          <t>Morro do Milagre</t>
        </is>
      </c>
      <c r="G563" t="inlineStr">
        <is>
          <t>São Pedro da Aldeia</t>
        </is>
      </c>
      <c r="H563" t="inlineStr">
        <is>
          <t>RJ</t>
        </is>
      </c>
      <c r="I563" t="n">
        <v>5152</v>
      </c>
      <c r="J563" t="inlineStr">
        <is>
          <t>CAT 4</t>
        </is>
      </c>
      <c r="K563" t="inlineStr">
        <is>
          <t>Sim</t>
        </is>
      </c>
    </row>
    <row r="564">
      <c r="A564" s="1">
        <f>HYPERLINK("https://eurofarma-latam-crm.veevavault.com/#object/account__v/V4TZ00001913URX", "Oscar Ribeiro")</f>
        <v/>
      </c>
      <c r="B564" s="1">
        <f>HYPERLINK("https://eurofarma-latam-crm.veevavault.com/#object/account__v/V4TZ00001913URX", "Oscar Guimarães Ribeiro")</f>
        <v/>
      </c>
      <c r="C564" t="inlineStr">
        <is>
          <t>RJ0608789</t>
        </is>
      </c>
      <c r="D564" t="inlineStr">
        <is>
          <t>CLG / END</t>
        </is>
      </c>
      <c r="E564" t="inlineStr">
        <is>
          <t>Rua Doutor João Vasconcelos, 154</t>
        </is>
      </c>
      <c r="F564" t="inlineStr">
        <is>
          <t>Bananeiras (Iguabinha)</t>
        </is>
      </c>
      <c r="G564" t="inlineStr">
        <is>
          <t>Araruama</t>
        </is>
      </c>
      <c r="H564" t="inlineStr">
        <is>
          <t>RJ</t>
        </is>
      </c>
      <c r="I564" t="n">
        <v>5152</v>
      </c>
      <c r="J564" t="inlineStr">
        <is>
          <t>CAT 5</t>
        </is>
      </c>
      <c r="K564" t="inlineStr">
        <is>
          <t>N�o</t>
        </is>
      </c>
    </row>
    <row r="565">
      <c r="A565" s="1">
        <f>HYPERLINK("https://eurofarma-latam-crm.veevavault.com/#object/account__v/V4TZ025E8BD6I6W", "Patricia Pires")</f>
        <v/>
      </c>
      <c r="B565" s="1">
        <f>HYPERLINK("https://eurofarma-latam-crm.veevavault.com/#object/account__v/V4TZ025E8BD6I6W", "Patricia Anacleto Pires")</f>
        <v/>
      </c>
      <c r="C565" t="inlineStr">
        <is>
          <t>RJ1335375</t>
        </is>
      </c>
      <c r="D565" t="inlineStr">
        <is>
          <t>PED</t>
        </is>
      </c>
      <c r="E565" t="inlineStr">
        <is>
          <t>Rua Adolfo Bravo, S/N</t>
        </is>
      </c>
      <c r="F565" t="inlineStr">
        <is>
          <t>Bacaxá (Bacaxá)</t>
        </is>
      </c>
      <c r="G565" t="inlineStr">
        <is>
          <t>Saquarema</t>
        </is>
      </c>
      <c r="H565" t="inlineStr">
        <is>
          <t>RJ</t>
        </is>
      </c>
      <c r="I565" t="n">
        <v>5152</v>
      </c>
      <c r="J565" t="inlineStr">
        <is>
          <t>CAT 4</t>
        </is>
      </c>
      <c r="K565" t="inlineStr">
        <is>
          <t>Sim</t>
        </is>
      </c>
    </row>
    <row r="566">
      <c r="A566" s="1">
        <f>HYPERLINK("https://eurofarma-latam-crm.veevavault.com/#object/account__v/V4TZ000019145AR", "Paula Pereira")</f>
        <v/>
      </c>
      <c r="B566" s="1">
        <f>HYPERLINK("https://eurofarma-latam-crm.veevavault.com/#object/account__v/V4TZ000019145AR", "Paula Rodrigues Pereira")</f>
        <v/>
      </c>
      <c r="C566" t="inlineStr">
        <is>
          <t>RJ1027980</t>
        </is>
      </c>
      <c r="D566" t="inlineStr">
        <is>
          <t>PED</t>
        </is>
      </c>
      <c r="E566" t="inlineStr">
        <is>
          <t>Avenida Oito de Maio, 534</t>
        </is>
      </c>
      <c r="F566" t="inlineStr">
        <is>
          <t>Centro</t>
        </is>
      </c>
      <c r="G566" t="inlineStr">
        <is>
          <t>Silva Jardim</t>
        </is>
      </c>
      <c r="H566" t="inlineStr">
        <is>
          <t>RJ</t>
        </is>
      </c>
      <c r="I566" t="n">
        <v>5152</v>
      </c>
      <c r="J566" t="inlineStr">
        <is>
          <t>CAT 4</t>
        </is>
      </c>
      <c r="K566" t="inlineStr">
        <is>
          <t>Sim</t>
        </is>
      </c>
    </row>
    <row r="567">
      <c r="A567" s="1">
        <f>HYPERLINK("https://eurofarma-latam-crm.veevavault.com/#object/account__v/V4TZ000018NYU6Q", "Paulo Cesar Pereira")</f>
        <v/>
      </c>
      <c r="B567" s="1">
        <f>HYPERLINK("https://eurofarma-latam-crm.veevavault.com/#object/account__v/V4TZ000018NYU6Q", "Paulo Cesar da Silva Pereira")</f>
        <v/>
      </c>
      <c r="C567" t="inlineStr">
        <is>
          <t>RJ0369223</t>
        </is>
      </c>
      <c r="D567" t="inlineStr">
        <is>
          <t>CLG</t>
        </is>
      </c>
      <c r="E567" t="inlineStr">
        <is>
          <t>Avenida Oito de Maio, 534</t>
        </is>
      </c>
      <c r="F567" t="inlineStr">
        <is>
          <t>Centro</t>
        </is>
      </c>
      <c r="G567" t="inlineStr">
        <is>
          <t>Silva Jardim</t>
        </is>
      </c>
      <c r="H567" t="inlineStr">
        <is>
          <t>RJ</t>
        </is>
      </c>
      <c r="I567" t="n">
        <v>5152</v>
      </c>
      <c r="J567" t="inlineStr">
        <is>
          <t>CAT 5</t>
        </is>
      </c>
      <c r="K567" t="inlineStr">
        <is>
          <t>N�o</t>
        </is>
      </c>
    </row>
    <row r="568">
      <c r="A568" s="1">
        <f>HYPERLINK("https://eurofarma-latam-crm.veevavault.com/#object/account__v/V4TZ000018NYWHQ", "Paulo Cesar Pereira")</f>
        <v/>
      </c>
      <c r="B568" s="1">
        <f>HYPERLINK("https://eurofarma-latam-crm.veevavault.com/#object/account__v/V4TZ000018NYWHQ", "Paulo Cesar Guimarães Baptista Pereira")</f>
        <v/>
      </c>
      <c r="C568" t="inlineStr">
        <is>
          <t>RJ0221609</t>
        </is>
      </c>
      <c r="D568" t="inlineStr">
        <is>
          <t>GER</t>
        </is>
      </c>
      <c r="E568" t="inlineStr">
        <is>
          <t>Avenida Nilo Peçanha, 835</t>
        </is>
      </c>
      <c r="F568" t="inlineStr">
        <is>
          <t>Centro</t>
        </is>
      </c>
      <c r="G568" t="inlineStr">
        <is>
          <t>Araruama</t>
        </is>
      </c>
      <c r="H568" t="inlineStr">
        <is>
          <t>RJ</t>
        </is>
      </c>
      <c r="I568" t="n">
        <v>5152</v>
      </c>
      <c r="J568" t="inlineStr">
        <is>
          <t>CAT 4</t>
        </is>
      </c>
      <c r="K568" t="inlineStr">
        <is>
          <t>Sim</t>
        </is>
      </c>
    </row>
    <row r="569">
      <c r="A569" s="1">
        <f>HYPERLINK("https://eurofarma-latam-crm.veevavault.com/#object/account__v/V4TZ000018NZ35X", "Paulo Sergio Rodrigues")</f>
        <v/>
      </c>
      <c r="B569" s="1">
        <f>HYPERLINK("https://eurofarma-latam-crm.veevavault.com/#object/account__v/V4TZ000018NZ35X", "Paulo Sergio Ozório Rodrigues")</f>
        <v/>
      </c>
      <c r="C569" t="inlineStr">
        <is>
          <t>RJ0350784</t>
        </is>
      </c>
      <c r="D569" t="inlineStr">
        <is>
          <t>CLG / END</t>
        </is>
      </c>
      <c r="E569" t="inlineStr">
        <is>
          <t>Avenida Manoel Duarte, 1552 - Parte</t>
        </is>
      </c>
      <c r="F569" t="inlineStr">
        <is>
          <t>Bela Vista</t>
        </is>
      </c>
      <c r="G569" t="inlineStr">
        <is>
          <t>Rio Bonito</t>
        </is>
      </c>
      <c r="H569" t="inlineStr">
        <is>
          <t>RJ</t>
        </is>
      </c>
      <c r="I569" t="n">
        <v>5152</v>
      </c>
      <c r="J569" t="inlineStr">
        <is>
          <t>CAT 4</t>
        </is>
      </c>
      <c r="K569" t="inlineStr">
        <is>
          <t>Sim</t>
        </is>
      </c>
    </row>
    <row r="570">
      <c r="A570" s="1">
        <f>HYPERLINK("https://eurofarma-latam-crm.veevavault.com/#object/account__v/V4TZ00001916FO4", "Pedro Benevides")</f>
        <v/>
      </c>
      <c r="B570" s="1">
        <f>HYPERLINK("https://eurofarma-latam-crm.veevavault.com/#object/account__v/V4TZ00001916FO4", "Pedro Henrique Marques Benevides")</f>
        <v/>
      </c>
      <c r="C570" t="inlineStr">
        <is>
          <t>RJ0400545</t>
        </is>
      </c>
      <c r="D570" t="inlineStr">
        <is>
          <t>CLG</t>
        </is>
      </c>
      <c r="E570" t="inlineStr">
        <is>
          <t>Avenida Martinho Almeida, 222</t>
        </is>
      </c>
      <c r="F570" t="inlineStr">
        <is>
          <t>Mangueirinha</t>
        </is>
      </c>
      <c r="G570" t="inlineStr">
        <is>
          <t>Rio Bonito</t>
        </is>
      </c>
      <c r="H570" t="inlineStr">
        <is>
          <t>RJ</t>
        </is>
      </c>
      <c r="I570" t="n">
        <v>5152</v>
      </c>
      <c r="J570" t="inlineStr">
        <is>
          <t>CAT 4</t>
        </is>
      </c>
      <c r="K570" t="inlineStr">
        <is>
          <t>Sim</t>
        </is>
      </c>
    </row>
    <row r="571">
      <c r="A571" s="1">
        <f>HYPERLINK("https://eurofarma-latam-crm.veevavault.com/#object/account__v/V4TZ025E8ELHQEA", "Pedro Dutra")</f>
        <v/>
      </c>
      <c r="B571" s="1">
        <f>HYPERLINK("https://eurofarma-latam-crm.veevavault.com/#object/account__v/V4TZ025E8ELHQEA", "Pedro Henrique De Azevedo Dutra")</f>
        <v/>
      </c>
      <c r="C571" t="inlineStr">
        <is>
          <t>RJ1354442</t>
        </is>
      </c>
      <c r="D571" t="inlineStr">
        <is>
          <t>CLG / PA</t>
        </is>
      </c>
      <c r="E571" t="inlineStr">
        <is>
          <t>Rua Adolfo Bravo, S/N</t>
        </is>
      </c>
      <c r="F571" t="inlineStr">
        <is>
          <t>Bacaxá (Bacaxá)</t>
        </is>
      </c>
      <c r="G571" t="inlineStr">
        <is>
          <t>Saquarema</t>
        </is>
      </c>
      <c r="H571" t="inlineStr">
        <is>
          <t>RJ</t>
        </is>
      </c>
      <c r="I571" t="n">
        <v>5152</v>
      </c>
      <c r="J571" t="inlineStr">
        <is>
          <t>CAT 5</t>
        </is>
      </c>
      <c r="K571" t="inlineStr">
        <is>
          <t>N�o</t>
        </is>
      </c>
    </row>
    <row r="572">
      <c r="A572" s="1">
        <f>HYPERLINK("https://eurofarma-latam-crm.veevavault.com/#object/account__v/V4TZ000018NZ3PX", "Pedro Geraldo dos Santos")</f>
        <v/>
      </c>
      <c r="B572" s="1">
        <f>HYPERLINK("https://eurofarma-latam-crm.veevavault.com/#object/account__v/V4TZ000018NZ3PX", "Pedro Geraldo Pinheiro dos Santos")</f>
        <v/>
      </c>
      <c r="C572" t="inlineStr">
        <is>
          <t>RJ0325740</t>
        </is>
      </c>
      <c r="D572" t="inlineStr">
        <is>
          <t>ORT</t>
        </is>
      </c>
      <c r="E572" t="inlineStr">
        <is>
          <t>Rua João Carmo, 110</t>
        </is>
      </c>
      <c r="F572" t="inlineStr">
        <is>
          <t>Rio Bonito</t>
        </is>
      </c>
      <c r="G572" t="inlineStr">
        <is>
          <t>Rio Bonito</t>
        </is>
      </c>
      <c r="H572" t="inlineStr">
        <is>
          <t>RJ</t>
        </is>
      </c>
      <c r="I572" t="n">
        <v>5152</v>
      </c>
      <c r="J572" t="inlineStr">
        <is>
          <t>CAT 4</t>
        </is>
      </c>
      <c r="K572" t="inlineStr">
        <is>
          <t>Sim</t>
        </is>
      </c>
    </row>
    <row r="573">
      <c r="A573" s="1">
        <f>HYPERLINK("https://eurofarma-latam-crm.veevavault.com/#object/account__v/V4TZ00001914KIP", "Pedro Silva")</f>
        <v/>
      </c>
      <c r="B573" s="1">
        <f>HYPERLINK("https://eurofarma-latam-crm.veevavault.com/#object/account__v/V4TZ00001914KIP", "Pedro Cortes Correa da Silva")</f>
        <v/>
      </c>
      <c r="C573" t="inlineStr">
        <is>
          <t>RJ0982326</t>
        </is>
      </c>
      <c r="D573" t="inlineStr">
        <is>
          <t>PED</t>
        </is>
      </c>
      <c r="E573" t="inlineStr">
        <is>
          <t>Rua Barão do Rio Branco, 55</t>
        </is>
      </c>
      <c r="F573" t="inlineStr">
        <is>
          <t>Passagem</t>
        </is>
      </c>
      <c r="G573" t="inlineStr">
        <is>
          <t>Cabo Frio</t>
        </is>
      </c>
      <c r="H573" t="inlineStr">
        <is>
          <t>RJ</t>
        </is>
      </c>
      <c r="I573" t="n">
        <v>5152</v>
      </c>
      <c r="J573" t="inlineStr">
        <is>
          <t>CAT 4</t>
        </is>
      </c>
      <c r="K573" t="inlineStr">
        <is>
          <t>Sim</t>
        </is>
      </c>
    </row>
    <row r="574">
      <c r="A574" s="1">
        <f>HYPERLINK("https://eurofarma-latam-crm.veevavault.com/#object/account__v/V4TZ025E88XVMIS", "Porfirio José Inacio")</f>
        <v/>
      </c>
      <c r="B574" s="1">
        <f>HYPERLINK("https://eurofarma-latam-crm.veevavault.com/#object/account__v/V4TZ025E88XVMIS", "Porfirio José Soares Inacio")</f>
        <v/>
      </c>
      <c r="C574" t="inlineStr">
        <is>
          <t>RJ1128140</t>
        </is>
      </c>
      <c r="D574" t="inlineStr">
        <is>
          <t>NEU</t>
        </is>
      </c>
      <c r="E574" t="inlineStr">
        <is>
          <t>Rua São Geraldo, 92 - Esquina</t>
        </is>
      </c>
      <c r="F574" t="inlineStr">
        <is>
          <t>São Geraldo (Bacaxá)</t>
        </is>
      </c>
      <c r="G574" t="inlineStr">
        <is>
          <t>Saquarema</t>
        </is>
      </c>
      <c r="H574" t="inlineStr">
        <is>
          <t>RJ</t>
        </is>
      </c>
      <c r="I574" t="n">
        <v>5152</v>
      </c>
      <c r="J574" t="inlineStr">
        <is>
          <t>CAT 4</t>
        </is>
      </c>
      <c r="K574" t="inlineStr">
        <is>
          <t>Sim</t>
        </is>
      </c>
    </row>
    <row r="575">
      <c r="A575" s="1">
        <f>HYPERLINK("https://eurofarma-latam-crm.veevavault.com/#object/account__v/V4TZ00001913WT4", "Priscila Cordeiro")</f>
        <v/>
      </c>
      <c r="B575" s="1">
        <f>HYPERLINK("https://eurofarma-latam-crm.veevavault.com/#object/account__v/V4TZ00001913WT4", "Priscila de Souza Cordeiro")</f>
        <v/>
      </c>
      <c r="C575" t="inlineStr">
        <is>
          <t>RJ1104276</t>
        </is>
      </c>
      <c r="D575" t="inlineStr">
        <is>
          <t>PED</t>
        </is>
      </c>
      <c r="E575" t="inlineStr">
        <is>
          <t>Rua Alice Leocádia de Souza, 96</t>
        </is>
      </c>
      <c r="F575" t="inlineStr">
        <is>
          <t>Vila Canaã</t>
        </is>
      </c>
      <c r="G575" t="inlineStr">
        <is>
          <t>Araruama</t>
        </is>
      </c>
      <c r="H575" t="inlineStr">
        <is>
          <t>RJ</t>
        </is>
      </c>
      <c r="I575" t="n">
        <v>5152</v>
      </c>
      <c r="J575" t="inlineStr">
        <is>
          <t>CAT 3</t>
        </is>
      </c>
      <c r="K575" t="inlineStr">
        <is>
          <t>Sim</t>
        </is>
      </c>
    </row>
    <row r="576">
      <c r="A576" s="1">
        <f>HYPERLINK("https://eurofarma-latam-crm.veevavault.com/#object/account__v/V4TZ025E83GSNDV", "Priscila do Nascimento")</f>
        <v/>
      </c>
      <c r="B576" s="1">
        <f>HYPERLINK("https://eurofarma-latam-crm.veevavault.com/#object/account__v/V4TZ025E83GSNDV", "Priscila Albuquerque do Nascimento")</f>
        <v/>
      </c>
      <c r="C576" t="inlineStr">
        <is>
          <t>RJ1293486</t>
        </is>
      </c>
      <c r="D576" t="inlineStr">
        <is>
          <t>CLG / PA</t>
        </is>
      </c>
      <c r="E576" t="inlineStr">
        <is>
          <t>Avenida Pastor Martin Luther King Jr, 10976</t>
        </is>
      </c>
      <c r="F576" t="inlineStr">
        <is>
          <t>Acari</t>
        </is>
      </c>
      <c r="G576" t="inlineStr">
        <is>
          <t>Rio de Janeiro</t>
        </is>
      </c>
      <c r="H576" t="inlineStr">
        <is>
          <t>RJ</t>
        </is>
      </c>
      <c r="I576" t="n">
        <v>5152</v>
      </c>
      <c r="J576" t="inlineStr">
        <is>
          <t>CAT 4</t>
        </is>
      </c>
      <c r="K576" t="inlineStr">
        <is>
          <t>Sim</t>
        </is>
      </c>
    </row>
    <row r="577">
      <c r="A577" s="1">
        <f>HYPERLINK("https://eurofarma-latam-crm.veevavault.com/#object/account__v/V4TZ000018NYYZH", "Priscila Fragoso")</f>
        <v/>
      </c>
      <c r="B577" s="1">
        <f>HYPERLINK("https://eurofarma-latam-crm.veevavault.com/#object/account__v/V4TZ000018NYYZH", "Priscila Carolina Correa e Correia Fragoso")</f>
        <v/>
      </c>
      <c r="C577" t="inlineStr">
        <is>
          <t>RJ0812935</t>
        </is>
      </c>
      <c r="D577" t="inlineStr">
        <is>
          <t>PED</t>
        </is>
      </c>
      <c r="E577" t="inlineStr">
        <is>
          <t>Avenida Pedro Sanches, S/N - Figueira</t>
        </is>
      </c>
      <c r="F577" t="inlineStr">
        <is>
          <t>Centro</t>
        </is>
      </c>
      <c r="G577" t="inlineStr">
        <is>
          <t>Arraial do Cabo</t>
        </is>
      </c>
      <c r="H577" t="inlineStr">
        <is>
          <t>RJ</t>
        </is>
      </c>
      <c r="I577" t="n">
        <v>5152</v>
      </c>
      <c r="J577" t="inlineStr">
        <is>
          <t>CAT 5</t>
        </is>
      </c>
      <c r="K577" t="inlineStr">
        <is>
          <t>N�o</t>
        </is>
      </c>
    </row>
    <row r="578">
      <c r="A578" s="1">
        <f>HYPERLINK("https://eurofarma-latam-crm.veevavault.com/#object/account__v/V4TZ025E83T9CBA", "Rafael Jacob")</f>
        <v/>
      </c>
      <c r="B578" s="1">
        <f>HYPERLINK("https://eurofarma-latam-crm.veevavault.com/#object/account__v/V4TZ025E83T9CBA", "Rafael do Espirito Santo Jacob")</f>
        <v/>
      </c>
      <c r="C578" t="inlineStr">
        <is>
          <t>RJ1285793</t>
        </is>
      </c>
      <c r="D578" t="inlineStr">
        <is>
          <t>CLG / PA</t>
        </is>
      </c>
      <c r="E578" t="inlineStr">
        <is>
          <t>Rua Osório Costa, S/N</t>
        </is>
      </c>
      <c r="F578" t="inlineStr">
        <is>
          <t>Colubande</t>
        </is>
      </c>
      <c r="G578" t="inlineStr">
        <is>
          <t>São Gonçalo</t>
        </is>
      </c>
      <c r="H578" t="inlineStr">
        <is>
          <t>RJ</t>
        </is>
      </c>
      <c r="I578" t="n">
        <v>5152</v>
      </c>
      <c r="J578" t="inlineStr">
        <is>
          <t>CAT 5</t>
        </is>
      </c>
      <c r="K578" t="inlineStr">
        <is>
          <t>N�o</t>
        </is>
      </c>
    </row>
    <row r="579">
      <c r="A579" s="1">
        <f>HYPERLINK("https://eurofarma-latam-crm.veevavault.com/#object/account__v/V4TZ00001913RAC", "Rafaela Meireles")</f>
        <v/>
      </c>
      <c r="B579" s="1">
        <f>HYPERLINK("https://eurofarma-latam-crm.veevavault.com/#object/account__v/V4TZ00001913RAC", "Rafaela Futia Meireles")</f>
        <v/>
      </c>
      <c r="C579" t="inlineStr">
        <is>
          <t>RJ1153137</t>
        </is>
      </c>
      <c r="D579" t="inlineStr">
        <is>
          <t>PED</t>
        </is>
      </c>
      <c r="E579" t="inlineStr">
        <is>
          <t>Rodovia BR-101, S/N - Km 265</t>
        </is>
      </c>
      <c r="F579" t="inlineStr">
        <is>
          <t>Praça Cruzeiro</t>
        </is>
      </c>
      <c r="G579" t="inlineStr">
        <is>
          <t>Rio Bonito</t>
        </is>
      </c>
      <c r="H579" t="inlineStr">
        <is>
          <t>RJ</t>
        </is>
      </c>
      <c r="I579" t="n">
        <v>5152</v>
      </c>
      <c r="J579" t="inlineStr"/>
      <c r="K579" t="inlineStr"/>
    </row>
    <row r="580">
      <c r="A580" s="1">
        <f>HYPERLINK("https://eurofarma-latam-crm.veevavault.com/#object/account__v/V4TZ00001914OFH", "Raffael de Moraes")</f>
        <v/>
      </c>
      <c r="B580" s="1">
        <f>HYPERLINK("https://eurofarma-latam-crm.veevavault.com/#object/account__v/V4TZ00001914OFH", "Raffael Pentagna de Moraes")</f>
        <v/>
      </c>
      <c r="C580" t="inlineStr">
        <is>
          <t>RJ1253255</t>
        </is>
      </c>
      <c r="D580" t="inlineStr">
        <is>
          <t>CLG / PA</t>
        </is>
      </c>
      <c r="E580" t="inlineStr">
        <is>
          <t>Rua Carvalho Alvim, 261</t>
        </is>
      </c>
      <c r="F580" t="inlineStr">
        <is>
          <t>Tijuca</t>
        </is>
      </c>
      <c r="G580" t="inlineStr">
        <is>
          <t>Rio de Janeiro</t>
        </is>
      </c>
      <c r="H580" t="inlineStr">
        <is>
          <t>RJ</t>
        </is>
      </c>
      <c r="I580" t="n">
        <v>5152</v>
      </c>
      <c r="J580" t="inlineStr">
        <is>
          <t>CAT 4</t>
        </is>
      </c>
      <c r="K580" t="inlineStr">
        <is>
          <t>Sim</t>
        </is>
      </c>
    </row>
    <row r="581">
      <c r="A581" s="1">
        <f>HYPERLINK("https://eurofarma-latam-crm.veevavault.com/#object/account__v/V4TZ025E8BDZS50", "Ramon Gutierrez")</f>
        <v/>
      </c>
      <c r="B581" s="1">
        <f>HYPERLINK("https://eurofarma-latam-crm.veevavault.com/#object/account__v/V4TZ025E8BDZS50", "Ramon Werner Heringer Gutierrez")</f>
        <v/>
      </c>
      <c r="C581" t="inlineStr">
        <is>
          <t>RJ1345192</t>
        </is>
      </c>
      <c r="D581" t="inlineStr">
        <is>
          <t>CLG / PA</t>
        </is>
      </c>
      <c r="E581" t="inlineStr">
        <is>
          <t>Rua João Carmo, 110</t>
        </is>
      </c>
      <c r="F581" t="inlineStr">
        <is>
          <t>Rio Bonito</t>
        </is>
      </c>
      <c r="G581" t="inlineStr">
        <is>
          <t>Rio Bonito</t>
        </is>
      </c>
      <c r="H581" t="inlineStr">
        <is>
          <t>RJ</t>
        </is>
      </c>
      <c r="I581" t="n">
        <v>5152</v>
      </c>
      <c r="J581" t="inlineStr">
        <is>
          <t>CAT 5</t>
        </is>
      </c>
      <c r="K581" t="inlineStr">
        <is>
          <t>Sim</t>
        </is>
      </c>
    </row>
    <row r="582">
      <c r="A582" s="1">
        <f>HYPERLINK("https://eurofarma-latam-crm.veevavault.com/#object/account__v/V4TZ000018NYCT7", "Raone Caires")</f>
        <v/>
      </c>
      <c r="B582" s="1">
        <f>HYPERLINK("https://eurofarma-latam-crm.veevavault.com/#object/account__v/V4TZ000018NYCT7", "Raone Vilella Caires")</f>
        <v/>
      </c>
      <c r="C582" t="inlineStr">
        <is>
          <t>RJ1065564</t>
        </is>
      </c>
      <c r="D582" t="inlineStr">
        <is>
          <t>CLG / PA</t>
        </is>
      </c>
      <c r="E582" t="inlineStr">
        <is>
          <t>Rua Heitor Bravo, 6</t>
        </is>
      </c>
      <c r="F582" t="inlineStr">
        <is>
          <t>Bacaxá (Bacaxá)</t>
        </is>
      </c>
      <c r="G582" t="inlineStr">
        <is>
          <t>Saquarema</t>
        </is>
      </c>
      <c r="H582" t="inlineStr">
        <is>
          <t>RJ</t>
        </is>
      </c>
      <c r="I582" t="n">
        <v>5152</v>
      </c>
      <c r="J582" t="inlineStr">
        <is>
          <t>CAT 4</t>
        </is>
      </c>
      <c r="K582" t="inlineStr">
        <is>
          <t>Sim</t>
        </is>
      </c>
    </row>
    <row r="583">
      <c r="A583" s="1">
        <f>HYPERLINK("https://eurofarma-latam-crm.veevavault.com/#object/account__v/V4TZ00001913D6S", "Raphael Bellico")</f>
        <v/>
      </c>
      <c r="B583" s="1">
        <f>HYPERLINK("https://eurofarma-latam-crm.veevavault.com/#object/account__v/V4TZ00001913D6S", "Raphael Eric de Castro Bellico")</f>
        <v/>
      </c>
      <c r="C583" t="inlineStr">
        <is>
          <t>RJ1229788</t>
        </is>
      </c>
      <c r="D583" t="inlineStr">
        <is>
          <t>CLG / PA</t>
        </is>
      </c>
      <c r="E583" t="inlineStr">
        <is>
          <t>Rua Prefeito Waldir da Silva Lobo, 01</t>
        </is>
      </c>
      <c r="F583" t="inlineStr">
        <is>
          <t>Morro do Milagre</t>
        </is>
      </c>
      <c r="G583" t="inlineStr">
        <is>
          <t>São Pedro da Aldeia</t>
        </is>
      </c>
      <c r="H583" t="inlineStr">
        <is>
          <t>RJ</t>
        </is>
      </c>
      <c r="I583" t="n">
        <v>5152</v>
      </c>
      <c r="J583" t="inlineStr">
        <is>
          <t>CAT 4</t>
        </is>
      </c>
      <c r="K583" t="inlineStr">
        <is>
          <t>Sim</t>
        </is>
      </c>
    </row>
    <row r="584">
      <c r="A584" s="1">
        <f>HYPERLINK("https://eurofarma-latam-crm.veevavault.com/#object/account__v/V4TZ00001914S16", "Raphael Pinheiro")</f>
        <v/>
      </c>
      <c r="B584" s="1">
        <f>HYPERLINK("https://eurofarma-latam-crm.veevavault.com/#object/account__v/V4TZ00001914S16", "Raphael de Oliveira Pinheiro")</f>
        <v/>
      </c>
      <c r="C584" t="inlineStr">
        <is>
          <t>RJ0831018</t>
        </is>
      </c>
      <c r="D584" t="inlineStr">
        <is>
          <t>CLG</t>
        </is>
      </c>
      <c r="E584" t="inlineStr">
        <is>
          <t>Rua Estudante Elcira Oliveira Coutinho, S/N</t>
        </is>
      </c>
      <c r="F584" t="inlineStr">
        <is>
          <t>Barreira (Bacaxá)</t>
        </is>
      </c>
      <c r="G584" t="inlineStr">
        <is>
          <t>Saquarema</t>
        </is>
      </c>
      <c r="H584" t="inlineStr">
        <is>
          <t>RJ</t>
        </is>
      </c>
      <c r="I584" t="n">
        <v>5152</v>
      </c>
      <c r="J584" t="inlineStr">
        <is>
          <t>CAT 5</t>
        </is>
      </c>
      <c r="K584" t="inlineStr">
        <is>
          <t>Sim</t>
        </is>
      </c>
    </row>
    <row r="585">
      <c r="A585" s="1">
        <f>HYPERLINK("https://eurofarma-latam-crm.veevavault.com/#object/account__v/V4TZ00001913423", "Raphaela Batista")</f>
        <v/>
      </c>
      <c r="B585" s="1">
        <f>HYPERLINK("https://eurofarma-latam-crm.veevavault.com/#object/account__v/V4TZ00001913423", "Raphaela Montes Batista")</f>
        <v/>
      </c>
      <c r="C585" t="inlineStr">
        <is>
          <t>RJ1105434</t>
        </is>
      </c>
      <c r="D585" t="inlineStr">
        <is>
          <t>ORL</t>
        </is>
      </c>
      <c r="E585" t="inlineStr">
        <is>
          <t>Rodovia Amaral Peixoto, S/N - KM 71 1 Andar</t>
        </is>
      </c>
      <c r="F585" t="inlineStr">
        <is>
          <t>Bacaxá (Bacaxá)</t>
        </is>
      </c>
      <c r="G585" t="inlineStr">
        <is>
          <t>Saquarema</t>
        </is>
      </c>
      <c r="H585" t="inlineStr">
        <is>
          <t>RJ</t>
        </is>
      </c>
      <c r="I585" t="n">
        <v>5152</v>
      </c>
      <c r="J585" t="inlineStr">
        <is>
          <t>CAT 4</t>
        </is>
      </c>
      <c r="K585" t="inlineStr">
        <is>
          <t>Sim</t>
        </is>
      </c>
    </row>
    <row r="586">
      <c r="A586" s="1">
        <f>HYPERLINK("https://eurofarma-latam-crm.veevavault.com/#object/account__v/V4TZ000018NXY1G", "Raquel Sant'Ana")</f>
        <v/>
      </c>
      <c r="B586" s="1">
        <f>HYPERLINK("https://eurofarma-latam-crm.veevavault.com/#object/account__v/V4TZ000018NXY1G", "Raquel de Carvalho Oliveira Sant'Ana")</f>
        <v/>
      </c>
      <c r="C586" t="inlineStr">
        <is>
          <t>RJ0871273</t>
        </is>
      </c>
      <c r="D586" t="inlineStr">
        <is>
          <t>NEU</t>
        </is>
      </c>
      <c r="E586" t="inlineStr">
        <is>
          <t>Rua Noventa e Sete, 1008</t>
        </is>
      </c>
      <c r="F586" t="inlineStr">
        <is>
          <t>Jaconé (Sampaio Correia)</t>
        </is>
      </c>
      <c r="G586" t="inlineStr">
        <is>
          <t>Saquarema</t>
        </is>
      </c>
      <c r="H586" t="inlineStr">
        <is>
          <t>RJ</t>
        </is>
      </c>
      <c r="I586" t="n">
        <v>5152</v>
      </c>
      <c r="J586" t="inlineStr">
        <is>
          <t>CAT 1</t>
        </is>
      </c>
      <c r="K586" t="inlineStr">
        <is>
          <t>Sim</t>
        </is>
      </c>
    </row>
    <row r="587">
      <c r="A587" s="1">
        <f>HYPERLINK("https://eurofarma-latam-crm.veevavault.com/#object/account__v/V4TZ000019139IV", "Regina Ferraz")</f>
        <v/>
      </c>
      <c r="B587" s="1">
        <f>HYPERLINK("https://eurofarma-latam-crm.veevavault.com/#object/account__v/V4TZ000019139IV", "Regina Coeli Franco Ferraz")</f>
        <v/>
      </c>
      <c r="C587" t="inlineStr">
        <is>
          <t>RJ0260029</t>
        </is>
      </c>
      <c r="D587" t="inlineStr">
        <is>
          <t>END</t>
        </is>
      </c>
      <c r="E587" t="inlineStr">
        <is>
          <t>Rua Major Félix Moreira, 39 - Sala 210</t>
        </is>
      </c>
      <c r="F587" t="inlineStr">
        <is>
          <t>Centro</t>
        </is>
      </c>
      <c r="G587" t="inlineStr">
        <is>
          <t>Araruama</t>
        </is>
      </c>
      <c r="H587" t="inlineStr">
        <is>
          <t>RJ</t>
        </is>
      </c>
      <c r="I587" t="n">
        <v>5152</v>
      </c>
      <c r="J587" t="inlineStr">
        <is>
          <t>CAT 5</t>
        </is>
      </c>
      <c r="K587" t="inlineStr">
        <is>
          <t>N�o</t>
        </is>
      </c>
    </row>
    <row r="588">
      <c r="A588" s="1">
        <f>HYPERLINK("https://eurofarma-latam-crm.veevavault.com/#object/account__v/V4TZ00001915N4J", "Reinaldo Alves")</f>
        <v/>
      </c>
      <c r="B588" s="1">
        <f>HYPERLINK("https://eurofarma-latam-crm.veevavault.com/#object/account__v/V4TZ00001915N4J", "Reinaldo da Silveira Alves")</f>
        <v/>
      </c>
      <c r="C588" t="inlineStr">
        <is>
          <t>RJ0413980</t>
        </is>
      </c>
      <c r="D588" t="inlineStr">
        <is>
          <t>PSQ</t>
        </is>
      </c>
      <c r="E588" t="inlineStr">
        <is>
          <t>Avenida Getúlio Vargas, 429 - Sala 104</t>
        </is>
      </c>
      <c r="F588" t="inlineStr">
        <is>
          <t>Centro</t>
        </is>
      </c>
      <c r="G588" t="inlineStr">
        <is>
          <t>Araruama</t>
        </is>
      </c>
      <c r="H588" t="inlineStr">
        <is>
          <t>RJ</t>
        </is>
      </c>
      <c r="I588" t="n">
        <v>5152</v>
      </c>
      <c r="J588" t="inlineStr">
        <is>
          <t>CAT 1</t>
        </is>
      </c>
      <c r="K588" t="inlineStr">
        <is>
          <t>Sim</t>
        </is>
      </c>
    </row>
    <row r="589">
      <c r="A589" s="1">
        <f>HYPERLINK("https://eurofarma-latam-crm.veevavault.com/#object/account__v/V4T00000001I277", "Renan Lima")</f>
        <v/>
      </c>
      <c r="B589" s="1">
        <f>HYPERLINK("https://eurofarma-latam-crm.veevavault.com/#object/account__v/V4T00000001I277", "Renan Aquino de Teves Lima")</f>
        <v/>
      </c>
      <c r="C589" t="inlineStr">
        <is>
          <t>RJ1413178</t>
        </is>
      </c>
      <c r="D589" t="inlineStr"/>
      <c r="E589" t="inlineStr">
        <is>
          <t>Rua Adolfo Bravo, S/N</t>
        </is>
      </c>
      <c r="F589" t="inlineStr">
        <is>
          <t>Bacaxá (Bacaxá)</t>
        </is>
      </c>
      <c r="G589" t="inlineStr">
        <is>
          <t>Saquarema</t>
        </is>
      </c>
      <c r="H589" t="inlineStr">
        <is>
          <t>RJ</t>
        </is>
      </c>
      <c r="I589" t="n">
        <v>5152</v>
      </c>
      <c r="J589" t="inlineStr"/>
      <c r="K589" t="inlineStr"/>
    </row>
    <row r="590">
      <c r="A590" s="1">
        <f>HYPERLINK("https://eurofarma-latam-crm.veevavault.com/#object/account__v/V4TZ00001913BBC", "Renata Brito")</f>
        <v/>
      </c>
      <c r="B590" s="1">
        <f>HYPERLINK("https://eurofarma-latam-crm.veevavault.com/#object/account__v/V4TZ00001913BBC", "Renata Vargas Brito")</f>
        <v/>
      </c>
      <c r="C590" t="inlineStr">
        <is>
          <t>RJ0854697</t>
        </is>
      </c>
      <c r="D590" t="inlineStr">
        <is>
          <t>PED</t>
        </is>
      </c>
      <c r="E590" t="inlineStr">
        <is>
          <t>Rua Prefeito Waldir da Silva Lobo, 2</t>
        </is>
      </c>
      <c r="F590" t="inlineStr">
        <is>
          <t>Morro do Milagre</t>
        </is>
      </c>
      <c r="G590" t="inlineStr">
        <is>
          <t>São Pedro da Aldeia</t>
        </is>
      </c>
      <c r="H590" t="inlineStr">
        <is>
          <t>RJ</t>
        </is>
      </c>
      <c r="I590" t="n">
        <v>5152</v>
      </c>
      <c r="J590" t="inlineStr">
        <is>
          <t>CAT 5</t>
        </is>
      </c>
      <c r="K590" t="inlineStr">
        <is>
          <t>Sim</t>
        </is>
      </c>
    </row>
    <row r="591">
      <c r="A591" s="1">
        <f>HYPERLINK("https://eurofarma-latam-crm.veevavault.com/#object/account__v/V4TZ000019151ON", "Renata da Cunha")</f>
        <v/>
      </c>
      <c r="B591" s="1">
        <f>HYPERLINK("https://eurofarma-latam-crm.veevavault.com/#object/account__v/V4TZ000019151ON", "Renata da Silva Pereira da Cunha")</f>
        <v/>
      </c>
      <c r="C591" t="inlineStr">
        <is>
          <t>RJ0771023</t>
        </is>
      </c>
      <c r="D591" t="inlineStr">
        <is>
          <t>CLG</t>
        </is>
      </c>
      <c r="E591" t="inlineStr">
        <is>
          <t>Rodovia Amaral Peixoto, 560 - Km 83 Loja 08 Frente Loja 07 e 06 Fundos</t>
        </is>
      </c>
      <c r="F591" t="inlineStr">
        <is>
          <t>XV de Novembro</t>
        </is>
      </c>
      <c r="G591" t="inlineStr">
        <is>
          <t>Araruama</t>
        </is>
      </c>
      <c r="H591" t="inlineStr">
        <is>
          <t>RJ</t>
        </is>
      </c>
      <c r="I591" t="n">
        <v>5152</v>
      </c>
      <c r="J591" t="inlineStr">
        <is>
          <t>CAT 4</t>
        </is>
      </c>
      <c r="K591" t="inlineStr">
        <is>
          <t>Sim</t>
        </is>
      </c>
    </row>
    <row r="592">
      <c r="A592" s="1">
        <f>HYPERLINK("https://eurofarma-latam-crm.veevavault.com/#object/account__v/V4TZ025E85RYRHY", "Renata de Matos")</f>
        <v/>
      </c>
      <c r="B592" s="1">
        <f>HYPERLINK("https://eurofarma-latam-crm.veevavault.com/#object/account__v/V4TZ025E85RYRHY", "Renata Alvarenga de Matos")</f>
        <v/>
      </c>
      <c r="C592" t="inlineStr">
        <is>
          <t>RJ1316060,SP0259281</t>
        </is>
      </c>
      <c r="D592" t="inlineStr">
        <is>
          <t>PED</t>
        </is>
      </c>
      <c r="E592" t="inlineStr">
        <is>
          <t>Estrada de Praia Seca, S/N - Km 12</t>
        </is>
      </c>
      <c r="F592" t="inlineStr">
        <is>
          <t>Centro (Praia Seca)</t>
        </is>
      </c>
      <c r="G592" t="inlineStr">
        <is>
          <t>Araruama</t>
        </is>
      </c>
      <c r="H592" t="inlineStr">
        <is>
          <t>RJ</t>
        </is>
      </c>
      <c r="I592" t="n">
        <v>5152</v>
      </c>
      <c r="J592" t="inlineStr"/>
      <c r="K592" t="inlineStr"/>
    </row>
    <row r="593">
      <c r="A593" s="1">
        <f>HYPERLINK("https://eurofarma-latam-crm.veevavault.com/#object/account__v/V4TZ00001914UE1", "Renata Japhet")</f>
        <v/>
      </c>
      <c r="B593" s="1">
        <f>HYPERLINK("https://eurofarma-latam-crm.veevavault.com/#object/account__v/V4TZ00001914UE1", "Renata Lopes Natividade Japhet")</f>
        <v/>
      </c>
      <c r="C593" t="inlineStr">
        <is>
          <t>RJ0732249</t>
        </is>
      </c>
      <c r="D593" t="inlineStr">
        <is>
          <t>CLG / SNC</t>
        </is>
      </c>
      <c r="E593" t="inlineStr">
        <is>
          <t>Rua Noventa e Sete, 1008</t>
        </is>
      </c>
      <c r="F593" t="inlineStr">
        <is>
          <t>Jaconé (Sampaio Correia)</t>
        </is>
      </c>
      <c r="G593" t="inlineStr">
        <is>
          <t>Saquarema</t>
        </is>
      </c>
      <c r="H593" t="inlineStr">
        <is>
          <t>RJ</t>
        </is>
      </c>
      <c r="I593" t="n">
        <v>5152</v>
      </c>
      <c r="J593" t="inlineStr">
        <is>
          <t>CAT 5</t>
        </is>
      </c>
      <c r="K593" t="inlineStr">
        <is>
          <t>Sim</t>
        </is>
      </c>
    </row>
    <row r="594">
      <c r="A594" s="1">
        <f>HYPERLINK("https://eurofarma-latam-crm.veevavault.com/#object/account__v/V4TZ000018NYG4Z", "Renata Oliveira")</f>
        <v/>
      </c>
      <c r="B594" s="1">
        <f>HYPERLINK("https://eurofarma-latam-crm.veevavault.com/#object/account__v/V4TZ000018NYG4Z", "Renata de Carvalho Oliveira")</f>
        <v/>
      </c>
      <c r="C594" t="inlineStr">
        <is>
          <t>RJ0962961</t>
        </is>
      </c>
      <c r="D594" t="inlineStr">
        <is>
          <t>CLG</t>
        </is>
      </c>
      <c r="E594" t="inlineStr">
        <is>
          <t>Rua Adolfo Bravo, 38 - Casa</t>
        </is>
      </c>
      <c r="F594" t="inlineStr">
        <is>
          <t>Bacaxá (Bacaxá)</t>
        </is>
      </c>
      <c r="G594" t="inlineStr">
        <is>
          <t>Saquarema</t>
        </is>
      </c>
      <c r="H594" t="inlineStr">
        <is>
          <t>RJ</t>
        </is>
      </c>
      <c r="I594" t="n">
        <v>5152</v>
      </c>
      <c r="J594" t="inlineStr">
        <is>
          <t>CAT 5</t>
        </is>
      </c>
      <c r="K594" t="inlineStr">
        <is>
          <t>Sim</t>
        </is>
      </c>
    </row>
    <row r="595">
      <c r="A595" s="1">
        <f>HYPERLINK("https://eurofarma-latam-crm.veevavault.com/#object/account__v/V4TZ000019160T7", "Renata Pinheiro")</f>
        <v/>
      </c>
      <c r="B595" s="1">
        <f>HYPERLINK("https://eurofarma-latam-crm.veevavault.com/#object/account__v/V4TZ000019160T7", "Renata Rodrigues Soares Pinheiro")</f>
        <v/>
      </c>
      <c r="C595" t="inlineStr">
        <is>
          <t>RJ1256106</t>
        </is>
      </c>
      <c r="D595" t="inlineStr">
        <is>
          <t>PED</t>
        </is>
      </c>
      <c r="E595" t="inlineStr">
        <is>
          <t>Rodovia Christino José da Silva Júnior, S/N - KM 4 RJ 168</t>
        </is>
      </c>
      <c r="F595" t="inlineStr">
        <is>
          <t>Virgem Santa</t>
        </is>
      </c>
      <c r="G595" t="inlineStr">
        <is>
          <t>Macaé</t>
        </is>
      </c>
      <c r="H595" t="inlineStr">
        <is>
          <t>RJ</t>
        </is>
      </c>
      <c r="I595" t="n">
        <v>5152</v>
      </c>
      <c r="J595" t="inlineStr">
        <is>
          <t>CAT 5</t>
        </is>
      </c>
      <c r="K595" t="inlineStr">
        <is>
          <t>Sim</t>
        </is>
      </c>
    </row>
    <row r="596">
      <c r="A596" s="1">
        <f>HYPERLINK("https://eurofarma-latam-crm.veevavault.com/#object/account__v/V4TZ025E8F1U59I", "Rhayana Coelho")</f>
        <v/>
      </c>
      <c r="B596" s="1">
        <f>HYPERLINK("https://eurofarma-latam-crm.veevavault.com/#object/account__v/V4TZ025E8F1U59I", "Rhayana Rangel Pinto Coelho")</f>
        <v/>
      </c>
      <c r="C596" t="inlineStr">
        <is>
          <t>RJ1373819</t>
        </is>
      </c>
      <c r="D596" t="inlineStr">
        <is>
          <t>CLG / PA</t>
        </is>
      </c>
      <c r="E596" t="inlineStr">
        <is>
          <t>Rua Alfredo Menezes, 980</t>
        </is>
      </c>
      <c r="F596" t="inlineStr">
        <is>
          <t>Bacaxá (Bacaxá)</t>
        </is>
      </c>
      <c r="G596" t="inlineStr">
        <is>
          <t>Saquarema</t>
        </is>
      </c>
      <c r="H596" t="inlineStr">
        <is>
          <t>RJ</t>
        </is>
      </c>
      <c r="I596" t="n">
        <v>5152</v>
      </c>
      <c r="J596" t="inlineStr">
        <is>
          <t>CAT 5</t>
        </is>
      </c>
      <c r="K596" t="inlineStr">
        <is>
          <t>N�o</t>
        </is>
      </c>
    </row>
    <row r="597">
      <c r="A597" s="1">
        <f>HYPERLINK("https://eurofarma-latam-crm.veevavault.com/#object/account__v/V4TZ000018NY66H", "Ricardo Campello")</f>
        <v/>
      </c>
      <c r="B597" s="1">
        <f>HYPERLINK("https://eurofarma-latam-crm.veevavault.com/#object/account__v/V4TZ000018NY66H", "Ricardo Marques Campello")</f>
        <v/>
      </c>
      <c r="C597" t="inlineStr">
        <is>
          <t>RJ1071211</t>
        </is>
      </c>
      <c r="D597" t="inlineStr">
        <is>
          <t>RMT</t>
        </is>
      </c>
      <c r="E597" t="inlineStr">
        <is>
          <t>Rua Prefeito Waldir da Silva Lobo, 2</t>
        </is>
      </c>
      <c r="F597" t="inlineStr">
        <is>
          <t>Morro do Milagre</t>
        </is>
      </c>
      <c r="G597" t="inlineStr">
        <is>
          <t>São Pedro da Aldeia</t>
        </is>
      </c>
      <c r="H597" t="inlineStr">
        <is>
          <t>RJ</t>
        </is>
      </c>
      <c r="I597" t="n">
        <v>5152</v>
      </c>
      <c r="J597" t="inlineStr">
        <is>
          <t>CAT 3</t>
        </is>
      </c>
      <c r="K597" t="inlineStr">
        <is>
          <t>Sim</t>
        </is>
      </c>
    </row>
    <row r="598">
      <c r="A598" s="1">
        <f>HYPERLINK("https://eurofarma-latam-crm.veevavault.com/#object/account__v/V4TZ000019158V2", "Roberta Badajós")</f>
        <v/>
      </c>
      <c r="B598" s="1">
        <f>HYPERLINK("https://eurofarma-latam-crm.veevavault.com/#object/account__v/V4TZ000019158V2", "Roberta Lemos Rodrigues Badajós")</f>
        <v/>
      </c>
      <c r="C598" t="inlineStr">
        <is>
          <t>RJ1217070</t>
        </is>
      </c>
      <c r="D598" t="inlineStr">
        <is>
          <t>PED</t>
        </is>
      </c>
      <c r="E598" t="inlineStr">
        <is>
          <t>Estrada de Búzios, S/N</t>
        </is>
      </c>
      <c r="F598" t="inlineStr">
        <is>
          <t>Maria Joaquina (Tamoios)</t>
        </is>
      </c>
      <c r="G598" t="inlineStr">
        <is>
          <t>Cabo Frio</t>
        </is>
      </c>
      <c r="H598" t="inlineStr">
        <is>
          <t>RJ</t>
        </is>
      </c>
      <c r="I598" t="n">
        <v>5152</v>
      </c>
      <c r="J598" t="inlineStr">
        <is>
          <t>CAT 3</t>
        </is>
      </c>
      <c r="K598" t="inlineStr">
        <is>
          <t>Sim</t>
        </is>
      </c>
    </row>
    <row r="599">
      <c r="A599" s="1">
        <f>HYPERLINK("https://eurofarma-latam-crm.veevavault.com/#object/account__v/V4TZ000018NYU96", "Roberto Dias")</f>
        <v/>
      </c>
      <c r="B599" s="1">
        <f>HYPERLINK("https://eurofarma-latam-crm.veevavault.com/#object/account__v/V4TZ000018NYU96", "Roberto da Cunha Dias")</f>
        <v/>
      </c>
      <c r="C599" t="inlineStr">
        <is>
          <t>RJ0328804</t>
        </is>
      </c>
      <c r="D599" t="inlineStr">
        <is>
          <t>NEU</t>
        </is>
      </c>
      <c r="E599" t="inlineStr">
        <is>
          <t>Avenida Getúlio Vargas, 979</t>
        </is>
      </c>
      <c r="F599" t="inlineStr">
        <is>
          <t>Centro</t>
        </is>
      </c>
      <c r="G599" t="inlineStr">
        <is>
          <t>Araruama</t>
        </is>
      </c>
      <c r="H599" t="inlineStr">
        <is>
          <t>RJ</t>
        </is>
      </c>
      <c r="I599" t="n">
        <v>5152</v>
      </c>
      <c r="J599" t="inlineStr">
        <is>
          <t>CAT 2</t>
        </is>
      </c>
      <c r="K599" t="inlineStr">
        <is>
          <t>Sim</t>
        </is>
      </c>
    </row>
    <row r="600">
      <c r="A600" s="1">
        <f>HYPERLINK("https://eurofarma-latam-crm.veevavault.com/#object/account__v/V4TZ00001915Z5R", "Rodrigo Coutinho")</f>
        <v/>
      </c>
      <c r="B600" s="1">
        <f>HYPERLINK("https://eurofarma-latam-crm.veevavault.com/#object/account__v/V4TZ00001915Z5R", "Rodrigo Nunes Coutinho")</f>
        <v/>
      </c>
      <c r="C600" t="inlineStr">
        <is>
          <t>RJ0781738</t>
        </is>
      </c>
      <c r="D600" t="inlineStr">
        <is>
          <t>NEU</t>
        </is>
      </c>
      <c r="E600" t="inlineStr">
        <is>
          <t>Avenida Oito de Maio, 534</t>
        </is>
      </c>
      <c r="F600" t="inlineStr">
        <is>
          <t>Centro</t>
        </is>
      </c>
      <c r="G600" t="inlineStr">
        <is>
          <t>Silva Jardim</t>
        </is>
      </c>
      <c r="H600" t="inlineStr">
        <is>
          <t>RJ</t>
        </is>
      </c>
      <c r="I600" t="n">
        <v>5152</v>
      </c>
      <c r="J600" t="inlineStr">
        <is>
          <t>CAT 3</t>
        </is>
      </c>
      <c r="K600" t="inlineStr">
        <is>
          <t>Sim</t>
        </is>
      </c>
    </row>
    <row r="601">
      <c r="A601" s="1">
        <f>HYPERLINK("https://eurofarma-latam-crm.veevavault.com/#object/account__v/V4TZ00001914FEG", "Rodrigo e Melo")</f>
        <v/>
      </c>
      <c r="B601" s="1">
        <f>HYPERLINK("https://eurofarma-latam-crm.veevavault.com/#object/account__v/V4TZ00001914FEG", "Rodrigo Moreira e Melo")</f>
        <v/>
      </c>
      <c r="C601" t="inlineStr">
        <is>
          <t>RJ1092650</t>
        </is>
      </c>
      <c r="D601" t="inlineStr">
        <is>
          <t>END</t>
        </is>
      </c>
      <c r="E601" t="inlineStr">
        <is>
          <t>Rua Beatriz Amaral Pereira, 26 - Sala 08</t>
        </is>
      </c>
      <c r="F601" t="inlineStr">
        <is>
          <t>Bacaxá (Bacaxá)</t>
        </is>
      </c>
      <c r="G601" t="inlineStr">
        <is>
          <t>Saquarema</t>
        </is>
      </c>
      <c r="H601" t="inlineStr">
        <is>
          <t>RJ</t>
        </is>
      </c>
      <c r="I601" t="n">
        <v>5152</v>
      </c>
      <c r="J601" t="inlineStr">
        <is>
          <t>CAT 5</t>
        </is>
      </c>
      <c r="K601" t="inlineStr">
        <is>
          <t>Sim</t>
        </is>
      </c>
    </row>
    <row r="602">
      <c r="A602" s="1">
        <f>HYPERLINK("https://eurofarma-latam-crm.veevavault.com/#object/account__v/V4TZ000018NYYEB", "Rodrigo Lima")</f>
        <v/>
      </c>
      <c r="B602" s="1">
        <f>HYPERLINK("https://eurofarma-latam-crm.veevavault.com/#object/account__v/V4TZ000018NYYEB", "Rodrigo Magalhães Lima")</f>
        <v/>
      </c>
      <c r="C602" t="inlineStr">
        <is>
          <t>RJ0693324</t>
        </is>
      </c>
      <c r="D602" t="inlineStr">
        <is>
          <t>GER</t>
        </is>
      </c>
      <c r="E602" t="inlineStr">
        <is>
          <t>Rua José Souza, 77</t>
        </is>
      </c>
      <c r="F602" t="inlineStr">
        <is>
          <t>Bacaxá (Bacaxá)</t>
        </is>
      </c>
      <c r="G602" t="inlineStr">
        <is>
          <t>Saquarema</t>
        </is>
      </c>
      <c r="H602" t="inlineStr">
        <is>
          <t>RJ</t>
        </is>
      </c>
      <c r="I602" t="n">
        <v>5152</v>
      </c>
      <c r="J602" t="inlineStr">
        <is>
          <t>CAT 4</t>
        </is>
      </c>
      <c r="K602" t="inlineStr">
        <is>
          <t>N�o</t>
        </is>
      </c>
    </row>
    <row r="603">
      <c r="A603" s="1">
        <f>HYPERLINK("https://eurofarma-latam-crm.veevavault.com/#object/account__v/V4TZ000018NYWUK", "Rodrigo Pereira")</f>
        <v/>
      </c>
      <c r="B603" s="1">
        <f>HYPERLINK("https://eurofarma-latam-crm.veevavault.com/#object/account__v/V4TZ000018NYWUK", "Rodrigo Moreira Pereira")</f>
        <v/>
      </c>
      <c r="C603" t="inlineStr">
        <is>
          <t>RJ1066803,SP0182572</t>
        </is>
      </c>
      <c r="D603" t="inlineStr">
        <is>
          <t>NEU</t>
        </is>
      </c>
      <c r="E603" t="inlineStr">
        <is>
          <t>Rua Major Félix Moreira, 359</t>
        </is>
      </c>
      <c r="F603" t="inlineStr">
        <is>
          <t>Centro</t>
        </is>
      </c>
      <c r="G603" t="inlineStr">
        <is>
          <t>Araruama</t>
        </is>
      </c>
      <c r="H603" t="inlineStr">
        <is>
          <t>RJ</t>
        </is>
      </c>
      <c r="I603" t="n">
        <v>5152</v>
      </c>
      <c r="J603" t="inlineStr">
        <is>
          <t>CAT 3</t>
        </is>
      </c>
      <c r="K603" t="inlineStr">
        <is>
          <t>Sim</t>
        </is>
      </c>
    </row>
    <row r="604">
      <c r="A604" s="1">
        <f>HYPERLINK("https://eurofarma-latam-crm.veevavault.com/#object/account__v/V4TZ000018NYPEX", "Rodrigo Santos")</f>
        <v/>
      </c>
      <c r="B604" s="1">
        <f>HYPERLINK("https://eurofarma-latam-crm.veevavault.com/#object/account__v/V4TZ000018NYPEX", "Rodrigo Neves dos Santos")</f>
        <v/>
      </c>
      <c r="C604" t="inlineStr">
        <is>
          <t>RJ0992623</t>
        </is>
      </c>
      <c r="D604" t="inlineStr">
        <is>
          <t>CLG</t>
        </is>
      </c>
      <c r="E604" t="inlineStr">
        <is>
          <t>Rua Joaquim Ferreira da Silva, 03 - Quadra 160 Lote 03</t>
        </is>
      </c>
      <c r="F604" t="inlineStr">
        <is>
          <t>Centro</t>
        </is>
      </c>
      <c r="G604" t="inlineStr">
        <is>
          <t>Maricá</t>
        </is>
      </c>
      <c r="H604" t="inlineStr">
        <is>
          <t>RJ</t>
        </is>
      </c>
      <c r="I604" t="n">
        <v>5152</v>
      </c>
      <c r="J604" t="inlineStr">
        <is>
          <t>CAT 5</t>
        </is>
      </c>
      <c r="K604" t="inlineStr">
        <is>
          <t>N�o</t>
        </is>
      </c>
    </row>
    <row r="605">
      <c r="A605" s="1">
        <f>HYPERLINK("https://eurofarma-latam-crm.veevavault.com/#object/account__v/V4TZ00001914OKK", "Rodrigo Tadeu Antunes")</f>
        <v/>
      </c>
      <c r="B605" s="1">
        <f>HYPERLINK("https://eurofarma-latam-crm.veevavault.com/#object/account__v/V4TZ00001914OKK", "Rodrigo Tadeu Aquino Antunes")</f>
        <v/>
      </c>
      <c r="C605" t="inlineStr">
        <is>
          <t>RJ1169041</t>
        </is>
      </c>
      <c r="D605" t="inlineStr">
        <is>
          <t>ORT</t>
        </is>
      </c>
      <c r="E605" t="inlineStr">
        <is>
          <t>Rua Fábio Lúcio dos Santos, 158 - Barreira</t>
        </is>
      </c>
      <c r="F605" t="inlineStr">
        <is>
          <t>Verde Vale (Bacaxá)</t>
        </is>
      </c>
      <c r="G605" t="inlineStr">
        <is>
          <t>Saquarema</t>
        </is>
      </c>
      <c r="H605" t="inlineStr">
        <is>
          <t>RJ</t>
        </is>
      </c>
      <c r="I605" t="n">
        <v>5152</v>
      </c>
      <c r="J605" t="inlineStr">
        <is>
          <t>CAT 5</t>
        </is>
      </c>
      <c r="K605" t="inlineStr">
        <is>
          <t>N�o</t>
        </is>
      </c>
    </row>
    <row r="606">
      <c r="A606" s="1">
        <f>HYPERLINK("https://eurofarma-latam-crm.veevavault.com/#object/account__v/V4TZ00001916FHW", "Rogerio Magalhaes")</f>
        <v/>
      </c>
      <c r="B606" s="1">
        <f>HYPERLINK("https://eurofarma-latam-crm.veevavault.com/#object/account__v/V4TZ00001916FHW", "Rogerio Monnerat Magalhaes")</f>
        <v/>
      </c>
      <c r="C606" t="inlineStr">
        <is>
          <t>RJ0314860</t>
        </is>
      </c>
      <c r="D606" t="inlineStr">
        <is>
          <t>CLG / SNC</t>
        </is>
      </c>
      <c r="E606" t="inlineStr">
        <is>
          <t>Rua Beatriz Amaral Pereira, 142 - Sala 03</t>
        </is>
      </c>
      <c r="F606" t="inlineStr">
        <is>
          <t>Bacaxá (Bacaxá)</t>
        </is>
      </c>
      <c r="G606" t="inlineStr">
        <is>
          <t>Saquarema</t>
        </is>
      </c>
      <c r="H606" t="inlineStr">
        <is>
          <t>RJ</t>
        </is>
      </c>
      <c r="I606" t="n">
        <v>5152</v>
      </c>
      <c r="J606" t="inlineStr">
        <is>
          <t>CAT 5</t>
        </is>
      </c>
      <c r="K606" t="inlineStr">
        <is>
          <t>N�o</t>
        </is>
      </c>
    </row>
    <row r="607">
      <c r="A607" s="1">
        <f>HYPERLINK("https://eurofarma-latam-crm.veevavault.com/#object/account__v/V4TZ000018NXYFH", "Roque Dominguez")</f>
        <v/>
      </c>
      <c r="B607" s="1">
        <f>HYPERLINK("https://eurofarma-latam-crm.veevavault.com/#object/account__v/V4TZ000018NXYFH", "Roque Julio Martinez Dominguez")</f>
        <v/>
      </c>
      <c r="C607" t="inlineStr">
        <is>
          <t>RJ0603763,SP0212713</t>
        </is>
      </c>
      <c r="D607" t="inlineStr">
        <is>
          <t>NEU</t>
        </is>
      </c>
      <c r="E607" t="inlineStr">
        <is>
          <t>Estrada do Pacheco, 216</t>
        </is>
      </c>
      <c r="F607" t="inlineStr">
        <is>
          <t>Lagoinha</t>
        </is>
      </c>
      <c r="G607" t="inlineStr">
        <is>
          <t>São Gonçalo</t>
        </is>
      </c>
      <c r="H607" t="inlineStr">
        <is>
          <t>RJ</t>
        </is>
      </c>
      <c r="I607" t="n">
        <v>5152</v>
      </c>
      <c r="J607" t="inlineStr">
        <is>
          <t>CAT 3</t>
        </is>
      </c>
      <c r="K607" t="inlineStr">
        <is>
          <t>Sim</t>
        </is>
      </c>
    </row>
    <row r="608">
      <c r="A608" s="1">
        <f>HYPERLINK("https://eurofarma-latam-crm.veevavault.com/#object/account__v/V4TZ00001915ACD", "Rosana Martins")</f>
        <v/>
      </c>
      <c r="B608" s="1">
        <f>HYPERLINK("https://eurofarma-latam-crm.veevavault.com/#object/account__v/V4TZ00001915ACD", "Rosana Martins")</f>
        <v/>
      </c>
      <c r="C608" t="inlineStr">
        <is>
          <t>RJ0502243</t>
        </is>
      </c>
      <c r="D608" t="inlineStr">
        <is>
          <t>PED</t>
        </is>
      </c>
      <c r="E608" t="inlineStr">
        <is>
          <t>Rua República, S/N</t>
        </is>
      </c>
      <c r="F608" t="inlineStr">
        <is>
          <t>Vila Ideal</t>
        </is>
      </c>
      <c r="G608" t="inlineStr">
        <is>
          <t>Duque de Caxias</t>
        </is>
      </c>
      <c r="H608" t="inlineStr">
        <is>
          <t>RJ</t>
        </is>
      </c>
      <c r="I608" t="n">
        <v>5152</v>
      </c>
      <c r="J608" t="inlineStr">
        <is>
          <t>CAT 5</t>
        </is>
      </c>
      <c r="K608" t="inlineStr">
        <is>
          <t>N�o</t>
        </is>
      </c>
    </row>
    <row r="609">
      <c r="A609" s="1">
        <f>HYPERLINK("https://eurofarma-latam-crm.veevavault.com/#object/account__v/V4TZ000018NY4R0", "Rosanna Gonzalez")</f>
        <v/>
      </c>
      <c r="B609" s="1">
        <f>HYPERLINK("https://eurofarma-latam-crm.veevavault.com/#object/account__v/V4TZ000018NY4R0", "Rosanna das Flores Gonzalez")</f>
        <v/>
      </c>
      <c r="C609" t="inlineStr">
        <is>
          <t>RJ0627453</t>
        </is>
      </c>
      <c r="D609" t="inlineStr">
        <is>
          <t>PED</t>
        </is>
      </c>
      <c r="E609" t="inlineStr">
        <is>
          <t>Rua Domício da Gama, 433</t>
        </is>
      </c>
      <c r="F609" t="inlineStr">
        <is>
          <t>Araçatiba</t>
        </is>
      </c>
      <c r="G609" t="inlineStr">
        <is>
          <t>Maricá</t>
        </is>
      </c>
      <c r="H609" t="inlineStr">
        <is>
          <t>RJ</t>
        </is>
      </c>
      <c r="I609" t="n">
        <v>5152</v>
      </c>
      <c r="J609" t="inlineStr">
        <is>
          <t>CAT 5</t>
        </is>
      </c>
      <c r="K609" t="inlineStr">
        <is>
          <t>N�o</t>
        </is>
      </c>
    </row>
    <row r="610">
      <c r="A610" s="1">
        <f>HYPERLINK("https://eurofarma-latam-crm.veevavault.com/#object/account__v/V4TZ000018NXJ2O", "Sabrina Maia")</f>
        <v/>
      </c>
      <c r="B610" s="1">
        <f>HYPERLINK("https://eurofarma-latam-crm.veevavault.com/#object/account__v/V4TZ000018NXJ2O", "Sabrina Badr Maia")</f>
        <v/>
      </c>
      <c r="C610" t="inlineStr">
        <is>
          <t>RJ0923273</t>
        </is>
      </c>
      <c r="D610" t="inlineStr">
        <is>
          <t>PED</t>
        </is>
      </c>
      <c r="E610" t="inlineStr">
        <is>
          <t>Rua Fábio Lúcio dos Santos, 158 - Barreira</t>
        </is>
      </c>
      <c r="F610" t="inlineStr">
        <is>
          <t>Verde Vale (Bacaxá)</t>
        </is>
      </c>
      <c r="G610" t="inlineStr">
        <is>
          <t>Saquarema</t>
        </is>
      </c>
      <c r="H610" t="inlineStr">
        <is>
          <t>RJ</t>
        </is>
      </c>
      <c r="I610" t="n">
        <v>5152</v>
      </c>
      <c r="J610" t="inlineStr">
        <is>
          <t>CAT 4</t>
        </is>
      </c>
      <c r="K610" t="inlineStr">
        <is>
          <t>Sim</t>
        </is>
      </c>
    </row>
    <row r="611">
      <c r="A611" s="1">
        <f>HYPERLINK("https://eurofarma-latam-crm.veevavault.com/#object/account__v/V4TZ00001912XPN", "Samantha Serrano")</f>
        <v/>
      </c>
      <c r="B611" s="1">
        <f>HYPERLINK("https://eurofarma-latam-crm.veevavault.com/#object/account__v/V4TZ00001912XPN", "Samantha Antoun Serrano")</f>
        <v/>
      </c>
      <c r="C611" t="inlineStr">
        <is>
          <t>RJ0751448</t>
        </is>
      </c>
      <c r="D611" t="inlineStr">
        <is>
          <t>END</t>
        </is>
      </c>
      <c r="E611" t="inlineStr">
        <is>
          <t>Rua Comendador Bento José Martins, 297 - Sala 306</t>
        </is>
      </c>
      <c r="F611" t="inlineStr">
        <is>
          <t>Centro</t>
        </is>
      </c>
      <c r="G611" t="inlineStr">
        <is>
          <t>Araruama</t>
        </is>
      </c>
      <c r="H611" t="inlineStr">
        <is>
          <t>RJ</t>
        </is>
      </c>
      <c r="I611" t="n">
        <v>5152</v>
      </c>
      <c r="J611" t="inlineStr">
        <is>
          <t>CAT 4</t>
        </is>
      </c>
      <c r="K611" t="inlineStr">
        <is>
          <t>Sim</t>
        </is>
      </c>
    </row>
    <row r="612">
      <c r="A612" s="1">
        <f>HYPERLINK("https://eurofarma-latam-crm.veevavault.com/#object/account__v/V4TZ000019143G6", "Sandra Santos")</f>
        <v/>
      </c>
      <c r="B612" s="1">
        <f>HYPERLINK("https://eurofarma-latam-crm.veevavault.com/#object/account__v/V4TZ000019143G6", "Sandra Coelho Madeira Santos")</f>
        <v/>
      </c>
      <c r="C612" t="inlineStr">
        <is>
          <t>RJ0492576</t>
        </is>
      </c>
      <c r="D612" t="inlineStr">
        <is>
          <t>CLG / END</t>
        </is>
      </c>
      <c r="E612" t="inlineStr">
        <is>
          <t>Avenida José Mariano Passos, 948 - 2 Andar</t>
        </is>
      </c>
      <c r="F612" t="inlineStr">
        <is>
          <t>Centro</t>
        </is>
      </c>
      <c r="G612" t="inlineStr">
        <is>
          <t>Belford Roxo</t>
        </is>
      </c>
      <c r="H612" t="inlineStr">
        <is>
          <t>RJ</t>
        </is>
      </c>
      <c r="I612" t="n">
        <v>5152</v>
      </c>
      <c r="J612" t="inlineStr">
        <is>
          <t>CAT 5</t>
        </is>
      </c>
      <c r="K612" t="inlineStr">
        <is>
          <t>N�o</t>
        </is>
      </c>
    </row>
    <row r="613">
      <c r="A613" s="1">
        <f>HYPERLINK("https://eurofarma-latam-crm.veevavault.com/#object/account__v/V4TZ025E89DCA6K", "Sara Cunha")</f>
        <v/>
      </c>
      <c r="B613" s="1">
        <f>HYPERLINK("https://eurofarma-latam-crm.veevavault.com/#object/account__v/V4TZ025E89DCA6K", "Sara Luiza Ronzani da Cunha")</f>
        <v/>
      </c>
      <c r="C613" t="inlineStr">
        <is>
          <t>RJ1213733</t>
        </is>
      </c>
      <c r="D613" t="inlineStr">
        <is>
          <t>NEU</t>
        </is>
      </c>
      <c r="E613" t="inlineStr">
        <is>
          <t>Avenida Martinho Almeida, 222</t>
        </is>
      </c>
      <c r="F613" t="inlineStr">
        <is>
          <t>Mangueirinha</t>
        </is>
      </c>
      <c r="G613" t="inlineStr">
        <is>
          <t>Rio Bonito</t>
        </is>
      </c>
      <c r="H613" t="inlineStr">
        <is>
          <t>RJ</t>
        </is>
      </c>
      <c r="I613" t="n">
        <v>5152</v>
      </c>
      <c r="J613" t="inlineStr">
        <is>
          <t>CAT 2</t>
        </is>
      </c>
      <c r="K613" t="inlineStr">
        <is>
          <t>Sim</t>
        </is>
      </c>
    </row>
    <row r="614">
      <c r="A614" s="1">
        <f>HYPERLINK("https://eurofarma-latam-crm.veevavault.com/#object/account__v/V4TZ000019148ME", "Sergio José de Figueiredo Junior")</f>
        <v/>
      </c>
      <c r="B614" s="1">
        <f>HYPERLINK("https://eurofarma-latam-crm.veevavault.com/#object/account__v/V4TZ000019148ME", "Sergio José Villela de Figueiredo Junior")</f>
        <v/>
      </c>
      <c r="C614" t="inlineStr">
        <is>
          <t>RJ0599449</t>
        </is>
      </c>
      <c r="D614" t="inlineStr">
        <is>
          <t>END</t>
        </is>
      </c>
      <c r="E614" t="inlineStr">
        <is>
          <t>Avenida Getúlio Vargas, 655 - B</t>
        </is>
      </c>
      <c r="F614" t="inlineStr">
        <is>
          <t>Centro</t>
        </is>
      </c>
      <c r="G614" t="inlineStr">
        <is>
          <t>Araruama</t>
        </is>
      </c>
      <c r="H614" t="inlineStr">
        <is>
          <t>RJ</t>
        </is>
      </c>
      <c r="I614" t="n">
        <v>5152</v>
      </c>
      <c r="J614" t="inlineStr">
        <is>
          <t>CAT 3</t>
        </is>
      </c>
      <c r="K614" t="inlineStr">
        <is>
          <t>Sim</t>
        </is>
      </c>
    </row>
    <row r="615">
      <c r="A615" s="1">
        <f>HYPERLINK("https://eurofarma-latam-crm.veevavault.com/#object/account__v/V4TZ000018NY6YT", "Sérgio Paraizo")</f>
        <v/>
      </c>
      <c r="B615" s="1">
        <f>HYPERLINK("https://eurofarma-latam-crm.veevavault.com/#object/account__v/V4TZ000018NY6YT", "Sérgio Fagundes Lima Paraizo")</f>
        <v/>
      </c>
      <c r="C615" t="inlineStr">
        <is>
          <t>RJ0975281</t>
        </is>
      </c>
      <c r="D615" t="inlineStr">
        <is>
          <t>ORT</t>
        </is>
      </c>
      <c r="E615" t="inlineStr">
        <is>
          <t>Rua Borda do Mato, 100</t>
        </is>
      </c>
      <c r="F615" t="inlineStr">
        <is>
          <t>Grajaú</t>
        </is>
      </c>
      <c r="G615" t="inlineStr">
        <is>
          <t>Rio de Janeiro</t>
        </is>
      </c>
      <c r="H615" t="inlineStr">
        <is>
          <t>RJ</t>
        </is>
      </c>
      <c r="I615" t="n">
        <v>5152</v>
      </c>
      <c r="J615" t="inlineStr">
        <is>
          <t>CAT 3</t>
        </is>
      </c>
      <c r="K615" t="inlineStr">
        <is>
          <t>Sim</t>
        </is>
      </c>
    </row>
    <row r="616">
      <c r="A616" s="1">
        <f>HYPERLINK("https://eurofarma-latam-crm.veevavault.com/#object/account__v/V4TZ000018NZ0OL", "Sidney Garcia")</f>
        <v/>
      </c>
      <c r="B616" s="1">
        <f>HYPERLINK("https://eurofarma-latam-crm.veevavault.com/#object/account__v/V4TZ000018NZ0OL", "Sidney Leal Garcia")</f>
        <v/>
      </c>
      <c r="C616" t="inlineStr">
        <is>
          <t>RJ0362132</t>
        </is>
      </c>
      <c r="D616" t="inlineStr">
        <is>
          <t>ORT</t>
        </is>
      </c>
      <c r="E616" t="inlineStr">
        <is>
          <t>Rua Doutor João Vasconcelos, 154</t>
        </is>
      </c>
      <c r="F616" t="inlineStr">
        <is>
          <t>Bananeiras (Iguabinha)</t>
        </is>
      </c>
      <c r="G616" t="inlineStr">
        <is>
          <t>Araruama</t>
        </is>
      </c>
      <c r="H616" t="inlineStr">
        <is>
          <t>RJ</t>
        </is>
      </c>
      <c r="I616" t="n">
        <v>5152</v>
      </c>
      <c r="J616" t="inlineStr">
        <is>
          <t>CAT 5</t>
        </is>
      </c>
      <c r="K616" t="inlineStr">
        <is>
          <t>Sim</t>
        </is>
      </c>
    </row>
    <row r="617">
      <c r="A617" s="1">
        <f>HYPERLINK("https://eurofarma-latam-crm.veevavault.com/#object/account__v/V4TZ00001914LTB", "Simone Agrizzi")</f>
        <v/>
      </c>
      <c r="B617" s="1">
        <f>HYPERLINK("https://eurofarma-latam-crm.veevavault.com/#object/account__v/V4TZ00001914LTB", "Simone de Oliveira Agrizzi")</f>
        <v/>
      </c>
      <c r="C617" t="inlineStr">
        <is>
          <t>RJ0616524</t>
        </is>
      </c>
      <c r="D617" t="inlineStr">
        <is>
          <t>PED</t>
        </is>
      </c>
      <c r="E617" t="inlineStr">
        <is>
          <t>Avenida Vinte e Dois de Maio, S/N - KM 34</t>
        </is>
      </c>
      <c r="F617" t="inlineStr">
        <is>
          <t>Colônia</t>
        </is>
      </c>
      <c r="G617" t="inlineStr">
        <is>
          <t>Itaboraí</t>
        </is>
      </c>
      <c r="H617" t="inlineStr">
        <is>
          <t>RJ</t>
        </is>
      </c>
      <c r="I617" t="n">
        <v>5152</v>
      </c>
      <c r="J617" t="inlineStr">
        <is>
          <t>CAT 5</t>
        </is>
      </c>
      <c r="K617" t="inlineStr">
        <is>
          <t>N�o</t>
        </is>
      </c>
    </row>
    <row r="618">
      <c r="A618" s="1">
        <f>HYPERLINK("https://eurofarma-latam-crm.veevavault.com/#object/account__v/V4TZ00001913X2K", "Simone Dias")</f>
        <v/>
      </c>
      <c r="B618" s="1">
        <f>HYPERLINK("https://eurofarma-latam-crm.veevavault.com/#object/account__v/V4TZ00001913X2K", "Simone Martins Dias")</f>
        <v/>
      </c>
      <c r="C618" t="inlineStr">
        <is>
          <t>RJ1122940</t>
        </is>
      </c>
      <c r="D618" t="inlineStr">
        <is>
          <t>ORT</t>
        </is>
      </c>
      <c r="E618" t="inlineStr">
        <is>
          <t>Rua Pastor Luiz Laurentino, 1292</t>
        </is>
      </c>
      <c r="F618" t="inlineStr">
        <is>
          <t>Centro</t>
        </is>
      </c>
      <c r="G618" t="inlineStr">
        <is>
          <t>Casimiro de Abreu</t>
        </is>
      </c>
      <c r="H618" t="inlineStr">
        <is>
          <t>RJ</t>
        </is>
      </c>
      <c r="I618" t="n">
        <v>5152</v>
      </c>
      <c r="J618" t="inlineStr">
        <is>
          <t>CAT 5</t>
        </is>
      </c>
      <c r="K618" t="inlineStr">
        <is>
          <t>N�o</t>
        </is>
      </c>
    </row>
    <row r="619">
      <c r="A619" s="1">
        <f>HYPERLINK("https://eurofarma-latam-crm.veevavault.com/#object/account__v/V4TZ0000191520F", "Siomara Robaina")</f>
        <v/>
      </c>
      <c r="B619" s="1">
        <f>HYPERLINK("https://eurofarma-latam-crm.veevavault.com/#object/account__v/V4TZ0000191520F", "Siomara Guimaraes Robaina")</f>
        <v/>
      </c>
      <c r="C619" t="inlineStr">
        <is>
          <t>RJ0411201</t>
        </is>
      </c>
      <c r="D619" t="inlineStr">
        <is>
          <t>CLG / END</t>
        </is>
      </c>
      <c r="E619" t="inlineStr">
        <is>
          <t>Rua Major Félix Moreira, 297</t>
        </is>
      </c>
      <c r="F619" t="inlineStr">
        <is>
          <t>Centro</t>
        </is>
      </c>
      <c r="G619" t="inlineStr">
        <is>
          <t>Araruama</t>
        </is>
      </c>
      <c r="H619" t="inlineStr">
        <is>
          <t>RJ</t>
        </is>
      </c>
      <c r="I619" t="n">
        <v>5152</v>
      </c>
      <c r="J619" t="inlineStr">
        <is>
          <t>CAT 3</t>
        </is>
      </c>
      <c r="K619" t="inlineStr">
        <is>
          <t>Sim</t>
        </is>
      </c>
    </row>
    <row r="620">
      <c r="A620" s="1">
        <f>HYPERLINK("https://eurofarma-latam-crm.veevavault.com/#object/account__v/V4TZ000018NYWA6", "Sylvia da Rocha")</f>
        <v/>
      </c>
      <c r="B620" s="1">
        <f>HYPERLINK("https://eurofarma-latam-crm.veevavault.com/#object/account__v/V4TZ000018NYWA6", "Sylvia Andrade da Rocha")</f>
        <v/>
      </c>
      <c r="C620" t="inlineStr">
        <is>
          <t>RJ0553000</t>
        </is>
      </c>
      <c r="D620" t="inlineStr">
        <is>
          <t>PED</t>
        </is>
      </c>
      <c r="E620" t="inlineStr">
        <is>
          <t>Rua Altevir Pinto Barreto, 15 - Qd 04 Lt 15</t>
        </is>
      </c>
      <c r="F620" t="inlineStr">
        <is>
          <t>Fazendinha</t>
        </is>
      </c>
      <c r="G620" t="inlineStr">
        <is>
          <t>Araruama</t>
        </is>
      </c>
      <c r="H620" t="inlineStr">
        <is>
          <t>RJ</t>
        </is>
      </c>
      <c r="I620" t="n">
        <v>5152</v>
      </c>
      <c r="J620" t="inlineStr">
        <is>
          <t>CAT 5</t>
        </is>
      </c>
      <c r="K620" t="inlineStr">
        <is>
          <t>N�o</t>
        </is>
      </c>
    </row>
    <row r="621">
      <c r="A621" s="1">
        <f>HYPERLINK("https://eurofarma-latam-crm.veevavault.com/#object/account__v/V4TZ00001915JS5", "Tainara Correia")</f>
        <v/>
      </c>
      <c r="B621" s="1">
        <f>HYPERLINK("https://eurofarma-latam-crm.veevavault.com/#object/account__v/V4TZ00001915JS5", "Tainara Toledo Correia")</f>
        <v/>
      </c>
      <c r="C621" t="inlineStr">
        <is>
          <t>RJ1252372</t>
        </is>
      </c>
      <c r="D621" t="inlineStr">
        <is>
          <t>CLG / PA</t>
        </is>
      </c>
      <c r="E621" t="inlineStr">
        <is>
          <t>Rua Alfredo Menezes, 980</t>
        </is>
      </c>
      <c r="F621" t="inlineStr">
        <is>
          <t>Bacaxá (Bacaxá)</t>
        </is>
      </c>
      <c r="G621" t="inlineStr">
        <is>
          <t>Saquarema</t>
        </is>
      </c>
      <c r="H621" t="inlineStr">
        <is>
          <t>RJ</t>
        </is>
      </c>
      <c r="I621" t="n">
        <v>5152</v>
      </c>
      <c r="J621" t="inlineStr">
        <is>
          <t>CAT 5</t>
        </is>
      </c>
      <c r="K621" t="inlineStr">
        <is>
          <t>Sim</t>
        </is>
      </c>
    </row>
    <row r="622">
      <c r="A622" s="1">
        <f>HYPERLINK("https://eurofarma-latam-crm.veevavault.com/#object/account__v/V4TZ025E8BHHAC8", "Tamires Correia")</f>
        <v/>
      </c>
      <c r="B622" s="1">
        <f>HYPERLINK("https://eurofarma-latam-crm.veevavault.com/#object/account__v/V4TZ025E8BHHAC8", "Tamires Toledo Correia")</f>
        <v/>
      </c>
      <c r="C622" t="inlineStr">
        <is>
          <t>RJ1361392</t>
        </is>
      </c>
      <c r="D622" t="inlineStr">
        <is>
          <t>CLG / PA</t>
        </is>
      </c>
      <c r="E622" t="inlineStr">
        <is>
          <t>Rua Fábio Lúcio dos Santos, 158 - Barreira</t>
        </is>
      </c>
      <c r="F622" t="inlineStr">
        <is>
          <t>Verde Vale (Bacaxá)</t>
        </is>
      </c>
      <c r="G622" t="inlineStr">
        <is>
          <t>Saquarema</t>
        </is>
      </c>
      <c r="H622" t="inlineStr">
        <is>
          <t>RJ</t>
        </is>
      </c>
      <c r="I622" t="n">
        <v>5152</v>
      </c>
      <c r="J622" t="inlineStr">
        <is>
          <t>CAT 5</t>
        </is>
      </c>
      <c r="K622" t="inlineStr">
        <is>
          <t>N�o</t>
        </is>
      </c>
    </row>
    <row r="623">
      <c r="A623" s="1">
        <f>HYPERLINK("https://eurofarma-latam-crm.veevavault.com/#object/account__v/V4TZ000018NXZ5E", "Tatiana Silva")</f>
        <v/>
      </c>
      <c r="B623" s="1">
        <f>HYPERLINK("https://eurofarma-latam-crm.veevavault.com/#object/account__v/V4TZ000018NXZ5E", "Tatiana Porto Silva")</f>
        <v/>
      </c>
      <c r="C623" t="inlineStr">
        <is>
          <t>RJ0669784</t>
        </is>
      </c>
      <c r="D623" t="inlineStr">
        <is>
          <t>CLG</t>
        </is>
      </c>
      <c r="E623" t="inlineStr">
        <is>
          <t>Rua Manoel Domingos dos Santos, 725</t>
        </is>
      </c>
      <c r="F623" t="inlineStr">
        <is>
          <t>Barreira (Bacaxá)</t>
        </is>
      </c>
      <c r="G623" t="inlineStr">
        <is>
          <t>Saquarema</t>
        </is>
      </c>
      <c r="H623" t="inlineStr">
        <is>
          <t>RJ</t>
        </is>
      </c>
      <c r="I623" t="n">
        <v>5152</v>
      </c>
      <c r="J623" t="inlineStr">
        <is>
          <t>CAT 5</t>
        </is>
      </c>
      <c r="K623" t="inlineStr">
        <is>
          <t>N�o</t>
        </is>
      </c>
    </row>
    <row r="624">
      <c r="A624" s="1">
        <f>HYPERLINK("https://eurofarma-latam-crm.veevavault.com/#object/account__v/V4TZ00001914DJB", "Tayna Carneiro")</f>
        <v/>
      </c>
      <c r="B624" s="1">
        <f>HYPERLINK("https://eurofarma-latam-crm.veevavault.com/#object/account__v/V4TZ00001914DJB", "Tayna Chaves Carneiro")</f>
        <v/>
      </c>
      <c r="C624" t="inlineStr">
        <is>
          <t>RJ0748129</t>
        </is>
      </c>
      <c r="D624" t="inlineStr">
        <is>
          <t>END</t>
        </is>
      </c>
      <c r="E624" t="inlineStr">
        <is>
          <t>Avenida Brasil, 10 - Sala 509</t>
        </is>
      </c>
      <c r="F624" t="inlineStr">
        <is>
          <t>Centro</t>
        </is>
      </c>
      <c r="G624" t="inlineStr">
        <is>
          <t>Araruama</t>
        </is>
      </c>
      <c r="H624" t="inlineStr">
        <is>
          <t>RJ</t>
        </is>
      </c>
      <c r="I624" t="n">
        <v>5152</v>
      </c>
      <c r="J624" t="inlineStr">
        <is>
          <t>CAT 5</t>
        </is>
      </c>
      <c r="K624" t="inlineStr">
        <is>
          <t>Sim</t>
        </is>
      </c>
    </row>
    <row r="625">
      <c r="A625" s="1">
        <f>HYPERLINK("https://eurofarma-latam-crm.veevavault.com/#object/account__v/V4TZ000018NXQTQ", "Tetsuaki Kiuchi")</f>
        <v/>
      </c>
      <c r="B625" s="1">
        <f>HYPERLINK("https://eurofarma-latam-crm.veevavault.com/#object/account__v/V4TZ000018NXQTQ", "Tetsuaki Kiuchi")</f>
        <v/>
      </c>
      <c r="C625" t="inlineStr">
        <is>
          <t>RJ0216318</t>
        </is>
      </c>
      <c r="D625" t="inlineStr">
        <is>
          <t>CLG / SNC</t>
        </is>
      </c>
      <c r="E625" t="inlineStr">
        <is>
          <t>Rua Joao Carmo, 186 - Anexo</t>
        </is>
      </c>
      <c r="F625" t="inlineStr">
        <is>
          <t>Centro</t>
        </is>
      </c>
      <c r="G625" t="inlineStr">
        <is>
          <t>Rio Bonito</t>
        </is>
      </c>
      <c r="H625" t="inlineStr">
        <is>
          <t>RJ</t>
        </is>
      </c>
      <c r="I625" t="n">
        <v>5152</v>
      </c>
      <c r="J625" t="inlineStr">
        <is>
          <t>CAT 2</t>
        </is>
      </c>
      <c r="K625" t="inlineStr">
        <is>
          <t>Sim</t>
        </is>
      </c>
    </row>
    <row r="626">
      <c r="A626" s="1">
        <f>HYPERLINK("https://eurofarma-latam-crm.veevavault.com/#object/account__v/V4TZ025E894SCDJ", "Tháira de Oliveira Reis")</f>
        <v/>
      </c>
      <c r="B626" s="1">
        <f>HYPERLINK("https://eurofarma-latam-crm.veevavault.com/#object/account__v/V4TZ025E894SCDJ", "Tháira Mendes de Oliveira Reis")</f>
        <v/>
      </c>
      <c r="C626" t="inlineStr">
        <is>
          <t>RJ1327640</t>
        </is>
      </c>
      <c r="D626" t="inlineStr">
        <is>
          <t>CLG / PA</t>
        </is>
      </c>
      <c r="E626" t="inlineStr">
        <is>
          <t>Rua Capitão Nunes, 2605</t>
        </is>
      </c>
      <c r="F626" t="inlineStr">
        <is>
          <t>Barreira (Bacaxá)</t>
        </is>
      </c>
      <c r="G626" t="inlineStr">
        <is>
          <t>Saquarema</t>
        </is>
      </c>
      <c r="H626" t="inlineStr">
        <is>
          <t>RJ</t>
        </is>
      </c>
      <c r="I626" t="n">
        <v>5152</v>
      </c>
      <c r="J626" t="inlineStr"/>
      <c r="K626" t="inlineStr"/>
    </row>
    <row r="627">
      <c r="A627" s="1">
        <f>HYPERLINK("https://eurofarma-latam-crm.veevavault.com/#object/account__v/V4TZ04ASGM87NBM", "Thamirys Augusto")</f>
        <v/>
      </c>
      <c r="B627" s="1">
        <f>HYPERLINK("https://eurofarma-latam-crm.veevavault.com/#object/account__v/V4TZ04ASGM87NBM", "Thamirys Dos Passaros Augusto")</f>
        <v/>
      </c>
      <c r="C627" t="inlineStr">
        <is>
          <t>RJ1385926</t>
        </is>
      </c>
      <c r="D627" t="inlineStr">
        <is>
          <t>PED</t>
        </is>
      </c>
      <c r="E627" t="inlineStr">
        <is>
          <t>Rua Pedro Luiz Souza, 108</t>
        </is>
      </c>
      <c r="F627" t="inlineStr">
        <is>
          <t>Centro</t>
        </is>
      </c>
      <c r="G627" t="inlineStr">
        <is>
          <t>Araruama</t>
        </is>
      </c>
      <c r="H627" t="inlineStr">
        <is>
          <t>RJ</t>
        </is>
      </c>
      <c r="I627" t="n">
        <v>5152</v>
      </c>
      <c r="J627" t="inlineStr">
        <is>
          <t>CAT 5</t>
        </is>
      </c>
      <c r="K627" t="inlineStr">
        <is>
          <t>N�o</t>
        </is>
      </c>
    </row>
    <row r="628">
      <c r="A628" s="1">
        <f>HYPERLINK("https://eurofarma-latam-crm.veevavault.com/#object/account__v/V4TZ000019141UZ", "Thayza Torres")</f>
        <v/>
      </c>
      <c r="B628" s="1">
        <f>HYPERLINK("https://eurofarma-latam-crm.veevavault.com/#object/account__v/V4TZ000019141UZ", "Thayza de Melo Peixoto Torres")</f>
        <v/>
      </c>
      <c r="C628" t="inlineStr">
        <is>
          <t>RJ1208438</t>
        </is>
      </c>
      <c r="D628" t="inlineStr">
        <is>
          <t>CLG</t>
        </is>
      </c>
      <c r="E628" t="inlineStr">
        <is>
          <t>Rua Baster Pillar, S/N</t>
        </is>
      </c>
      <c r="F628" t="inlineStr">
        <is>
          <t>Parque Hotel</t>
        </is>
      </c>
      <c r="G628" t="inlineStr">
        <is>
          <t>Araruama</t>
        </is>
      </c>
      <c r="H628" t="inlineStr">
        <is>
          <t>RJ</t>
        </is>
      </c>
      <c r="I628" t="n">
        <v>5152</v>
      </c>
      <c r="J628" t="inlineStr">
        <is>
          <t>CAT 5</t>
        </is>
      </c>
      <c r="K628" t="inlineStr">
        <is>
          <t>N�o</t>
        </is>
      </c>
    </row>
    <row r="629">
      <c r="A629" s="1">
        <f>HYPERLINK("https://eurofarma-latam-crm.veevavault.com/#object/account__v/V4TZ000018NXQQV", "Thereza Christina Souza")</f>
        <v/>
      </c>
      <c r="B629" s="1">
        <f>HYPERLINK("https://eurofarma-latam-crm.veevavault.com/#object/account__v/V4TZ000018NXQQV", "Thereza Christina Pereira de Souza")</f>
        <v/>
      </c>
      <c r="C629" t="inlineStr">
        <is>
          <t>RJ0466060</t>
        </is>
      </c>
      <c r="D629" t="inlineStr">
        <is>
          <t>GAS</t>
        </is>
      </c>
      <c r="E629" t="inlineStr">
        <is>
          <t>Rua Comendador Bento José Martins, 297 - Sala 209</t>
        </is>
      </c>
      <c r="F629" t="inlineStr">
        <is>
          <t>Centro</t>
        </is>
      </c>
      <c r="G629" t="inlineStr">
        <is>
          <t>Araruama</t>
        </is>
      </c>
      <c r="H629" t="inlineStr">
        <is>
          <t>RJ</t>
        </is>
      </c>
      <c r="I629" t="n">
        <v>5152</v>
      </c>
      <c r="J629" t="inlineStr">
        <is>
          <t>CAT 5</t>
        </is>
      </c>
      <c r="K629" t="inlineStr">
        <is>
          <t>Sim</t>
        </is>
      </c>
    </row>
    <row r="630">
      <c r="A630" s="1">
        <f>HYPERLINK("https://eurofarma-latam-crm.veevavault.com/#object/account__v/V4TZ000018NZ3DN", "Thyara Souza")</f>
        <v/>
      </c>
      <c r="B630" s="1">
        <f>HYPERLINK("https://eurofarma-latam-crm.veevavault.com/#object/account__v/V4TZ000018NZ3DN", "Thyara Boechat de Souza")</f>
        <v/>
      </c>
      <c r="C630" t="inlineStr">
        <is>
          <t>RJ1070584</t>
        </is>
      </c>
      <c r="D630" t="inlineStr">
        <is>
          <t>NEU</t>
        </is>
      </c>
      <c r="E630" t="inlineStr">
        <is>
          <t>Avenida Nilo Peçanha, 259 - Sala 101</t>
        </is>
      </c>
      <c r="F630" t="inlineStr">
        <is>
          <t>Centro</t>
        </is>
      </c>
      <c r="G630" t="inlineStr">
        <is>
          <t>Araruama</t>
        </is>
      </c>
      <c r="H630" t="inlineStr">
        <is>
          <t>RJ</t>
        </is>
      </c>
      <c r="I630" t="n">
        <v>5152</v>
      </c>
      <c r="J630" t="inlineStr">
        <is>
          <t>CAT 5</t>
        </is>
      </c>
      <c r="K630" t="inlineStr">
        <is>
          <t>Sim</t>
        </is>
      </c>
    </row>
    <row r="631">
      <c r="A631" s="1">
        <f>HYPERLINK("https://eurofarma-latam-crm.veevavault.com/#object/account__v/V4TZ00001915US9", "Ursula Santos")</f>
        <v/>
      </c>
      <c r="B631" s="1">
        <f>HYPERLINK("https://eurofarma-latam-crm.veevavault.com/#object/account__v/V4TZ00001915US9", "Ursula Silva dos Santos")</f>
        <v/>
      </c>
      <c r="C631" t="inlineStr">
        <is>
          <t>RJ0879312</t>
        </is>
      </c>
      <c r="D631" t="inlineStr">
        <is>
          <t>CLG / PA</t>
        </is>
      </c>
      <c r="E631" t="inlineStr">
        <is>
          <t>Rua Fábio Lúcio dos Santos, 158 - Barreira</t>
        </is>
      </c>
      <c r="F631" t="inlineStr">
        <is>
          <t>Verde Vale (Bacaxá)</t>
        </is>
      </c>
      <c r="G631" t="inlineStr">
        <is>
          <t>Saquarema</t>
        </is>
      </c>
      <c r="H631" t="inlineStr">
        <is>
          <t>RJ</t>
        </is>
      </c>
      <c r="I631" t="n">
        <v>5152</v>
      </c>
      <c r="J631" t="inlineStr">
        <is>
          <t>CAT 5</t>
        </is>
      </c>
      <c r="K631" t="inlineStr">
        <is>
          <t>N�o</t>
        </is>
      </c>
    </row>
    <row r="632">
      <c r="A632" s="1">
        <f>HYPERLINK("https://eurofarma-latam-crm.veevavault.com/#object/account__v/V4TZ000018NXROW", "Valeria Portugal")</f>
        <v/>
      </c>
      <c r="B632" s="1">
        <f>HYPERLINK("https://eurofarma-latam-crm.veevavault.com/#object/account__v/V4TZ000018NXROW", "Valeria Gualtiero Portugal")</f>
        <v/>
      </c>
      <c r="C632" t="inlineStr">
        <is>
          <t>RJ0332295</t>
        </is>
      </c>
      <c r="D632" t="inlineStr">
        <is>
          <t>PED</t>
        </is>
      </c>
      <c r="E632" t="inlineStr">
        <is>
          <t>Rua Adolfo Bravo, 42</t>
        </is>
      </c>
      <c r="F632" t="inlineStr">
        <is>
          <t>Bacaxá (Bacaxá)</t>
        </is>
      </c>
      <c r="G632" t="inlineStr">
        <is>
          <t>Saquarema</t>
        </is>
      </c>
      <c r="H632" t="inlineStr">
        <is>
          <t>RJ</t>
        </is>
      </c>
      <c r="I632" t="n">
        <v>5152</v>
      </c>
      <c r="J632" t="inlineStr">
        <is>
          <t>CAT 5</t>
        </is>
      </c>
      <c r="K632" t="inlineStr">
        <is>
          <t>Sim</t>
        </is>
      </c>
    </row>
    <row r="633">
      <c r="A633" s="1">
        <f>HYPERLINK("https://eurofarma-latam-crm.veevavault.com/#object/account__v/V4TZ00001914BKP", "Vanderson Meirelles")</f>
        <v/>
      </c>
      <c r="B633" s="1">
        <f>HYPERLINK("https://eurofarma-latam-crm.veevavault.com/#object/account__v/V4TZ00001914BKP", "Vanderson Almeida Meirelles")</f>
        <v/>
      </c>
      <c r="C633" t="inlineStr">
        <is>
          <t>RJ0787779</t>
        </is>
      </c>
      <c r="D633" t="inlineStr">
        <is>
          <t>CLG / SNC</t>
        </is>
      </c>
      <c r="E633" t="inlineStr">
        <is>
          <t>Rodovia Amaral Peixoto, S/N - KM 71 1 Andar</t>
        </is>
      </c>
      <c r="F633" t="inlineStr">
        <is>
          <t>Bacaxá (Bacaxá)</t>
        </is>
      </c>
      <c r="G633" t="inlineStr">
        <is>
          <t>Saquarema</t>
        </is>
      </c>
      <c r="H633" t="inlineStr">
        <is>
          <t>RJ</t>
        </is>
      </c>
      <c r="I633" t="n">
        <v>5152</v>
      </c>
      <c r="J633" t="inlineStr">
        <is>
          <t>CAT 4</t>
        </is>
      </c>
      <c r="K633" t="inlineStr">
        <is>
          <t>Sim</t>
        </is>
      </c>
    </row>
    <row r="634">
      <c r="A634" s="1">
        <f>HYPERLINK("https://eurofarma-latam-crm.veevavault.com/#object/account__v/V4TZ00001915CSK", "Vera Lucia Santos")</f>
        <v/>
      </c>
      <c r="B634" s="1">
        <f>HYPERLINK("https://eurofarma-latam-crm.veevavault.com/#object/account__v/V4TZ00001915CSK", "Vera Lucia Quintaes Garcia Santos")</f>
        <v/>
      </c>
      <c r="C634" t="inlineStr">
        <is>
          <t>RJ0512388</t>
        </is>
      </c>
      <c r="D634" t="inlineStr">
        <is>
          <t>ORT</t>
        </is>
      </c>
      <c r="E634" t="inlineStr">
        <is>
          <t>Rua Pedro Luiz Souza, 108</t>
        </is>
      </c>
      <c r="F634" t="inlineStr">
        <is>
          <t>Centro</t>
        </is>
      </c>
      <c r="G634" t="inlineStr">
        <is>
          <t>Araruama</t>
        </is>
      </c>
      <c r="H634" t="inlineStr">
        <is>
          <t>RJ</t>
        </is>
      </c>
      <c r="I634" t="n">
        <v>5152</v>
      </c>
      <c r="J634" t="inlineStr">
        <is>
          <t>CAT 5</t>
        </is>
      </c>
      <c r="K634" t="inlineStr">
        <is>
          <t>Sim</t>
        </is>
      </c>
    </row>
    <row r="635">
      <c r="A635" s="1">
        <f>HYPERLINK("https://eurofarma-latam-crm.veevavault.com/#object/account__v/V4TZ00001913W5E", "Victor Paula")</f>
        <v/>
      </c>
      <c r="B635" s="1">
        <f>HYPERLINK("https://eurofarma-latam-crm.veevavault.com/#object/account__v/V4TZ00001913W5E", "Victor Cunha Borba de Paula")</f>
        <v/>
      </c>
      <c r="C635" t="inlineStr">
        <is>
          <t>RJ1177036</t>
        </is>
      </c>
      <c r="D635" t="inlineStr">
        <is>
          <t>CLG / PA</t>
        </is>
      </c>
      <c r="E635" t="inlineStr">
        <is>
          <t>Rua Noventa e Sete, 1008</t>
        </is>
      </c>
      <c r="F635" t="inlineStr">
        <is>
          <t>Jaconé (Sampaio Correia)</t>
        </is>
      </c>
      <c r="G635" t="inlineStr">
        <is>
          <t>Saquarema</t>
        </is>
      </c>
      <c r="H635" t="inlineStr">
        <is>
          <t>RJ</t>
        </is>
      </c>
      <c r="I635" t="n">
        <v>5152</v>
      </c>
      <c r="J635" t="inlineStr">
        <is>
          <t>CAT 4</t>
        </is>
      </c>
      <c r="K635" t="inlineStr">
        <is>
          <t>Sim</t>
        </is>
      </c>
    </row>
    <row r="636">
      <c r="A636" s="1">
        <f>HYPERLINK("https://eurofarma-latam-crm.veevavault.com/#object/account__v/V4TZ025E88QZWXP", "Victor Souza")</f>
        <v/>
      </c>
      <c r="B636" s="1">
        <f>HYPERLINK("https://eurofarma-latam-crm.veevavault.com/#object/account__v/V4TZ025E88QZWXP", "Victor Andrade Rocha de Souza")</f>
        <v/>
      </c>
      <c r="C636" t="inlineStr">
        <is>
          <t>RJ1328220</t>
        </is>
      </c>
      <c r="D636" t="inlineStr">
        <is>
          <t>CLG / PA</t>
        </is>
      </c>
      <c r="E636" t="inlineStr">
        <is>
          <t>Avenida Amaral Peixoto, S/N - KM 136</t>
        </is>
      </c>
      <c r="F636" t="inlineStr">
        <is>
          <t>Vista Alegre (Tamoios)</t>
        </is>
      </c>
      <c r="G636" t="inlineStr">
        <is>
          <t>Cabo Frio</t>
        </is>
      </c>
      <c r="H636" t="inlineStr">
        <is>
          <t>RJ</t>
        </is>
      </c>
      <c r="I636" t="n">
        <v>5152</v>
      </c>
      <c r="J636" t="inlineStr">
        <is>
          <t>CAT 5</t>
        </is>
      </c>
      <c r="K636" t="inlineStr">
        <is>
          <t>Sim</t>
        </is>
      </c>
    </row>
    <row r="637">
      <c r="A637" s="1">
        <f>HYPERLINK("https://eurofarma-latam-crm.veevavault.com/#object/account__v/V4TZ025E8F3T26X", "Victor Ximenes")</f>
        <v/>
      </c>
      <c r="B637" s="1">
        <f>HYPERLINK("https://eurofarma-latam-crm.veevavault.com/#object/account__v/V4TZ025E8F3T26X", "Victor Hugo Paixão Ximenes")</f>
        <v/>
      </c>
      <c r="C637" t="inlineStr">
        <is>
          <t>RJ1374016</t>
        </is>
      </c>
      <c r="D637" t="inlineStr">
        <is>
          <t>CLG / PA</t>
        </is>
      </c>
      <c r="E637" t="inlineStr">
        <is>
          <t>Rodovia BR-101, S/N - Km 265</t>
        </is>
      </c>
      <c r="F637" t="inlineStr">
        <is>
          <t>Praça Cruzeiro</t>
        </is>
      </c>
      <c r="G637" t="inlineStr">
        <is>
          <t>Rio Bonito</t>
        </is>
      </c>
      <c r="H637" t="inlineStr">
        <is>
          <t>RJ</t>
        </is>
      </c>
      <c r="I637" t="n">
        <v>5152</v>
      </c>
      <c r="J637" t="inlineStr"/>
      <c r="K637" t="inlineStr"/>
    </row>
    <row r="638">
      <c r="A638" s="1">
        <f>HYPERLINK("https://eurofarma-latam-crm.veevavault.com/#object/account__v/V4TZ00001915OF2", "Vinicius Albergaria")</f>
        <v/>
      </c>
      <c r="B638" s="1">
        <f>HYPERLINK("https://eurofarma-latam-crm.veevavault.com/#object/account__v/V4TZ00001915OF2", "Vinicius Del Gaudio Albergaria")</f>
        <v/>
      </c>
      <c r="C638" t="inlineStr">
        <is>
          <t>MG0084913,RJ1180029</t>
        </is>
      </c>
      <c r="D638" t="inlineStr">
        <is>
          <t>ORT</t>
        </is>
      </c>
      <c r="E638" t="inlineStr">
        <is>
          <t>Rua Dagmar da Fonseca, 192</t>
        </is>
      </c>
      <c r="F638" t="inlineStr">
        <is>
          <t>Madureira</t>
        </is>
      </c>
      <c r="G638" t="inlineStr">
        <is>
          <t>Rio de Janeiro</t>
        </is>
      </c>
      <c r="H638" t="inlineStr">
        <is>
          <t>RJ</t>
        </is>
      </c>
      <c r="I638" t="n">
        <v>5152</v>
      </c>
      <c r="J638" t="inlineStr">
        <is>
          <t>CAT 5</t>
        </is>
      </c>
      <c r="K638" t="inlineStr">
        <is>
          <t>Sim</t>
        </is>
      </c>
    </row>
    <row r="639">
      <c r="A639" s="1">
        <f>HYPERLINK("https://eurofarma-latam-crm.veevavault.com/#object/account__v/V4TZ000018NZ916", "Vinicius Almeida")</f>
        <v/>
      </c>
      <c r="B639" s="1">
        <f>HYPERLINK("https://eurofarma-latam-crm.veevavault.com/#object/account__v/V4TZ000018NZ916", "Vinicius Rodrigues Ribeiro de Almeida")</f>
        <v/>
      </c>
      <c r="C639" t="inlineStr">
        <is>
          <t>RJ0536874</t>
        </is>
      </c>
      <c r="D639" t="inlineStr">
        <is>
          <t>CLG</t>
        </is>
      </c>
      <c r="E639" t="inlineStr">
        <is>
          <t>Rodovia Amaral Peixoto, S/N - KM 71 1 Andar</t>
        </is>
      </c>
      <c r="F639" t="inlineStr">
        <is>
          <t>Bacaxá (Bacaxá)</t>
        </is>
      </c>
      <c r="G639" t="inlineStr">
        <is>
          <t>Saquarema</t>
        </is>
      </c>
      <c r="H639" t="inlineStr">
        <is>
          <t>RJ</t>
        </is>
      </c>
      <c r="I639" t="n">
        <v>5152</v>
      </c>
      <c r="J639" t="inlineStr">
        <is>
          <t>CAT 5</t>
        </is>
      </c>
      <c r="K639" t="inlineStr">
        <is>
          <t>Sim</t>
        </is>
      </c>
    </row>
    <row r="640">
      <c r="A640" s="1">
        <f>HYPERLINK("https://eurofarma-latam-crm.veevavault.com/#object/account__v/V4TZ00001915RZX", "Vinicius Catta-Preta")</f>
        <v/>
      </c>
      <c r="B640" s="1">
        <f>HYPERLINK("https://eurofarma-latam-crm.veevavault.com/#object/account__v/V4TZ00001915RZX", "Vinicius Marino Guimaraes Catta-Preta")</f>
        <v/>
      </c>
      <c r="C640" t="inlineStr">
        <is>
          <t>RJ0931322</t>
        </is>
      </c>
      <c r="D640" t="inlineStr">
        <is>
          <t>PSQ</t>
        </is>
      </c>
      <c r="E640" t="inlineStr">
        <is>
          <t>Rua José Lucas, 34 - Sala 6 Lote 34 Quadra18</t>
        </is>
      </c>
      <c r="F640" t="inlineStr">
        <is>
          <t>Unamar (Tamoios)</t>
        </is>
      </c>
      <c r="G640" t="inlineStr">
        <is>
          <t>Cabo Frio</t>
        </is>
      </c>
      <c r="H640" t="inlineStr">
        <is>
          <t>RJ</t>
        </is>
      </c>
      <c r="I640" t="n">
        <v>5152</v>
      </c>
      <c r="J640" t="inlineStr">
        <is>
          <t>CAT 3</t>
        </is>
      </c>
      <c r="K640" t="inlineStr">
        <is>
          <t>Sim</t>
        </is>
      </c>
    </row>
    <row r="641">
      <c r="A641" s="1">
        <f>HYPERLINK("https://eurofarma-latam-crm.veevavault.com/#object/account__v/V4TZ000018NYK0J", "Vinicius de Oliveira")</f>
        <v/>
      </c>
      <c r="B641" s="1">
        <f>HYPERLINK("https://eurofarma-latam-crm.veevavault.com/#object/account__v/V4TZ000018NYK0J", "Vinicius da Costa Pereira de Oliveira")</f>
        <v/>
      </c>
      <c r="C641" t="inlineStr">
        <is>
          <t>RJ0990493</t>
        </is>
      </c>
      <c r="D641" t="inlineStr">
        <is>
          <t>ORT</t>
        </is>
      </c>
      <c r="E641" t="inlineStr">
        <is>
          <t>Avenida Oito de Maio, 534</t>
        </is>
      </c>
      <c r="F641" t="inlineStr">
        <is>
          <t>Centro</t>
        </is>
      </c>
      <c r="G641" t="inlineStr">
        <is>
          <t>Silva Jardim</t>
        </is>
      </c>
      <c r="H641" t="inlineStr">
        <is>
          <t>RJ</t>
        </is>
      </c>
      <c r="I641" t="n">
        <v>5152</v>
      </c>
      <c r="J641" t="inlineStr">
        <is>
          <t>CAT 1</t>
        </is>
      </c>
      <c r="K641" t="inlineStr">
        <is>
          <t>Sim</t>
        </is>
      </c>
    </row>
    <row r="642">
      <c r="A642" s="1">
        <f>HYPERLINK("https://eurofarma-latam-crm.veevavault.com/#object/account__v/V4TZ025E84J3KA3", "Vinicius Tavares")</f>
        <v/>
      </c>
      <c r="B642" s="1">
        <f>HYPERLINK("https://eurofarma-latam-crm.veevavault.com/#object/account__v/V4TZ025E84J3KA3", "Vinicius Mattos Tavares")</f>
        <v/>
      </c>
      <c r="C642" t="inlineStr">
        <is>
          <t>RJ1096265</t>
        </is>
      </c>
      <c r="D642" t="inlineStr">
        <is>
          <t>PED</t>
        </is>
      </c>
      <c r="E642" t="inlineStr">
        <is>
          <t>Avenida Brasil, 4244 - Quadra 30</t>
        </is>
      </c>
      <c r="F642" t="inlineStr">
        <is>
          <t>Jardim Cumaru</t>
        </is>
      </c>
      <c r="G642" t="inlineStr">
        <is>
          <t>Redenção</t>
        </is>
      </c>
      <c r="H642" t="inlineStr">
        <is>
          <t>PA</t>
        </is>
      </c>
      <c r="I642" t="n">
        <v>5152</v>
      </c>
      <c r="J642" t="inlineStr">
        <is>
          <t>CAT 5</t>
        </is>
      </c>
      <c r="K642" t="inlineStr">
        <is>
          <t>Sim</t>
        </is>
      </c>
    </row>
    <row r="643">
      <c r="A643" s="1">
        <f>HYPERLINK("https://eurofarma-latam-crm.veevavault.com/#object/account__v/V4TZ00001913A53", "Vitor Carvalho")</f>
        <v/>
      </c>
      <c r="B643" s="1">
        <f>HYPERLINK("https://eurofarma-latam-crm.veevavault.com/#object/account__v/V4TZ00001913A53", "Vitor Ramalho dos Santos Carvalho")</f>
        <v/>
      </c>
      <c r="C643" t="inlineStr">
        <is>
          <t>RJ1041703</t>
        </is>
      </c>
      <c r="D643" t="inlineStr">
        <is>
          <t>CLG</t>
        </is>
      </c>
      <c r="E643" t="inlineStr">
        <is>
          <t>Avenida Armando Lombardi, 1000 - Bloco 1, Sala 315</t>
        </is>
      </c>
      <c r="F643" t="inlineStr">
        <is>
          <t>Barra da Tijuca</t>
        </is>
      </c>
      <c r="G643" t="inlineStr">
        <is>
          <t>Rio de Janeiro</t>
        </is>
      </c>
      <c r="H643" t="inlineStr">
        <is>
          <t>RJ</t>
        </is>
      </c>
      <c r="I643" t="n">
        <v>5152</v>
      </c>
      <c r="J643" t="inlineStr"/>
      <c r="K643" t="inlineStr"/>
    </row>
    <row r="644">
      <c r="A644" s="1">
        <f>HYPERLINK("https://eurofarma-latam-crm.veevavault.com/#object/account__v/V4TZ04ASGLJ5ZR6", "Vitor Gabriel Bragança")</f>
        <v/>
      </c>
      <c r="B644" s="1">
        <f>HYPERLINK("https://eurofarma-latam-crm.veevavault.com/#object/account__v/V4TZ04ASGLJ5ZR6", "Vitor Gabriel da Silveira Bragança")</f>
        <v/>
      </c>
      <c r="C644" t="inlineStr">
        <is>
          <t>RJ1372934</t>
        </is>
      </c>
      <c r="D644" t="inlineStr">
        <is>
          <t>CLG / PA</t>
        </is>
      </c>
      <c r="E644" t="inlineStr">
        <is>
          <t>Rua Adolfo Bravo, 75</t>
        </is>
      </c>
      <c r="F644" t="inlineStr">
        <is>
          <t>Bacaxá (Bacaxá)</t>
        </is>
      </c>
      <c r="G644" t="inlineStr">
        <is>
          <t>Saquarema</t>
        </is>
      </c>
      <c r="H644" t="inlineStr">
        <is>
          <t>RJ</t>
        </is>
      </c>
      <c r="I644" t="n">
        <v>5152</v>
      </c>
      <c r="J644" t="inlineStr"/>
      <c r="K644" t="inlineStr"/>
    </row>
    <row r="645">
      <c r="A645" s="1">
        <f>HYPERLINK("https://eurofarma-latam-crm.veevavault.com/#object/account__v/V4TZ000018NZ3QP", "Vitor Peixoto")</f>
        <v/>
      </c>
      <c r="B645" s="1">
        <f>HYPERLINK("https://eurofarma-latam-crm.veevavault.com/#object/account__v/V4TZ000018NZ3QP", "Vitor Chiesa Peixoto")</f>
        <v/>
      </c>
      <c r="C645" t="inlineStr">
        <is>
          <t>RJ1076302</t>
        </is>
      </c>
      <c r="D645" t="inlineStr">
        <is>
          <t>PED</t>
        </is>
      </c>
      <c r="E645" t="inlineStr">
        <is>
          <t>Rodovia Amaral Peixoto, S/N - KM 107</t>
        </is>
      </c>
      <c r="F645" t="inlineStr">
        <is>
          <t>Balneário São Pedro</t>
        </is>
      </c>
      <c r="G645" t="inlineStr">
        <is>
          <t>São Pedro da Aldeia</t>
        </is>
      </c>
      <c r="H645" t="inlineStr">
        <is>
          <t>RJ</t>
        </is>
      </c>
      <c r="I645" t="n">
        <v>5152</v>
      </c>
      <c r="J645" t="inlineStr">
        <is>
          <t>CAT 4</t>
        </is>
      </c>
      <c r="K645" t="inlineStr">
        <is>
          <t>Sim</t>
        </is>
      </c>
    </row>
    <row r="646">
      <c r="A646" s="1">
        <f>HYPERLINK("https://eurofarma-latam-crm.veevavault.com/#object/account__v/V4TZ025E88YN2YQ", "Vitoria de Melo")</f>
        <v/>
      </c>
      <c r="B646" s="1">
        <f>HYPERLINK("https://eurofarma-latam-crm.veevavault.com/#object/account__v/V4TZ025E88YN2YQ", "Vitoria Cabral de Melo")</f>
        <v/>
      </c>
      <c r="C646" t="inlineStr">
        <is>
          <t>RJ1025244</t>
        </is>
      </c>
      <c r="D646" t="inlineStr">
        <is>
          <t>PSQ</t>
        </is>
      </c>
      <c r="E646" t="inlineStr">
        <is>
          <t>Rua Ernestino Bravo, 60</t>
        </is>
      </c>
      <c r="F646" t="inlineStr">
        <is>
          <t>Bacaxá (Bacaxá)</t>
        </is>
      </c>
      <c r="G646" t="inlineStr">
        <is>
          <t>Saquarema</t>
        </is>
      </c>
      <c r="H646" t="inlineStr">
        <is>
          <t>RJ</t>
        </is>
      </c>
      <c r="I646" t="n">
        <v>5152</v>
      </c>
      <c r="J646" t="inlineStr">
        <is>
          <t>CAT 3</t>
        </is>
      </c>
      <c r="K646" t="inlineStr">
        <is>
          <t>Sim</t>
        </is>
      </c>
    </row>
    <row r="647">
      <c r="A647" s="1">
        <f>HYPERLINK("https://eurofarma-latam-crm.veevavault.com/#object/account__v/V4TZ00001914YES", "Viviane Lobo")</f>
        <v/>
      </c>
      <c r="B647" s="1">
        <f>HYPERLINK("https://eurofarma-latam-crm.veevavault.com/#object/account__v/V4TZ00001914YES", "Viviane Gama da Silva Lobo")</f>
        <v/>
      </c>
      <c r="C647" t="inlineStr">
        <is>
          <t>RJ1203380</t>
        </is>
      </c>
      <c r="D647" t="inlineStr">
        <is>
          <t>PED</t>
        </is>
      </c>
      <c r="E647" t="inlineStr">
        <is>
          <t>Rua Baster Pillar, S/N</t>
        </is>
      </c>
      <c r="F647" t="inlineStr">
        <is>
          <t>Parque Hotel</t>
        </is>
      </c>
      <c r="G647" t="inlineStr">
        <is>
          <t>Araruama</t>
        </is>
      </c>
      <c r="H647" t="inlineStr">
        <is>
          <t>RJ</t>
        </is>
      </c>
      <c r="I647" t="n">
        <v>5152</v>
      </c>
      <c r="J647" t="inlineStr">
        <is>
          <t>CAT 5</t>
        </is>
      </c>
      <c r="K647" t="inlineStr">
        <is>
          <t>N�o</t>
        </is>
      </c>
    </row>
    <row r="648">
      <c r="A648" s="1">
        <f>HYPERLINK("https://eurofarma-latam-crm.veevavault.com/#object/account__v/V4TZ000018NYZ1U", "Wagner Kascher")</f>
        <v/>
      </c>
      <c r="B648" s="1">
        <f>HYPERLINK("https://eurofarma-latam-crm.veevavault.com/#object/account__v/V4TZ000018NYZ1U", "Wagner Villar Lignani Kascher")</f>
        <v/>
      </c>
      <c r="C648" t="inlineStr">
        <is>
          <t>RJ1114662</t>
        </is>
      </c>
      <c r="D648" t="inlineStr">
        <is>
          <t>URO</t>
        </is>
      </c>
      <c r="E648" t="inlineStr">
        <is>
          <t>Rua Bernardo Vasconcelos, 477</t>
        </is>
      </c>
      <c r="F648" t="inlineStr">
        <is>
          <t>Centro</t>
        </is>
      </c>
      <c r="G648" t="inlineStr">
        <is>
          <t>Araruama</t>
        </is>
      </c>
      <c r="H648" t="inlineStr">
        <is>
          <t>RJ</t>
        </is>
      </c>
      <c r="I648" t="n">
        <v>5152</v>
      </c>
      <c r="J648" t="inlineStr">
        <is>
          <t>CAT 4</t>
        </is>
      </c>
      <c r="K648" t="inlineStr">
        <is>
          <t>Sim</t>
        </is>
      </c>
    </row>
    <row r="649">
      <c r="A649" s="1">
        <f>HYPERLINK("https://eurofarma-latam-crm.veevavault.com/#object/account__v/V4TZ025E88ZELAU", "Wallison Bruno Sousa")</f>
        <v/>
      </c>
      <c r="B649" s="1">
        <f>HYPERLINK("https://eurofarma-latam-crm.veevavault.com/#object/account__v/V4TZ025E88ZELAU", "Wallison Bruno da Silva Sousa")</f>
        <v/>
      </c>
      <c r="C649" t="inlineStr">
        <is>
          <t>RJ1342096</t>
        </is>
      </c>
      <c r="D649" t="inlineStr">
        <is>
          <t>CLG / PA</t>
        </is>
      </c>
      <c r="E649" t="inlineStr">
        <is>
          <t>Avenida Getúlio Vargas, 2205 - Loja 104 E 105</t>
        </is>
      </c>
      <c r="F649" t="inlineStr">
        <is>
          <t>Centro</t>
        </is>
      </c>
      <c r="G649" t="inlineStr">
        <is>
          <t>Araruama</t>
        </is>
      </c>
      <c r="H649" t="inlineStr">
        <is>
          <t>RJ</t>
        </is>
      </c>
      <c r="I649" t="n">
        <v>5152</v>
      </c>
      <c r="J649" t="inlineStr">
        <is>
          <t>CAT 5</t>
        </is>
      </c>
      <c r="K649" t="inlineStr">
        <is>
          <t>Sim</t>
        </is>
      </c>
    </row>
    <row r="650">
      <c r="A650" s="1">
        <f>HYPERLINK("https://eurofarma-latam-crm.veevavault.com/#object/account__v/V4TZ00001913PNG", "Walter da Silveira")</f>
        <v/>
      </c>
      <c r="B650" s="1">
        <f>HYPERLINK("https://eurofarma-latam-crm.veevavault.com/#object/account__v/V4TZ00001913PNG", "Walter Madeira da Silveira")</f>
        <v/>
      </c>
      <c r="C650" t="inlineStr">
        <is>
          <t>RJ1108174</t>
        </is>
      </c>
      <c r="D650" t="inlineStr">
        <is>
          <t>ORT</t>
        </is>
      </c>
      <c r="E650" t="inlineStr">
        <is>
          <t>Rua Adolfo Bravo, S/N</t>
        </is>
      </c>
      <c r="F650" t="inlineStr">
        <is>
          <t>Bacaxá (Bacaxá)</t>
        </is>
      </c>
      <c r="G650" t="inlineStr">
        <is>
          <t>Saquarema</t>
        </is>
      </c>
      <c r="H650" t="inlineStr">
        <is>
          <t>RJ</t>
        </is>
      </c>
      <c r="I650" t="n">
        <v>5152</v>
      </c>
      <c r="J650" t="inlineStr">
        <is>
          <t>CAT 4</t>
        </is>
      </c>
      <c r="K650" t="inlineStr">
        <is>
          <t>Sim</t>
        </is>
      </c>
    </row>
    <row r="651">
      <c r="A651" s="1">
        <f>HYPERLINK("https://eurofarma-latam-crm.veevavault.com/#object/account__v/V4TZ000019163JZ", "Wellington Luiz da Silva")</f>
        <v/>
      </c>
      <c r="B651" s="1">
        <f>HYPERLINK("https://eurofarma-latam-crm.veevavault.com/#object/account__v/V4TZ000019163JZ", "Wellington Luiz Lopes da Silva")</f>
        <v/>
      </c>
      <c r="C651" t="inlineStr">
        <is>
          <t>RJ0622540</t>
        </is>
      </c>
      <c r="D651" t="inlineStr">
        <is>
          <t>NEU</t>
        </is>
      </c>
      <c r="E651" t="inlineStr">
        <is>
          <t>Rua Ary Barroso, 13 - Casa 1</t>
        </is>
      </c>
      <c r="F651" t="inlineStr">
        <is>
          <t>Centro</t>
        </is>
      </c>
      <c r="G651" t="inlineStr">
        <is>
          <t>Araruama</t>
        </is>
      </c>
      <c r="H651" t="inlineStr">
        <is>
          <t>RJ</t>
        </is>
      </c>
      <c r="I651" t="n">
        <v>5152</v>
      </c>
      <c r="J651" t="inlineStr">
        <is>
          <t>CAT 1</t>
        </is>
      </c>
      <c r="K651" t="inlineStr">
        <is>
          <t>Sim</t>
        </is>
      </c>
    </row>
    <row r="652">
      <c r="A652" s="1">
        <f>HYPERLINK("https://eurofarma-latam-crm.veevavault.com/#object/account__v/V4TZ000019YAXWJ", "Yuri Santos")</f>
        <v/>
      </c>
      <c r="B652" s="1">
        <f>HYPERLINK("https://eurofarma-latam-crm.veevavault.com/#object/account__v/V4TZ000019YAXWJ", "Yuri Madeira Santos")</f>
        <v/>
      </c>
      <c r="C652" t="inlineStr">
        <is>
          <t>RJ1269399,RS0064231</t>
        </is>
      </c>
      <c r="D652" t="inlineStr">
        <is>
          <t>PED</t>
        </is>
      </c>
      <c r="E652" t="inlineStr">
        <is>
          <t>Rua Baster Pillar, S/N</t>
        </is>
      </c>
      <c r="F652" t="inlineStr">
        <is>
          <t>Parque Hotel</t>
        </is>
      </c>
      <c r="G652" t="inlineStr">
        <is>
          <t>Araruama</t>
        </is>
      </c>
      <c r="H652" t="inlineStr">
        <is>
          <t>RJ</t>
        </is>
      </c>
      <c r="I652" t="n">
        <v>5152</v>
      </c>
      <c r="J652" t="inlineStr">
        <is>
          <t>CAT 5</t>
        </is>
      </c>
      <c r="K652" t="inlineStr">
        <is>
          <t>Sim</t>
        </is>
      </c>
    </row>
    <row r="653">
      <c r="A653" s="1">
        <f>HYPERLINK("https://eurofarma-latam-crm.veevavault.com/#object/account__v/V4TZ000019155VS", "Abílio Lopes")</f>
        <v/>
      </c>
      <c r="B653" s="1">
        <f>HYPERLINK("https://eurofarma-latam-crm.veevavault.com/#object/account__v/V4TZ000019155VS", "Abílio Moura Cardoso Lopes")</f>
        <v/>
      </c>
      <c r="C653" t="inlineStr">
        <is>
          <t>RJ0812641</t>
        </is>
      </c>
      <c r="D653" t="inlineStr">
        <is>
          <t>CLG</t>
        </is>
      </c>
      <c r="E653" t="inlineStr">
        <is>
          <t>Rua Marquês de Paraná, 233</t>
        </is>
      </c>
      <c r="F653" t="inlineStr">
        <is>
          <t>Centro</t>
        </is>
      </c>
      <c r="G653" t="inlineStr">
        <is>
          <t>Niterói</t>
        </is>
      </c>
      <c r="H653" t="inlineStr">
        <is>
          <t>RJ</t>
        </is>
      </c>
      <c r="I653" t="n">
        <v>5153</v>
      </c>
      <c r="J653" t="inlineStr"/>
      <c r="K653" t="inlineStr"/>
    </row>
    <row r="654">
      <c r="A654" s="1">
        <f>HYPERLINK("https://eurofarma-latam-crm.veevavault.com/#object/account__v/V4TZ00001913PHW", "Adolpho de Carvalho Filho")</f>
        <v/>
      </c>
      <c r="B654" s="1">
        <f>HYPERLINK("https://eurofarma-latam-crm.veevavault.com/#object/account__v/V4TZ00001913PHW", "Adolpho Xavier de Carvalho Filho")</f>
        <v/>
      </c>
      <c r="C654" t="inlineStr">
        <is>
          <t>RJ0589741</t>
        </is>
      </c>
      <c r="D654" t="inlineStr">
        <is>
          <t>RMT</t>
        </is>
      </c>
      <c r="E654" t="inlineStr">
        <is>
          <t>Rua Ator Paulo Gustavo, 229 - Sala 1617</t>
        </is>
      </c>
      <c r="F654" t="inlineStr">
        <is>
          <t>Icaraí</t>
        </is>
      </c>
      <c r="G654" t="inlineStr">
        <is>
          <t>Niterói</t>
        </is>
      </c>
      <c r="H654" t="inlineStr">
        <is>
          <t>RJ</t>
        </is>
      </c>
      <c r="I654" t="n">
        <v>5153</v>
      </c>
      <c r="J654" t="inlineStr">
        <is>
          <t>CAT 2</t>
        </is>
      </c>
      <c r="K654" t="inlineStr">
        <is>
          <t>Sim</t>
        </is>
      </c>
    </row>
    <row r="655">
      <c r="A655" s="1">
        <f>HYPERLINK("https://eurofarma-latam-crm.veevavault.com/#object/account__v/V4TZ000018NYT83", "Adriana Gameiro")</f>
        <v/>
      </c>
      <c r="B655" s="1">
        <f>HYPERLINK("https://eurofarma-latam-crm.veevavault.com/#object/account__v/V4TZ000018NYT83", "Adriana Feital de Oliveira Gameiro")</f>
        <v/>
      </c>
      <c r="C655" t="inlineStr">
        <is>
          <t>RJ0609560</t>
        </is>
      </c>
      <c r="D655" t="inlineStr">
        <is>
          <t>CLG / END</t>
        </is>
      </c>
      <c r="E655" t="inlineStr">
        <is>
          <t>Rua Heitor de Moura Estevão, 305</t>
        </is>
      </c>
      <c r="F655" t="inlineStr">
        <is>
          <t>Várzea</t>
        </is>
      </c>
      <c r="G655" t="inlineStr">
        <is>
          <t>Teresópolis</t>
        </is>
      </c>
      <c r="H655" t="inlineStr">
        <is>
          <t>RJ</t>
        </is>
      </c>
      <c r="I655" t="n">
        <v>5153</v>
      </c>
      <c r="J655" t="inlineStr">
        <is>
          <t>CAT 5</t>
        </is>
      </c>
      <c r="K655" t="inlineStr">
        <is>
          <t>N�o</t>
        </is>
      </c>
    </row>
    <row r="656">
      <c r="A656" s="1">
        <f>HYPERLINK("https://eurofarma-latam-crm.veevavault.com/#object/account__v/V4TZ00001914WIJ", "Agostinho Silva")</f>
        <v/>
      </c>
      <c r="B656" s="1">
        <f>HYPERLINK("https://eurofarma-latam-crm.veevavault.com/#object/account__v/V4TZ00001914WIJ", "Agostinho Soares da Silva")</f>
        <v/>
      </c>
      <c r="C656" t="inlineStr">
        <is>
          <t>RJ0220739</t>
        </is>
      </c>
      <c r="D656" t="inlineStr">
        <is>
          <t>GAS</t>
        </is>
      </c>
      <c r="E656" t="inlineStr">
        <is>
          <t>Rua Mariz e Barros, 288</t>
        </is>
      </c>
      <c r="F656" t="inlineStr">
        <is>
          <t>Icaraí</t>
        </is>
      </c>
      <c r="G656" t="inlineStr">
        <is>
          <t>Niterói</t>
        </is>
      </c>
      <c r="H656" t="inlineStr">
        <is>
          <t>RJ</t>
        </is>
      </c>
      <c r="I656" t="n">
        <v>5153</v>
      </c>
      <c r="J656" t="inlineStr">
        <is>
          <t>CAT 5</t>
        </is>
      </c>
      <c r="K656" t="inlineStr">
        <is>
          <t>Sim</t>
        </is>
      </c>
    </row>
    <row r="657">
      <c r="A657" s="1">
        <f>HYPERLINK("https://eurofarma-latam-crm.veevavault.com/#object/account__v/V4TZ00001913OYR", "Alessandra de Miranda")</f>
        <v/>
      </c>
      <c r="B657" s="1">
        <f>HYPERLINK("https://eurofarma-latam-crm.veevavault.com/#object/account__v/V4TZ00001913OYR", "Alessandra Sant'Anna de Miranda")</f>
        <v/>
      </c>
      <c r="C657" t="inlineStr">
        <is>
          <t>RJ0798398</t>
        </is>
      </c>
      <c r="D657" t="inlineStr">
        <is>
          <t>CLG / END</t>
        </is>
      </c>
      <c r="E657" t="inlineStr">
        <is>
          <t>Rua Ator Paulo Gustavo, 229 - Salas 923 e 924</t>
        </is>
      </c>
      <c r="F657" t="inlineStr">
        <is>
          <t>Icaraí</t>
        </is>
      </c>
      <c r="G657" t="inlineStr">
        <is>
          <t>Niterói</t>
        </is>
      </c>
      <c r="H657" t="inlineStr">
        <is>
          <t>RJ</t>
        </is>
      </c>
      <c r="I657" t="n">
        <v>5153</v>
      </c>
      <c r="J657" t="inlineStr">
        <is>
          <t>CAT 5</t>
        </is>
      </c>
      <c r="K657" t="inlineStr">
        <is>
          <t>N�o</t>
        </is>
      </c>
    </row>
    <row r="658">
      <c r="A658" s="1">
        <f>HYPERLINK("https://eurofarma-latam-crm.veevavault.com/#object/account__v/V4TZ00001915DR6", "Alessandra Rios")</f>
        <v/>
      </c>
      <c r="B658" s="1">
        <f>HYPERLINK("https://eurofarma-latam-crm.veevavault.com/#object/account__v/V4TZ00001915DR6", "Alessandra Pinheiro Rios")</f>
        <v/>
      </c>
      <c r="C658" t="inlineStr">
        <is>
          <t>RJ0823694</t>
        </is>
      </c>
      <c r="D658" t="inlineStr">
        <is>
          <t>PED</t>
        </is>
      </c>
      <c r="E658" t="inlineStr">
        <is>
          <t>Rua Lopes Trovão, 448 - Sala 901</t>
        </is>
      </c>
      <c r="F658" t="inlineStr">
        <is>
          <t>Icaraí</t>
        </is>
      </c>
      <c r="G658" t="inlineStr">
        <is>
          <t>Niterói</t>
        </is>
      </c>
      <c r="H658" t="inlineStr">
        <is>
          <t>RJ</t>
        </is>
      </c>
      <c r="I658" t="n">
        <v>5153</v>
      </c>
      <c r="J658" t="inlineStr">
        <is>
          <t>CAT 5</t>
        </is>
      </c>
      <c r="K658" t="inlineStr">
        <is>
          <t>Sim</t>
        </is>
      </c>
    </row>
    <row r="659">
      <c r="A659" s="1">
        <f>HYPERLINK("https://eurofarma-latam-crm.veevavault.com/#object/account__v/V4TZ00001913WEV", "Alexandra Carvalho")</f>
        <v/>
      </c>
      <c r="B659" s="1">
        <f>HYPERLINK("https://eurofarma-latam-crm.veevavault.com/#object/account__v/V4TZ00001913WEV", "Alexandra Azevedo Castro de Carvalho")</f>
        <v/>
      </c>
      <c r="C659" t="inlineStr">
        <is>
          <t>RJ0581283</t>
        </is>
      </c>
      <c r="D659" t="inlineStr">
        <is>
          <t>ORL</t>
        </is>
      </c>
      <c r="E659" t="inlineStr">
        <is>
          <t>Rua Azamor José da Silva, 229</t>
        </is>
      </c>
      <c r="F659" t="inlineStr">
        <is>
          <t>Araçatiba</t>
        </is>
      </c>
      <c r="G659" t="inlineStr">
        <is>
          <t>Maricá</t>
        </is>
      </c>
      <c r="H659" t="inlineStr">
        <is>
          <t>RJ</t>
        </is>
      </c>
      <c r="I659" t="n">
        <v>5153</v>
      </c>
      <c r="J659" t="inlineStr">
        <is>
          <t>CAT 5</t>
        </is>
      </c>
      <c r="K659" t="inlineStr">
        <is>
          <t>Sim</t>
        </is>
      </c>
    </row>
    <row r="660">
      <c r="A660" s="1">
        <f>HYPERLINK("https://eurofarma-latam-crm.veevavault.com/#object/account__v/V4TZ000018NXW7N", "Alexandre Bianchi")</f>
        <v/>
      </c>
      <c r="B660" s="1">
        <f>HYPERLINK("https://eurofarma-latam-crm.veevavault.com/#object/account__v/V4TZ000018NXW7N", "Alexandre Melo Bianchi")</f>
        <v/>
      </c>
      <c r="C660" t="inlineStr">
        <is>
          <t>RJ0835609</t>
        </is>
      </c>
      <c r="D660" t="inlineStr">
        <is>
          <t>URO</t>
        </is>
      </c>
      <c r="E660" t="inlineStr">
        <is>
          <t>Rua Santo Amaro, 80</t>
        </is>
      </c>
      <c r="F660" t="inlineStr">
        <is>
          <t>Glória</t>
        </is>
      </c>
      <c r="G660" t="inlineStr">
        <is>
          <t>Rio de Janeiro</t>
        </is>
      </c>
      <c r="H660" t="inlineStr">
        <is>
          <t>RJ</t>
        </is>
      </c>
      <c r="I660" t="n">
        <v>5153</v>
      </c>
      <c r="J660" t="inlineStr">
        <is>
          <t>CAT 5</t>
        </is>
      </c>
      <c r="K660" t="inlineStr">
        <is>
          <t>Sim</t>
        </is>
      </c>
    </row>
    <row r="661">
      <c r="A661" s="1">
        <f>HYPERLINK("https://eurofarma-latam-crm.veevavault.com/#object/account__v/V4TZ000018NYL0N", "Alexandre Campos")</f>
        <v/>
      </c>
      <c r="B661" s="1">
        <f>HYPERLINK("https://eurofarma-latam-crm.veevavault.com/#object/account__v/V4TZ000018NYL0N", "Alexandre Alves Campos")</f>
        <v/>
      </c>
      <c r="C661" t="inlineStr">
        <is>
          <t>RJ0667706</t>
        </is>
      </c>
      <c r="D661" t="inlineStr">
        <is>
          <t>ORT</t>
        </is>
      </c>
      <c r="E661" t="inlineStr">
        <is>
          <t>Rua Estácio de Sá, 20</t>
        </is>
      </c>
      <c r="F661" t="inlineStr">
        <is>
          <t>Estácio</t>
        </is>
      </c>
      <c r="G661" t="inlineStr">
        <is>
          <t>Rio de Janeiro</t>
        </is>
      </c>
      <c r="H661" t="inlineStr">
        <is>
          <t>RJ</t>
        </is>
      </c>
      <c r="I661" t="n">
        <v>5153</v>
      </c>
      <c r="J661" t="inlineStr">
        <is>
          <t>CAT 4</t>
        </is>
      </c>
      <c r="K661" t="inlineStr">
        <is>
          <t>Sim</t>
        </is>
      </c>
    </row>
    <row r="662">
      <c r="A662" s="1">
        <f>HYPERLINK("https://eurofarma-latam-crm.veevavault.com/#object/account__v/V4TZ000019131PI", "Alexandre de Mendonça Junior")</f>
        <v/>
      </c>
      <c r="B662" s="1">
        <f>HYPERLINK("https://eurofarma-latam-crm.veevavault.com/#object/account__v/V4TZ000019131PI", "Alexandre Proença de Mendonça Junior")</f>
        <v/>
      </c>
      <c r="C662" t="inlineStr">
        <is>
          <t>RJ0905674</t>
        </is>
      </c>
      <c r="D662" t="inlineStr">
        <is>
          <t>PSQ</t>
        </is>
      </c>
      <c r="E662" t="inlineStr">
        <is>
          <t>Rua Ator Paulo Gustavo, 26 - Sala 613</t>
        </is>
      </c>
      <c r="F662" t="inlineStr">
        <is>
          <t>Icaraí</t>
        </is>
      </c>
      <c r="G662" t="inlineStr">
        <is>
          <t>Niterói</t>
        </is>
      </c>
      <c r="H662" t="inlineStr">
        <is>
          <t>RJ</t>
        </is>
      </c>
      <c r="I662" t="n">
        <v>5153</v>
      </c>
      <c r="J662" t="inlineStr">
        <is>
          <t>CAT 2</t>
        </is>
      </c>
      <c r="K662" t="inlineStr">
        <is>
          <t>Sim</t>
        </is>
      </c>
    </row>
    <row r="663">
      <c r="A663" s="1">
        <f>HYPERLINK("https://eurofarma-latam-crm.veevavault.com/#object/account__v/V4TZ00001914K0X", "Alexandre Ignácio")</f>
        <v/>
      </c>
      <c r="B663" s="1">
        <f>HYPERLINK("https://eurofarma-latam-crm.veevavault.com/#object/account__v/V4TZ00001914K0X", "Alexandre dos Santos Ignácio")</f>
        <v/>
      </c>
      <c r="C663" t="inlineStr">
        <is>
          <t>RJ0749257</t>
        </is>
      </c>
      <c r="D663" t="inlineStr">
        <is>
          <t>ORT</t>
        </is>
      </c>
      <c r="E663" t="inlineStr">
        <is>
          <t>Rua Doutor Nilo Peçanha, 346</t>
        </is>
      </c>
      <c r="F663" t="inlineStr">
        <is>
          <t>Estrela do Norte</t>
        </is>
      </c>
      <c r="G663" t="inlineStr">
        <is>
          <t>São Gonçalo</t>
        </is>
      </c>
      <c r="H663" t="inlineStr">
        <is>
          <t>RJ</t>
        </is>
      </c>
      <c r="I663" t="n">
        <v>5153</v>
      </c>
      <c r="J663" t="inlineStr">
        <is>
          <t>CAT 3</t>
        </is>
      </c>
      <c r="K663" t="inlineStr">
        <is>
          <t>N�o</t>
        </is>
      </c>
    </row>
    <row r="664">
      <c r="A664" s="1">
        <f>HYPERLINK("https://eurofarma-latam-crm.veevavault.com/#object/account__v/V4TZ000018NXKYD", "Alexandre Klausner")</f>
        <v/>
      </c>
      <c r="B664" s="1">
        <f>HYPERLINK("https://eurofarma-latam-crm.veevavault.com/#object/account__v/V4TZ000018NXKYD", "Alexandre Ramos Klausner")</f>
        <v/>
      </c>
      <c r="C664" t="inlineStr">
        <is>
          <t>RJ0394221</t>
        </is>
      </c>
      <c r="D664" t="inlineStr">
        <is>
          <t>ORT</t>
        </is>
      </c>
      <c r="E664" t="inlineStr">
        <is>
          <t>Rua Mariz e Barros, 283</t>
        </is>
      </c>
      <c r="F664" t="inlineStr">
        <is>
          <t>Icaraí</t>
        </is>
      </c>
      <c r="G664" t="inlineStr">
        <is>
          <t>Niterói</t>
        </is>
      </c>
      <c r="H664" t="inlineStr">
        <is>
          <t>RJ</t>
        </is>
      </c>
      <c r="I664" t="n">
        <v>5153</v>
      </c>
      <c r="J664" t="inlineStr">
        <is>
          <t>CAT 5</t>
        </is>
      </c>
      <c r="K664" t="inlineStr">
        <is>
          <t>Sim</t>
        </is>
      </c>
    </row>
    <row r="665">
      <c r="A665" s="1">
        <f>HYPERLINK("https://eurofarma-latam-crm.veevavault.com/#object/account__v/V4TZ000019165QA", "Alexandre Lopes")</f>
        <v/>
      </c>
      <c r="B665" s="1">
        <f>HYPERLINK("https://eurofarma-latam-crm.veevavault.com/#object/account__v/V4TZ000019165QA", "Alexandre Monte Lopes")</f>
        <v/>
      </c>
      <c r="C665" t="inlineStr">
        <is>
          <t>RJ0574998</t>
        </is>
      </c>
      <c r="D665" t="inlineStr">
        <is>
          <t>ORT</t>
        </is>
      </c>
      <c r="E665" t="inlineStr">
        <is>
          <t>Avenida José Mendonça de Campos, 128</t>
        </is>
      </c>
      <c r="F665" t="inlineStr">
        <is>
          <t>Mutondo</t>
        </is>
      </c>
      <c r="G665" t="inlineStr">
        <is>
          <t>São Gonçalo</t>
        </is>
      </c>
      <c r="H665" t="inlineStr">
        <is>
          <t>RJ</t>
        </is>
      </c>
      <c r="I665" t="n">
        <v>5153</v>
      </c>
      <c r="J665" t="inlineStr">
        <is>
          <t>CAT 4</t>
        </is>
      </c>
      <c r="K665" t="inlineStr">
        <is>
          <t>Sim</t>
        </is>
      </c>
    </row>
    <row r="666">
      <c r="A666" s="1">
        <f>HYPERLINK("https://eurofarma-latam-crm.veevavault.com/#object/account__v/V4TZ000018NXLJ8", "Alexandre Omena")</f>
        <v/>
      </c>
      <c r="B666" s="1">
        <f>HYPERLINK("https://eurofarma-latam-crm.veevavault.com/#object/account__v/V4TZ000018NXLJ8", "Alexandre de Almeida Souza Omena")</f>
        <v/>
      </c>
      <c r="C666" t="inlineStr">
        <is>
          <t>RJ1030671</t>
        </is>
      </c>
      <c r="D666" t="inlineStr">
        <is>
          <t>PSQ</t>
        </is>
      </c>
      <c r="E666" t="inlineStr">
        <is>
          <t>Rua Barão do Flamengo, 22 - Sala 301</t>
        </is>
      </c>
      <c r="F666" t="inlineStr">
        <is>
          <t>Flamengo</t>
        </is>
      </c>
      <c r="G666" t="inlineStr">
        <is>
          <t>Rio de Janeiro</t>
        </is>
      </c>
      <c r="H666" t="inlineStr">
        <is>
          <t>RJ</t>
        </is>
      </c>
      <c r="I666" t="n">
        <v>5153</v>
      </c>
      <c r="J666" t="inlineStr">
        <is>
          <t>CAT 1</t>
        </is>
      </c>
      <c r="K666" t="inlineStr">
        <is>
          <t>Sim</t>
        </is>
      </c>
    </row>
    <row r="667">
      <c r="A667" s="1">
        <f>HYPERLINK("https://eurofarma-latam-crm.veevavault.com/#object/account__v/V4TZ00001914XX8", "Almir Branco Filho")</f>
        <v/>
      </c>
      <c r="B667" s="1">
        <f>HYPERLINK("https://eurofarma-latam-crm.veevavault.com/#object/account__v/V4TZ00001914XX8", "Almir Branco Filho")</f>
        <v/>
      </c>
      <c r="C667" t="inlineStr">
        <is>
          <t>RJ0511510</t>
        </is>
      </c>
      <c r="D667" t="inlineStr">
        <is>
          <t>RMT</t>
        </is>
      </c>
      <c r="E667" t="inlineStr">
        <is>
          <t>Rua Rui Barbosa, 205 - Loja 5 à 7</t>
        </is>
      </c>
      <c r="F667" t="inlineStr">
        <is>
          <t>Centro</t>
        </is>
      </c>
      <c r="G667" t="inlineStr">
        <is>
          <t>Cabo Frio</t>
        </is>
      </c>
      <c r="H667" t="inlineStr">
        <is>
          <t>RJ</t>
        </is>
      </c>
      <c r="I667" t="n">
        <v>5153</v>
      </c>
      <c r="J667" t="inlineStr">
        <is>
          <t>CAT 3</t>
        </is>
      </c>
      <c r="K667" t="inlineStr">
        <is>
          <t>Sim</t>
        </is>
      </c>
    </row>
    <row r="668">
      <c r="A668" s="1">
        <f>HYPERLINK("https://eurofarma-latam-crm.veevavault.com/#object/account__v/V4TZ00001913TT5", "Amanda Correa")</f>
        <v/>
      </c>
      <c r="B668" s="1">
        <f>HYPERLINK("https://eurofarma-latam-crm.veevavault.com/#object/account__v/V4TZ00001913TT5", "Amanda Alves Correa")</f>
        <v/>
      </c>
      <c r="C668" t="inlineStr">
        <is>
          <t>RJ0817449</t>
        </is>
      </c>
      <c r="D668" t="inlineStr">
        <is>
          <t>CLG / END</t>
        </is>
      </c>
      <c r="E668" t="inlineStr">
        <is>
          <t>Rua Ator Paulo Gustavo, 229 - Sala 1615</t>
        </is>
      </c>
      <c r="F668" t="inlineStr">
        <is>
          <t>Icaraí</t>
        </is>
      </c>
      <c r="G668" t="inlineStr">
        <is>
          <t>Niterói</t>
        </is>
      </c>
      <c r="H668" t="inlineStr">
        <is>
          <t>RJ</t>
        </is>
      </c>
      <c r="I668" t="n">
        <v>5153</v>
      </c>
      <c r="J668" t="inlineStr">
        <is>
          <t>CAT 4</t>
        </is>
      </c>
      <c r="K668" t="inlineStr">
        <is>
          <t>Sim</t>
        </is>
      </c>
    </row>
    <row r="669">
      <c r="A669" s="1">
        <f>HYPERLINK("https://eurofarma-latam-crm.veevavault.com/#object/account__v/V4TZ000018NYHFM", "Amanda Trindade")</f>
        <v/>
      </c>
      <c r="B669" s="1">
        <f>HYPERLINK("https://eurofarma-latam-crm.veevavault.com/#object/account__v/V4TZ000018NYHFM", "Amanda Pompeu Trindade")</f>
        <v/>
      </c>
      <c r="C669" t="inlineStr">
        <is>
          <t>RJ0963208</t>
        </is>
      </c>
      <c r="D669" t="inlineStr">
        <is>
          <t>PSQ</t>
        </is>
      </c>
      <c r="E669" t="inlineStr">
        <is>
          <t>Rua Manoel de Abreu, 9 - Parte</t>
        </is>
      </c>
      <c r="F669" t="inlineStr">
        <is>
          <t>Centro</t>
        </is>
      </c>
      <c r="G669" t="inlineStr">
        <is>
          <t>Niterói</t>
        </is>
      </c>
      <c r="H669" t="inlineStr">
        <is>
          <t>RJ</t>
        </is>
      </c>
      <c r="I669" t="n">
        <v>5153</v>
      </c>
      <c r="J669" t="inlineStr">
        <is>
          <t>CAT 1</t>
        </is>
      </c>
      <c r="K669" t="inlineStr">
        <is>
          <t>Sim</t>
        </is>
      </c>
    </row>
    <row r="670">
      <c r="A670" s="1">
        <f>HYPERLINK("https://eurofarma-latam-crm.veevavault.com/#object/account__v/V4TZ00001913ZFY", "Ana Beatriz Lemer")</f>
        <v/>
      </c>
      <c r="B670" s="1">
        <f>HYPERLINK("https://eurofarma-latam-crm.veevavault.com/#object/account__v/V4TZ00001913ZFY", "Ana Beatriz Macedo Soldati Lemer")</f>
        <v/>
      </c>
      <c r="C670" t="inlineStr">
        <is>
          <t>RJ0879924</t>
        </is>
      </c>
      <c r="D670" t="inlineStr">
        <is>
          <t>NEU</t>
        </is>
      </c>
      <c r="E670" t="inlineStr">
        <is>
          <t>Rua Manoel de Abreu, 9 - Parte</t>
        </is>
      </c>
      <c r="F670" t="inlineStr">
        <is>
          <t>Centro</t>
        </is>
      </c>
      <c r="G670" t="inlineStr">
        <is>
          <t>Niterói</t>
        </is>
      </c>
      <c r="H670" t="inlineStr">
        <is>
          <t>RJ</t>
        </is>
      </c>
      <c r="I670" t="n">
        <v>5153</v>
      </c>
      <c r="J670" t="inlineStr">
        <is>
          <t>CAT 3</t>
        </is>
      </c>
      <c r="K670" t="inlineStr">
        <is>
          <t>Sim</t>
        </is>
      </c>
    </row>
    <row r="671">
      <c r="A671" s="1">
        <f>HYPERLINK("https://eurofarma-latam-crm.veevavault.com/#object/account__v/V4TZ000018NYXB0", "Ana Cristina Rizzato")</f>
        <v/>
      </c>
      <c r="B671" s="1">
        <f>HYPERLINK("https://eurofarma-latam-crm.veevavault.com/#object/account__v/V4TZ000018NYXB0", "Ana Cristina Pereira de Castro Rodrigues Rizzato")</f>
        <v/>
      </c>
      <c r="C671" t="inlineStr">
        <is>
          <t>RJ0563888,SP0037735</t>
        </is>
      </c>
      <c r="D671" t="inlineStr">
        <is>
          <t>PSQ</t>
        </is>
      </c>
      <c r="E671" t="inlineStr">
        <is>
          <t>Rua Coronel Moreira Cesar, 229 - Sala 1608</t>
        </is>
      </c>
      <c r="F671" t="inlineStr">
        <is>
          <t>Icaraí</t>
        </is>
      </c>
      <c r="G671" t="inlineStr">
        <is>
          <t>Niterói</t>
        </is>
      </c>
      <c r="H671" t="inlineStr">
        <is>
          <t>RJ</t>
        </is>
      </c>
      <c r="I671" t="n">
        <v>5153</v>
      </c>
      <c r="J671" t="inlineStr">
        <is>
          <t>CAT 2</t>
        </is>
      </c>
      <c r="K671" t="inlineStr">
        <is>
          <t>Sim</t>
        </is>
      </c>
    </row>
    <row r="672">
      <c r="A672" s="1">
        <f>HYPERLINK("https://eurofarma-latam-crm.veevavault.com/#object/account__v/V4TZ00001915AK7", "Ana Lucia de Albuquerque")</f>
        <v/>
      </c>
      <c r="B672" s="1">
        <f>HYPERLINK("https://eurofarma-latam-crm.veevavault.com/#object/account__v/V4TZ00001915AK7", "Ana Lucia Baptista Pedroza de Albuquerque")</f>
        <v/>
      </c>
      <c r="C672" t="inlineStr">
        <is>
          <t>RJ0588351</t>
        </is>
      </c>
      <c r="D672" t="inlineStr">
        <is>
          <t>CLG / END</t>
        </is>
      </c>
      <c r="E672" t="inlineStr">
        <is>
          <t>Rua Ary Spíndola, S/N</t>
        </is>
      </c>
      <c r="F672" t="inlineStr">
        <is>
          <t>Centro</t>
        </is>
      </c>
      <c r="G672" t="inlineStr">
        <is>
          <t>Maricá</t>
        </is>
      </c>
      <c r="H672" t="inlineStr">
        <is>
          <t>RJ</t>
        </is>
      </c>
      <c r="I672" t="n">
        <v>5153</v>
      </c>
      <c r="J672" t="inlineStr">
        <is>
          <t>CAT 4</t>
        </is>
      </c>
      <c r="K672" t="inlineStr">
        <is>
          <t>Sim</t>
        </is>
      </c>
    </row>
    <row r="673">
      <c r="A673" s="1">
        <f>HYPERLINK("https://eurofarma-latam-crm.veevavault.com/#object/account__v/V4TZ00001913KQU", "Ana Luisa Franco")</f>
        <v/>
      </c>
      <c r="B673" s="1">
        <f>HYPERLINK("https://eurofarma-latam-crm.veevavault.com/#object/account__v/V4TZ00001913KQU", "Ana Luisa Braga Franco")</f>
        <v/>
      </c>
      <c r="C673" t="inlineStr">
        <is>
          <t>RJ1144944</t>
        </is>
      </c>
      <c r="D673" t="inlineStr">
        <is>
          <t>PSQ</t>
        </is>
      </c>
      <c r="E673" t="inlineStr">
        <is>
          <t>Rua Gavião Peixoto, 70 - Sala 907</t>
        </is>
      </c>
      <c r="F673" t="inlineStr">
        <is>
          <t>Icaraí</t>
        </is>
      </c>
      <c r="G673" t="inlineStr">
        <is>
          <t>Niterói</t>
        </is>
      </c>
      <c r="H673" t="inlineStr">
        <is>
          <t>RJ</t>
        </is>
      </c>
      <c r="I673" t="n">
        <v>5153</v>
      </c>
      <c r="J673" t="inlineStr">
        <is>
          <t>CAT 1</t>
        </is>
      </c>
      <c r="K673" t="inlineStr">
        <is>
          <t>Sim</t>
        </is>
      </c>
    </row>
    <row r="674">
      <c r="A674" s="1">
        <f>HYPERLINK("https://eurofarma-latam-crm.veevavault.com/#object/account__v/V4TZ00001915LOZ", "Ana Luísa Pimentel")</f>
        <v/>
      </c>
      <c r="B674" s="1">
        <f>HYPERLINK("https://eurofarma-latam-crm.veevavault.com/#object/account__v/V4TZ00001915LOZ", "Ana Luísa Utrine Pimentel")</f>
        <v/>
      </c>
      <c r="C674" t="inlineStr">
        <is>
          <t>RJ1228455</t>
        </is>
      </c>
      <c r="D674" t="inlineStr">
        <is>
          <t>NEU</t>
        </is>
      </c>
      <c r="E674" t="inlineStr">
        <is>
          <t>Rua Doutor Nilo Peçanha, 346</t>
        </is>
      </c>
      <c r="F674" t="inlineStr">
        <is>
          <t>Estrela do Norte</t>
        </is>
      </c>
      <c r="G674" t="inlineStr">
        <is>
          <t>São Gonçalo</t>
        </is>
      </c>
      <c r="H674" t="inlineStr">
        <is>
          <t>RJ</t>
        </is>
      </c>
      <c r="I674" t="n">
        <v>5153</v>
      </c>
      <c r="J674" t="inlineStr"/>
      <c r="K674" t="inlineStr"/>
    </row>
    <row r="675">
      <c r="A675" s="1">
        <f>HYPERLINK("https://eurofarma-latam-crm.veevavault.com/#object/account__v/V4TZ025E89JX43T", "Ana Luiza Franco")</f>
        <v/>
      </c>
      <c r="B675" s="1">
        <f>HYPERLINK("https://eurofarma-latam-crm.veevavault.com/#object/account__v/V4TZ025E89JX43T", "Ana Luiza Marins Franco")</f>
        <v/>
      </c>
      <c r="C675" t="inlineStr">
        <is>
          <t>MG0081372,RJ1167332</t>
        </is>
      </c>
      <c r="D675" t="inlineStr">
        <is>
          <t>GAS</t>
        </is>
      </c>
      <c r="E675" t="inlineStr">
        <is>
          <t>Rua Miguel de Frias, 150 - Sala 406 Sala 407 Sala 408 Sala 409 Sala 410</t>
        </is>
      </c>
      <c r="F675" t="inlineStr">
        <is>
          <t>Icaraí</t>
        </is>
      </c>
      <c r="G675" t="inlineStr">
        <is>
          <t>Niterói</t>
        </is>
      </c>
      <c r="H675" t="inlineStr">
        <is>
          <t>RJ</t>
        </is>
      </c>
      <c r="I675" t="n">
        <v>5153</v>
      </c>
      <c r="J675" t="inlineStr">
        <is>
          <t>CAT 4</t>
        </is>
      </c>
      <c r="K675" t="inlineStr">
        <is>
          <t>Sim</t>
        </is>
      </c>
    </row>
    <row r="676">
      <c r="A676" s="1">
        <f>HYPERLINK("https://eurofarma-latam-crm.veevavault.com/#object/account__v/V4TZ000019161MF", "Ana Luiza Vale")</f>
        <v/>
      </c>
      <c r="B676" s="1">
        <f>HYPERLINK("https://eurofarma-latam-crm.veevavault.com/#object/account__v/V4TZ000019161MF", "Ana Luiza Muniz de Souza Vale")</f>
        <v/>
      </c>
      <c r="C676" t="inlineStr">
        <is>
          <t>RJ1131648</t>
        </is>
      </c>
      <c r="D676" t="inlineStr">
        <is>
          <t>URO</t>
        </is>
      </c>
      <c r="E676" t="inlineStr">
        <is>
          <t>Rua Ator Paulo Gustavo, 26 - Sala 1012</t>
        </is>
      </c>
      <c r="F676" t="inlineStr">
        <is>
          <t>Icaraí</t>
        </is>
      </c>
      <c r="G676" t="inlineStr">
        <is>
          <t>Niterói</t>
        </is>
      </c>
      <c r="H676" t="inlineStr">
        <is>
          <t>RJ</t>
        </is>
      </c>
      <c r="I676" t="n">
        <v>5153</v>
      </c>
      <c r="J676" t="inlineStr">
        <is>
          <t>CAT 5</t>
        </is>
      </c>
      <c r="K676" t="inlineStr">
        <is>
          <t>N�o</t>
        </is>
      </c>
    </row>
    <row r="677">
      <c r="A677" s="1">
        <f>HYPERLINK("https://eurofarma-latam-crm.veevavault.com/#object/account__v/V4TZ00001915QGK", "Ana Paula Brilhante")</f>
        <v/>
      </c>
      <c r="B677" s="1">
        <f>HYPERLINK("https://eurofarma-latam-crm.veevavault.com/#object/account__v/V4TZ00001915QGK", "Ana Paula Pinto Brilhante")</f>
        <v/>
      </c>
      <c r="C677" t="inlineStr">
        <is>
          <t>RJ0667820</t>
        </is>
      </c>
      <c r="D677" t="inlineStr">
        <is>
          <t>END</t>
        </is>
      </c>
      <c r="E677" t="inlineStr">
        <is>
          <t>Travessa Jorge Soares, 157 - Parte 1</t>
        </is>
      </c>
      <c r="F677" t="inlineStr">
        <is>
          <t>Centro</t>
        </is>
      </c>
      <c r="G677" t="inlineStr">
        <is>
          <t>São Gonçalo</t>
        </is>
      </c>
      <c r="H677" t="inlineStr">
        <is>
          <t>RJ</t>
        </is>
      </c>
      <c r="I677" t="n">
        <v>5153</v>
      </c>
      <c r="J677" t="inlineStr">
        <is>
          <t>CAT 2</t>
        </is>
      </c>
      <c r="K677" t="inlineStr">
        <is>
          <t>Sim</t>
        </is>
      </c>
    </row>
    <row r="678">
      <c r="A678" s="1">
        <f>HYPERLINK("https://eurofarma-latam-crm.veevavault.com/#object/account__v/V4TZ00001914NIN", "Ana Roselia Ribeiro")</f>
        <v/>
      </c>
      <c r="B678" s="1">
        <f>HYPERLINK("https://eurofarma-latam-crm.veevavault.com/#object/account__v/V4TZ00001914NIN", "Ana Roselia Guilhermina Strauch Ribeiro")</f>
        <v/>
      </c>
      <c r="C678" t="inlineStr">
        <is>
          <t>RJ0516802</t>
        </is>
      </c>
      <c r="D678" t="inlineStr">
        <is>
          <t>CLG</t>
        </is>
      </c>
      <c r="E678" t="inlineStr">
        <is>
          <t>Rua Otávio Carneiro, 100 - Sala 605</t>
        </is>
      </c>
      <c r="F678" t="inlineStr">
        <is>
          <t>Icaraí</t>
        </is>
      </c>
      <c r="G678" t="inlineStr">
        <is>
          <t>Niterói</t>
        </is>
      </c>
      <c r="H678" t="inlineStr">
        <is>
          <t>RJ</t>
        </is>
      </c>
      <c r="I678" t="n">
        <v>5153</v>
      </c>
      <c r="J678" t="inlineStr">
        <is>
          <t>CAT 2</t>
        </is>
      </c>
      <c r="K678" t="inlineStr">
        <is>
          <t>Sim</t>
        </is>
      </c>
    </row>
    <row r="679">
      <c r="A679" s="1">
        <f>HYPERLINK("https://eurofarma-latam-crm.veevavault.com/#object/account__v/V4TZ00001913B64", "André Luiz Vicente")</f>
        <v/>
      </c>
      <c r="B679" s="1">
        <f>HYPERLINK("https://eurofarma-latam-crm.veevavault.com/#object/account__v/V4TZ00001913B64", "André Luiz de Carvalho Vicente")</f>
        <v/>
      </c>
      <c r="C679" t="inlineStr">
        <is>
          <t>RJ0604886</t>
        </is>
      </c>
      <c r="D679" t="inlineStr">
        <is>
          <t>ORL</t>
        </is>
      </c>
      <c r="E679" t="inlineStr">
        <is>
          <t>Rua Rubem Risemberg, 46</t>
        </is>
      </c>
      <c r="F679" t="inlineStr">
        <is>
          <t>Piratininga</t>
        </is>
      </c>
      <c r="G679" t="inlineStr">
        <is>
          <t>Niterói</t>
        </is>
      </c>
      <c r="H679" t="inlineStr">
        <is>
          <t>RJ</t>
        </is>
      </c>
      <c r="I679" t="n">
        <v>5153</v>
      </c>
      <c r="J679" t="inlineStr">
        <is>
          <t>CAT 2</t>
        </is>
      </c>
      <c r="K679" t="inlineStr">
        <is>
          <t>Sim</t>
        </is>
      </c>
    </row>
    <row r="680">
      <c r="A680" s="1">
        <f>HYPERLINK("https://eurofarma-latam-crm.veevavault.com/#object/account__v/V4TZ0000191333N", "Andre Martins")</f>
        <v/>
      </c>
      <c r="B680" s="1">
        <f>HYPERLINK("https://eurofarma-latam-crm.veevavault.com/#object/account__v/V4TZ0000191333N", "Andre Chaloub Martins")</f>
        <v/>
      </c>
      <c r="C680" t="inlineStr">
        <is>
          <t>RJ1017039</t>
        </is>
      </c>
      <c r="D680" t="inlineStr">
        <is>
          <t>ORT</t>
        </is>
      </c>
      <c r="E680" t="inlineStr">
        <is>
          <t>Rua La Sale, 12</t>
        </is>
      </c>
      <c r="F680" t="inlineStr">
        <is>
          <t>Centro</t>
        </is>
      </c>
      <c r="G680" t="inlineStr">
        <is>
          <t>Niterói</t>
        </is>
      </c>
      <c r="H680" t="inlineStr">
        <is>
          <t>RJ</t>
        </is>
      </c>
      <c r="I680" t="n">
        <v>5153</v>
      </c>
      <c r="J680" t="inlineStr">
        <is>
          <t>CAT 5</t>
        </is>
      </c>
      <c r="K680" t="inlineStr">
        <is>
          <t>Sim</t>
        </is>
      </c>
    </row>
    <row r="681">
      <c r="A681" s="1">
        <f>HYPERLINK("https://eurofarma-latam-crm.veevavault.com/#object/account__v/V4TZ000019166TS", "Andrea Amaral")</f>
        <v/>
      </c>
      <c r="B681" s="1">
        <f>HYPERLINK("https://eurofarma-latam-crm.veevavault.com/#object/account__v/V4TZ000019166TS", "Andrea de Oliveira Campos Amaral")</f>
        <v/>
      </c>
      <c r="C681" t="inlineStr">
        <is>
          <t>RJ0602172</t>
        </is>
      </c>
      <c r="D681" t="inlineStr">
        <is>
          <t>PED</t>
        </is>
      </c>
      <c r="E681" t="inlineStr">
        <is>
          <t>Rua Marquês de Paraná, 303</t>
        </is>
      </c>
      <c r="F681" t="inlineStr">
        <is>
          <t>Centro</t>
        </is>
      </c>
      <c r="G681" t="inlineStr">
        <is>
          <t>Niterói</t>
        </is>
      </c>
      <c r="H681" t="inlineStr">
        <is>
          <t>RJ</t>
        </is>
      </c>
      <c r="I681" t="n">
        <v>5153</v>
      </c>
      <c r="J681" t="inlineStr">
        <is>
          <t>CAT 4</t>
        </is>
      </c>
      <c r="K681" t="inlineStr">
        <is>
          <t>Sim</t>
        </is>
      </c>
    </row>
    <row r="682">
      <c r="A682" s="1">
        <f>HYPERLINK("https://eurofarma-latam-crm.veevavault.com/#object/account__v/V4TZ000018NYZQF", "Andrea Fernandes")</f>
        <v/>
      </c>
      <c r="B682" s="1">
        <f>HYPERLINK("https://eurofarma-latam-crm.veevavault.com/#object/account__v/V4TZ000018NYZQF", "Andrea Barbosa Fernandes")</f>
        <v/>
      </c>
      <c r="C682" t="inlineStr">
        <is>
          <t>RJ0733407</t>
        </is>
      </c>
      <c r="D682" t="inlineStr">
        <is>
          <t>CLG / END</t>
        </is>
      </c>
      <c r="E682" t="inlineStr">
        <is>
          <t>Rua Ator Paulo Gustavo, 26 - Sala 1420</t>
        </is>
      </c>
      <c r="F682" t="inlineStr">
        <is>
          <t>Icaraí</t>
        </is>
      </c>
      <c r="G682" t="inlineStr">
        <is>
          <t>Niterói</t>
        </is>
      </c>
      <c r="H682" t="inlineStr">
        <is>
          <t>RJ</t>
        </is>
      </c>
      <c r="I682" t="n">
        <v>5153</v>
      </c>
      <c r="J682" t="inlineStr">
        <is>
          <t>CAT 5</t>
        </is>
      </c>
      <c r="K682" t="inlineStr">
        <is>
          <t>Sim</t>
        </is>
      </c>
    </row>
    <row r="683">
      <c r="A683" s="1">
        <f>HYPERLINK("https://eurofarma-latam-crm.veevavault.com/#object/account__v/V4TZ000019146AB", "Andrea Velloso")</f>
        <v/>
      </c>
      <c r="B683" s="1">
        <f>HYPERLINK("https://eurofarma-latam-crm.veevavault.com/#object/account__v/V4TZ000019146AB", "Andrea de Carvalho Romero Velloso")</f>
        <v/>
      </c>
      <c r="C683" t="inlineStr">
        <is>
          <t>RJ0652539</t>
        </is>
      </c>
      <c r="D683" t="inlineStr">
        <is>
          <t>GAS</t>
        </is>
      </c>
      <c r="E683" t="inlineStr">
        <is>
          <t>Rua Presidente Castelo Branco, 170</t>
        </is>
      </c>
      <c r="F683" t="inlineStr">
        <is>
          <t>Centro</t>
        </is>
      </c>
      <c r="G683" t="inlineStr">
        <is>
          <t>Itaboraí</t>
        </is>
      </c>
      <c r="H683" t="inlineStr">
        <is>
          <t>RJ</t>
        </is>
      </c>
      <c r="I683" t="n">
        <v>5153</v>
      </c>
      <c r="J683" t="inlineStr">
        <is>
          <t>CAT 5</t>
        </is>
      </c>
      <c r="K683" t="inlineStr">
        <is>
          <t>Sim</t>
        </is>
      </c>
    </row>
    <row r="684">
      <c r="A684" s="1">
        <f>HYPERLINK("https://eurofarma-latam-crm.veevavault.com/#object/account__v/V4TZ00001913VN4", "Ângela Regina do Valle")</f>
        <v/>
      </c>
      <c r="B684" s="1">
        <f>HYPERLINK("https://eurofarma-latam-crm.veevavault.com/#object/account__v/V4TZ00001913VN4", "Ângela Regina Ribeiro Abreu do Valle")</f>
        <v/>
      </c>
      <c r="C684" t="inlineStr">
        <is>
          <t>RJ0349195</t>
        </is>
      </c>
      <c r="D684" t="inlineStr">
        <is>
          <t>CLG / END</t>
        </is>
      </c>
      <c r="E684" t="inlineStr">
        <is>
          <t>Rua Ator Paulo Gustavo, 229 - Sala 1417</t>
        </is>
      </c>
      <c r="F684" t="inlineStr">
        <is>
          <t>Icaraí</t>
        </is>
      </c>
      <c r="G684" t="inlineStr">
        <is>
          <t>Niterói</t>
        </is>
      </c>
      <c r="H684" t="inlineStr">
        <is>
          <t>RJ</t>
        </is>
      </c>
      <c r="I684" t="n">
        <v>5153</v>
      </c>
      <c r="J684" t="inlineStr">
        <is>
          <t>CAT 4</t>
        </is>
      </c>
      <c r="K684" t="inlineStr">
        <is>
          <t>Sim</t>
        </is>
      </c>
    </row>
    <row r="685">
      <c r="A685" s="1">
        <f>HYPERLINK("https://eurofarma-latam-crm.veevavault.com/#object/account__v/V4TZ00001914ZD2", "Anna Cecilia Almeida")</f>
        <v/>
      </c>
      <c r="B685" s="1">
        <f>HYPERLINK("https://eurofarma-latam-crm.veevavault.com/#object/account__v/V4TZ00001914ZD2", "Anna Cecilia de Latorre Pereira Almeida")</f>
        <v/>
      </c>
      <c r="C685" t="inlineStr">
        <is>
          <t>RJ0797820</t>
        </is>
      </c>
      <c r="D685" t="inlineStr">
        <is>
          <t>END</t>
        </is>
      </c>
      <c r="E685" t="inlineStr">
        <is>
          <t>Rua Nóbrega, 127 - Sala 1104</t>
        </is>
      </c>
      <c r="F685" t="inlineStr">
        <is>
          <t>Icaraí</t>
        </is>
      </c>
      <c r="G685" t="inlineStr">
        <is>
          <t>Niterói</t>
        </is>
      </c>
      <c r="H685" t="inlineStr">
        <is>
          <t>RJ</t>
        </is>
      </c>
      <c r="I685" t="n">
        <v>5153</v>
      </c>
      <c r="J685" t="inlineStr">
        <is>
          <t>CAT 3</t>
        </is>
      </c>
      <c r="K685" t="inlineStr">
        <is>
          <t>Sim</t>
        </is>
      </c>
    </row>
    <row r="686">
      <c r="A686" s="1">
        <f>HYPERLINK("https://eurofarma-latam-crm.veevavault.com/#object/account__v/V4TZ000019167QN", "Anna Neurauter")</f>
        <v/>
      </c>
      <c r="B686" s="1">
        <f>HYPERLINK("https://eurofarma-latam-crm.veevavault.com/#object/account__v/V4TZ000019167QN", "Anna Luiza de Araujo Neurauter")</f>
        <v/>
      </c>
      <c r="C686" t="inlineStr">
        <is>
          <t>RJ1139100</t>
        </is>
      </c>
      <c r="D686" t="inlineStr">
        <is>
          <t>GAS</t>
        </is>
      </c>
      <c r="E686" t="inlineStr">
        <is>
          <t>Rua Manoel de Abreu, 9 - Parte</t>
        </is>
      </c>
      <c r="F686" t="inlineStr">
        <is>
          <t>Centro</t>
        </is>
      </c>
      <c r="G686" t="inlineStr">
        <is>
          <t>Niterói</t>
        </is>
      </c>
      <c r="H686" t="inlineStr">
        <is>
          <t>RJ</t>
        </is>
      </c>
      <c r="I686" t="n">
        <v>5153</v>
      </c>
      <c r="J686" t="inlineStr">
        <is>
          <t>CAT 5</t>
        </is>
      </c>
      <c r="K686" t="inlineStr">
        <is>
          <t>N�o</t>
        </is>
      </c>
    </row>
    <row r="687">
      <c r="A687" s="1">
        <f>HYPERLINK("https://eurofarma-latam-crm.veevavault.com/#object/account__v/V4TZ000018NXZVE", "Antônio Carlos Salgado")</f>
        <v/>
      </c>
      <c r="B687" s="1">
        <f>HYPERLINK("https://eurofarma-latam-crm.veevavault.com/#object/account__v/V4TZ000018NXZVE", "Antônio Carlos Antunes Salgado")</f>
        <v/>
      </c>
      <c r="C687" t="inlineStr">
        <is>
          <t>RJ0306582</t>
        </is>
      </c>
      <c r="D687" t="inlineStr">
        <is>
          <t>PSQ</t>
        </is>
      </c>
      <c r="E687" t="inlineStr">
        <is>
          <t>Rua Coronel Moreira Cesar, 26 - Sala 801</t>
        </is>
      </c>
      <c r="F687" t="inlineStr">
        <is>
          <t>Icaraí</t>
        </is>
      </c>
      <c r="G687" t="inlineStr">
        <is>
          <t>Niterói</t>
        </is>
      </c>
      <c r="H687" t="inlineStr">
        <is>
          <t>RJ</t>
        </is>
      </c>
      <c r="I687" t="n">
        <v>5153</v>
      </c>
      <c r="J687" t="inlineStr">
        <is>
          <t>CAT 1</t>
        </is>
      </c>
      <c r="K687" t="inlineStr">
        <is>
          <t>Sim</t>
        </is>
      </c>
    </row>
    <row r="688">
      <c r="A688" s="1">
        <f>HYPERLINK("https://eurofarma-latam-crm.veevavault.com/#object/account__v/V4TZ000018NY09A", "Artur de Araújo")</f>
        <v/>
      </c>
      <c r="B688" s="1">
        <f>HYPERLINK("https://eurofarma-latam-crm.veevavault.com/#object/account__v/V4TZ000018NY09A", "Artur Carvalho de Araújo")</f>
        <v/>
      </c>
      <c r="C688" t="inlineStr">
        <is>
          <t>RJ0678600</t>
        </is>
      </c>
      <c r="D688" t="inlineStr">
        <is>
          <t>URO</t>
        </is>
      </c>
      <c r="E688" t="inlineStr">
        <is>
          <t>Rua Marquês de Paraná, 303</t>
        </is>
      </c>
      <c r="F688" t="inlineStr">
        <is>
          <t>Centro</t>
        </is>
      </c>
      <c r="G688" t="inlineStr">
        <is>
          <t>Niterói</t>
        </is>
      </c>
      <c r="H688" t="inlineStr">
        <is>
          <t>RJ</t>
        </is>
      </c>
      <c r="I688" t="n">
        <v>5153</v>
      </c>
      <c r="J688" t="inlineStr">
        <is>
          <t>CAT 5</t>
        </is>
      </c>
      <c r="K688" t="inlineStr">
        <is>
          <t>Sim</t>
        </is>
      </c>
    </row>
    <row r="689">
      <c r="A689" s="1">
        <f>HYPERLINK("https://eurofarma-latam-crm.veevavault.com/#object/account__v/V4TZ000018NZ2SG", "Barbara de Miranda")</f>
        <v/>
      </c>
      <c r="B689" s="1">
        <f>HYPERLINK("https://eurofarma-latam-crm.veevavault.com/#object/account__v/V4TZ000018NZ2SG", "Barbara Braga de Miranda")</f>
        <v/>
      </c>
      <c r="C689" t="inlineStr">
        <is>
          <t>RJ0789810</t>
        </is>
      </c>
      <c r="D689" t="inlineStr">
        <is>
          <t>NEU</t>
        </is>
      </c>
      <c r="E689" t="inlineStr">
        <is>
          <t>Rua Doutor Mário Viana, 653</t>
        </is>
      </c>
      <c r="F689" t="inlineStr">
        <is>
          <t>Santa Rosa</t>
        </is>
      </c>
      <c r="G689" t="inlineStr">
        <is>
          <t>Niterói</t>
        </is>
      </c>
      <c r="H689" t="inlineStr">
        <is>
          <t>RJ</t>
        </is>
      </c>
      <c r="I689" t="n">
        <v>5153</v>
      </c>
      <c r="J689" t="inlineStr">
        <is>
          <t>CAT 3</t>
        </is>
      </c>
      <c r="K689" t="inlineStr">
        <is>
          <t>Sim</t>
        </is>
      </c>
    </row>
    <row r="690">
      <c r="A690" s="1">
        <f>HYPERLINK("https://eurofarma-latam-crm.veevavault.com/#object/account__v/V4TZ000019LZAYN", "Bárbara dos Reis")</f>
        <v/>
      </c>
      <c r="B690" s="1">
        <f>HYPERLINK("https://eurofarma-latam-crm.veevavault.com/#object/account__v/V4TZ000019LZAYN", "Bárbara Carvalho Santos dos Reis")</f>
        <v/>
      </c>
      <c r="C690" t="inlineStr">
        <is>
          <t>RJ1017284</t>
        </is>
      </c>
      <c r="D690" t="inlineStr">
        <is>
          <t>PED</t>
        </is>
      </c>
      <c r="E690" t="inlineStr">
        <is>
          <t>Rua Manoel de Abreu, 9 - Parte</t>
        </is>
      </c>
      <c r="F690" t="inlineStr">
        <is>
          <t>Centro</t>
        </is>
      </c>
      <c r="G690" t="inlineStr">
        <is>
          <t>Niterói</t>
        </is>
      </c>
      <c r="H690" t="inlineStr">
        <is>
          <t>RJ</t>
        </is>
      </c>
      <c r="I690" t="n">
        <v>5153</v>
      </c>
      <c r="J690" t="inlineStr">
        <is>
          <t>CAT 5</t>
        </is>
      </c>
      <c r="K690" t="inlineStr">
        <is>
          <t>N�o</t>
        </is>
      </c>
    </row>
    <row r="691">
      <c r="A691" s="1">
        <f>HYPERLINK("https://eurofarma-latam-crm.veevavault.com/#object/account__v/V4TZ000018NXO02", "Barbara e Silva")</f>
        <v/>
      </c>
      <c r="B691" s="1">
        <f>HYPERLINK("https://eurofarma-latam-crm.veevavault.com/#object/account__v/V4TZ000018NXO02", "Barbara Neffa Lapa e Silva")</f>
        <v/>
      </c>
      <c r="C691" t="inlineStr">
        <is>
          <t>RJ1020129</t>
        </is>
      </c>
      <c r="D691" t="inlineStr">
        <is>
          <t>PED</t>
        </is>
      </c>
      <c r="E691" t="inlineStr">
        <is>
          <t>Rua Manoel de Abreu, 9 - Parte</t>
        </is>
      </c>
      <c r="F691" t="inlineStr">
        <is>
          <t>Centro</t>
        </is>
      </c>
      <c r="G691" t="inlineStr">
        <is>
          <t>Niterói</t>
        </is>
      </c>
      <c r="H691" t="inlineStr">
        <is>
          <t>RJ</t>
        </is>
      </c>
      <c r="I691" t="n">
        <v>5153</v>
      </c>
      <c r="J691" t="inlineStr">
        <is>
          <t>CAT 5</t>
        </is>
      </c>
      <c r="K691" t="inlineStr">
        <is>
          <t>Sim</t>
        </is>
      </c>
    </row>
    <row r="692">
      <c r="A692" s="1">
        <f>HYPERLINK("https://eurofarma-latam-crm.veevavault.com/#object/account__v/V4TZ000019133UY", "Barbara Esberard")</f>
        <v/>
      </c>
      <c r="B692" s="1">
        <f>HYPERLINK("https://eurofarma-latam-crm.veevavault.com/#object/account__v/V4TZ000019133UY", "Barbara Cathala Esberard")</f>
        <v/>
      </c>
      <c r="C692" t="inlineStr">
        <is>
          <t>RJ0716022</t>
        </is>
      </c>
      <c r="D692" t="inlineStr">
        <is>
          <t>GAS</t>
        </is>
      </c>
      <c r="E692" t="inlineStr">
        <is>
          <t>Rua Mariz e Barros, 288</t>
        </is>
      </c>
      <c r="F692" t="inlineStr">
        <is>
          <t>Icaraí</t>
        </is>
      </c>
      <c r="G692" t="inlineStr">
        <is>
          <t>Niterói</t>
        </is>
      </c>
      <c r="H692" t="inlineStr">
        <is>
          <t>RJ</t>
        </is>
      </c>
      <c r="I692" t="n">
        <v>5153</v>
      </c>
      <c r="J692" t="inlineStr">
        <is>
          <t>CAT 5</t>
        </is>
      </c>
      <c r="K692" t="inlineStr">
        <is>
          <t>Sim</t>
        </is>
      </c>
    </row>
    <row r="693">
      <c r="A693" s="1">
        <f>HYPERLINK("https://eurofarma-latam-crm.veevavault.com/#object/account__v/V4TZ0000191327C", "Bernardo Hisse")</f>
        <v/>
      </c>
      <c r="B693" s="1">
        <f>HYPERLINK("https://eurofarma-latam-crm.veevavault.com/#object/account__v/V4TZ0000191327C", "Bernardo Sanglard Hisse")</f>
        <v/>
      </c>
      <c r="C693" t="inlineStr">
        <is>
          <t>RJ1262963</t>
        </is>
      </c>
      <c r="D693" t="inlineStr">
        <is>
          <t>ORT</t>
        </is>
      </c>
      <c r="E693" t="inlineStr">
        <is>
          <t>Rua Mariz e Barros, 283</t>
        </is>
      </c>
      <c r="F693" t="inlineStr">
        <is>
          <t>Icaraí</t>
        </is>
      </c>
      <c r="G693" t="inlineStr">
        <is>
          <t>Niterói</t>
        </is>
      </c>
      <c r="H693" t="inlineStr">
        <is>
          <t>RJ</t>
        </is>
      </c>
      <c r="I693" t="n">
        <v>5153</v>
      </c>
      <c r="J693" t="inlineStr">
        <is>
          <t>CAT 5</t>
        </is>
      </c>
      <c r="K693" t="inlineStr">
        <is>
          <t>N�o</t>
        </is>
      </c>
    </row>
    <row r="694">
      <c r="A694" s="1">
        <f>HYPERLINK("https://eurofarma-latam-crm.veevavault.com/#object/account__v/V4TZ000018NXVD4", "Bianca Correa")</f>
        <v/>
      </c>
      <c r="B694" s="1">
        <f>HYPERLINK("https://eurofarma-latam-crm.veevavault.com/#object/account__v/V4TZ000018NXVD4", "Bianca Naves Correa")</f>
        <v/>
      </c>
      <c r="C694" t="inlineStr">
        <is>
          <t>RJ0864242</t>
        </is>
      </c>
      <c r="D694" t="inlineStr">
        <is>
          <t>PED</t>
        </is>
      </c>
      <c r="E694" t="inlineStr">
        <is>
          <t>Rua Figueiredo Magalhães, 875</t>
        </is>
      </c>
      <c r="F694" t="inlineStr">
        <is>
          <t>Copacabana</t>
        </is>
      </c>
      <c r="G694" t="inlineStr">
        <is>
          <t>Rio de Janeiro</t>
        </is>
      </c>
      <c r="H694" t="inlineStr">
        <is>
          <t>RJ</t>
        </is>
      </c>
      <c r="I694" t="n">
        <v>5153</v>
      </c>
      <c r="J694" t="inlineStr"/>
      <c r="K694" t="inlineStr"/>
    </row>
    <row r="695">
      <c r="A695" s="1">
        <f>HYPERLINK("https://eurofarma-latam-crm.veevavault.com/#object/account__v/V4TZ00001915EXX", "Bruna Spelta")</f>
        <v/>
      </c>
      <c r="B695" s="1">
        <f>HYPERLINK("https://eurofarma-latam-crm.veevavault.com/#object/account__v/V4TZ00001915EXX", "Bruna Richard Mercante Spelta")</f>
        <v/>
      </c>
      <c r="C695" t="inlineStr">
        <is>
          <t>RJ0753157</t>
        </is>
      </c>
      <c r="D695" t="inlineStr">
        <is>
          <t>GAS</t>
        </is>
      </c>
      <c r="E695" t="inlineStr">
        <is>
          <t>Avenida Ernani do Amaral Peixoto, 467 - Sala 512</t>
        </is>
      </c>
      <c r="F695" t="inlineStr">
        <is>
          <t>Centro</t>
        </is>
      </c>
      <c r="G695" t="inlineStr">
        <is>
          <t>Niterói</t>
        </is>
      </c>
      <c r="H695" t="inlineStr">
        <is>
          <t>RJ</t>
        </is>
      </c>
      <c r="I695" t="n">
        <v>5153</v>
      </c>
      <c r="J695" t="inlineStr">
        <is>
          <t>CAT 5</t>
        </is>
      </c>
      <c r="K695" t="inlineStr">
        <is>
          <t>Sim</t>
        </is>
      </c>
    </row>
    <row r="696">
      <c r="A696" s="1">
        <f>HYPERLINK("https://eurofarma-latam-crm.veevavault.com/#object/account__v/V4TZ025E8429FIS", "Bruna Vagos")</f>
        <v/>
      </c>
      <c r="B696" s="1">
        <f>HYPERLINK("https://eurofarma-latam-crm.veevavault.com/#object/account__v/V4TZ025E8429FIS", "Bruna Willkomm de Farias Simões Vagos")</f>
        <v/>
      </c>
      <c r="C696" t="inlineStr">
        <is>
          <t>RJ1295853</t>
        </is>
      </c>
      <c r="D696" t="inlineStr">
        <is>
          <t>PSQ</t>
        </is>
      </c>
      <c r="E696" t="inlineStr">
        <is>
          <t>Rua Gavião Peixoto, 70 - Sala 907</t>
        </is>
      </c>
      <c r="F696" t="inlineStr">
        <is>
          <t>Icaraí</t>
        </is>
      </c>
      <c r="G696" t="inlineStr">
        <is>
          <t>Niterói</t>
        </is>
      </c>
      <c r="H696" t="inlineStr">
        <is>
          <t>RJ</t>
        </is>
      </c>
      <c r="I696" t="n">
        <v>5153</v>
      </c>
      <c r="J696" t="inlineStr">
        <is>
          <t>CAT 2</t>
        </is>
      </c>
      <c r="K696" t="inlineStr">
        <is>
          <t>Sim</t>
        </is>
      </c>
    </row>
    <row r="697">
      <c r="A697" s="1">
        <f>HYPERLINK("https://eurofarma-latam-crm.veevavault.com/#object/account__v/V4TZ00001915D3B", "Bruna Villela")</f>
        <v/>
      </c>
      <c r="B697" s="1">
        <f>HYPERLINK("https://eurofarma-latam-crm.veevavault.com/#object/account__v/V4TZ00001915D3B", "Bruna Moreira Leal Villela")</f>
        <v/>
      </c>
      <c r="C697" t="inlineStr">
        <is>
          <t>RJ0814628</t>
        </is>
      </c>
      <c r="D697" t="inlineStr">
        <is>
          <t>NEU</t>
        </is>
      </c>
      <c r="E697" t="inlineStr">
        <is>
          <t>Rua Gavião Peixoto, 148 - Sala 703 Parte</t>
        </is>
      </c>
      <c r="F697" t="inlineStr">
        <is>
          <t>Icaraí</t>
        </is>
      </c>
      <c r="G697" t="inlineStr">
        <is>
          <t>Niterói</t>
        </is>
      </c>
      <c r="H697" t="inlineStr">
        <is>
          <t>RJ</t>
        </is>
      </c>
      <c r="I697" t="n">
        <v>5153</v>
      </c>
      <c r="J697" t="inlineStr">
        <is>
          <t>CAT 3</t>
        </is>
      </c>
      <c r="K697" t="inlineStr">
        <is>
          <t>Sim</t>
        </is>
      </c>
    </row>
    <row r="698">
      <c r="A698" s="1">
        <f>HYPERLINK("https://eurofarma-latam-crm.veevavault.com/#object/account__v/V4TZ04ASGMUMW1I", "Bruno Erthal")</f>
        <v/>
      </c>
      <c r="B698" s="1">
        <f>HYPERLINK("https://eurofarma-latam-crm.veevavault.com/#object/account__v/V4TZ04ASGMUMW1I", "Bruno de Luna Erthal")</f>
        <v/>
      </c>
      <c r="C698" t="inlineStr">
        <is>
          <t>RJ0994472</t>
        </is>
      </c>
      <c r="D698" t="inlineStr">
        <is>
          <t>ORT</t>
        </is>
      </c>
      <c r="E698" t="inlineStr">
        <is>
          <t>Rua Dagmar da Fonseca, 192</t>
        </is>
      </c>
      <c r="F698" t="inlineStr">
        <is>
          <t>Madureira</t>
        </is>
      </c>
      <c r="G698" t="inlineStr">
        <is>
          <t>Rio de Janeiro</t>
        </is>
      </c>
      <c r="H698" t="inlineStr">
        <is>
          <t>RJ</t>
        </is>
      </c>
      <c r="I698" t="n">
        <v>5153</v>
      </c>
      <c r="J698" t="inlineStr"/>
      <c r="K698" t="inlineStr"/>
    </row>
    <row r="699">
      <c r="A699" s="1">
        <f>HYPERLINK("https://eurofarma-latam-crm.veevavault.com/#object/account__v/V4TZ025E84NT6R9", "Bruno Raphael Gomes")</f>
        <v/>
      </c>
      <c r="B699" s="1">
        <f>HYPERLINK("https://eurofarma-latam-crm.veevavault.com/#object/account__v/V4TZ025E84NT6R9", "Bruno Raphael de Almeida Gomes")</f>
        <v/>
      </c>
      <c r="C699" t="inlineStr">
        <is>
          <t>RJ1123025</t>
        </is>
      </c>
      <c r="D699" t="inlineStr">
        <is>
          <t>END</t>
        </is>
      </c>
      <c r="E699" t="inlineStr">
        <is>
          <t>Rua Vitória Helena, 2</t>
        </is>
      </c>
      <c r="F699" t="inlineStr">
        <is>
          <t>Vila Capri</t>
        </is>
      </c>
      <c r="G699" t="inlineStr">
        <is>
          <t>Araruama</t>
        </is>
      </c>
      <c r="H699" t="inlineStr">
        <is>
          <t>RJ</t>
        </is>
      </c>
      <c r="I699" t="n">
        <v>5153</v>
      </c>
      <c r="J699" t="inlineStr"/>
      <c r="K699" t="inlineStr"/>
    </row>
    <row r="700">
      <c r="A700" s="1">
        <f>HYPERLINK("https://eurofarma-latam-crm.veevavault.com/#object/account__v/V4TZ00001915HJ4", "Camila Chieza")</f>
        <v/>
      </c>
      <c r="B700" s="1">
        <f>HYPERLINK("https://eurofarma-latam-crm.veevavault.com/#object/account__v/V4TZ00001915HJ4", "Camila Martins Chieza")</f>
        <v/>
      </c>
      <c r="C700" t="inlineStr">
        <is>
          <t>RJ0781886</t>
        </is>
      </c>
      <c r="D700" t="inlineStr">
        <is>
          <t>ORL</t>
        </is>
      </c>
      <c r="E700" t="inlineStr">
        <is>
          <t>Rua Mariz e Barros, 775</t>
        </is>
      </c>
      <c r="F700" t="inlineStr">
        <is>
          <t>Maracanã</t>
        </is>
      </c>
      <c r="G700" t="inlineStr">
        <is>
          <t>Rio de Janeiro</t>
        </is>
      </c>
      <c r="H700" t="inlineStr">
        <is>
          <t>RJ</t>
        </is>
      </c>
      <c r="I700" t="n">
        <v>5153</v>
      </c>
      <c r="J700" t="inlineStr">
        <is>
          <t>CAT 4</t>
        </is>
      </c>
      <c r="K700" t="inlineStr">
        <is>
          <t>Sim</t>
        </is>
      </c>
    </row>
    <row r="701">
      <c r="A701" s="1">
        <f>HYPERLINK("https://eurofarma-latam-crm.veevavault.com/#object/account__v/V4TZ000018NYXVR", "Camila Franco")</f>
        <v/>
      </c>
      <c r="B701" s="1">
        <f>HYPERLINK("https://eurofarma-latam-crm.veevavault.com/#object/account__v/V4TZ000018NYXVR", "Camila de Almeida Ventura Franco")</f>
        <v/>
      </c>
      <c r="C701" t="inlineStr">
        <is>
          <t>RJ0864773</t>
        </is>
      </c>
      <c r="D701" t="inlineStr">
        <is>
          <t>PED</t>
        </is>
      </c>
      <c r="E701" t="inlineStr">
        <is>
          <t>Rua Miguel de Frias, 51 - Sala 707</t>
        </is>
      </c>
      <c r="F701" t="inlineStr">
        <is>
          <t>Icaraí</t>
        </is>
      </c>
      <c r="G701" t="inlineStr">
        <is>
          <t>Niterói</t>
        </is>
      </c>
      <c r="H701" t="inlineStr">
        <is>
          <t>RJ</t>
        </is>
      </c>
      <c r="I701" t="n">
        <v>5153</v>
      </c>
      <c r="J701" t="inlineStr">
        <is>
          <t>CAT 5</t>
        </is>
      </c>
      <c r="K701" t="inlineStr">
        <is>
          <t>Sim</t>
        </is>
      </c>
    </row>
    <row r="702">
      <c r="A702" s="1">
        <f>HYPERLINK("https://eurofarma-latam-crm.veevavault.com/#object/account__v/V4TZ00001915GKZ", "Camila Gutman")</f>
        <v/>
      </c>
      <c r="B702" s="1">
        <f>HYPERLINK("https://eurofarma-latam-crm.veevavault.com/#object/account__v/V4TZ00001915GKZ", "Camila Pereira Assad Gutman")</f>
        <v/>
      </c>
      <c r="C702" t="inlineStr">
        <is>
          <t>RJ0870293</t>
        </is>
      </c>
      <c r="D702" t="inlineStr">
        <is>
          <t>CLG / END</t>
        </is>
      </c>
      <c r="E702" t="inlineStr">
        <is>
          <t>Rua Manoel de Abreu, 9 - Parte</t>
        </is>
      </c>
      <c r="F702" t="inlineStr">
        <is>
          <t>Centro</t>
        </is>
      </c>
      <c r="G702" t="inlineStr">
        <is>
          <t>Niterói</t>
        </is>
      </c>
      <c r="H702" t="inlineStr">
        <is>
          <t>RJ</t>
        </is>
      </c>
      <c r="I702" t="n">
        <v>5153</v>
      </c>
      <c r="J702" t="inlineStr">
        <is>
          <t>CAT 5</t>
        </is>
      </c>
      <c r="K702" t="inlineStr">
        <is>
          <t>Sim</t>
        </is>
      </c>
    </row>
    <row r="703">
      <c r="A703" s="1">
        <f>HYPERLINK("https://eurofarma-latam-crm.veevavault.com/#object/account__v/V4TZ000018NYTR5", "Camilo Schuindt")</f>
        <v/>
      </c>
      <c r="B703" s="1">
        <f>HYPERLINK("https://eurofarma-latam-crm.veevavault.com/#object/account__v/V4TZ000018NYTR5", "Camilo Tubino Schuindt")</f>
        <v/>
      </c>
      <c r="C703" t="inlineStr">
        <is>
          <t>RJ0876100</t>
        </is>
      </c>
      <c r="D703" t="inlineStr">
        <is>
          <t>RMT</t>
        </is>
      </c>
      <c r="E703" t="inlineStr">
        <is>
          <t>Rua Voluntários da Pátria, 408</t>
        </is>
      </c>
      <c r="F703" t="inlineStr">
        <is>
          <t>Botafogo</t>
        </is>
      </c>
      <c r="G703" t="inlineStr">
        <is>
          <t>Rio de Janeiro</t>
        </is>
      </c>
      <c r="H703" t="inlineStr">
        <is>
          <t>RJ</t>
        </is>
      </c>
      <c r="I703" t="n">
        <v>5153</v>
      </c>
      <c r="J703" t="inlineStr"/>
      <c r="K703" t="inlineStr"/>
    </row>
    <row r="704">
      <c r="A704" s="1">
        <f>HYPERLINK("https://eurofarma-latam-crm.veevavault.com/#object/account__v/V4TZ00001913VAK", "Candida Regina Costa")</f>
        <v/>
      </c>
      <c r="B704" s="1">
        <f>HYPERLINK("https://eurofarma-latam-crm.veevavault.com/#object/account__v/V4TZ00001913VAK", "Candida Regina Machado Costa")</f>
        <v/>
      </c>
      <c r="C704" t="inlineStr">
        <is>
          <t>RJ0308888</t>
        </is>
      </c>
      <c r="D704" t="inlineStr">
        <is>
          <t>PSQ</t>
        </is>
      </c>
      <c r="E704" t="inlineStr">
        <is>
          <t>Rua Ator Paulo Gustavo, 426 - Sala 408</t>
        </is>
      </c>
      <c r="F704" t="inlineStr">
        <is>
          <t>Icaraí</t>
        </is>
      </c>
      <c r="G704" t="inlineStr">
        <is>
          <t>Niterói</t>
        </is>
      </c>
      <c r="H704" t="inlineStr">
        <is>
          <t>RJ</t>
        </is>
      </c>
      <c r="I704" t="n">
        <v>5153</v>
      </c>
      <c r="J704" t="inlineStr">
        <is>
          <t>CAT 4</t>
        </is>
      </c>
      <c r="K704" t="inlineStr">
        <is>
          <t>Sim</t>
        </is>
      </c>
    </row>
    <row r="705">
      <c r="A705" s="1">
        <f>HYPERLINK("https://eurofarma-latam-crm.veevavault.com/#object/account__v/V4TZ00001913A3Z", "Carlos Alberto Frota")</f>
        <v/>
      </c>
      <c r="B705" s="1">
        <f>HYPERLINK("https://eurofarma-latam-crm.veevavault.com/#object/account__v/V4TZ00001913A3Z", "Carlos Alberto Bastos Frota")</f>
        <v/>
      </c>
      <c r="C705" t="inlineStr">
        <is>
          <t>RJ0351795</t>
        </is>
      </c>
      <c r="D705" t="inlineStr">
        <is>
          <t>ORT</t>
        </is>
      </c>
      <c r="E705" t="inlineStr">
        <is>
          <t>Rua Coronel Moreira Cesar, 26 - Sala 908</t>
        </is>
      </c>
      <c r="F705" t="inlineStr">
        <is>
          <t>Icaraí</t>
        </is>
      </c>
      <c r="G705" t="inlineStr">
        <is>
          <t>Niterói</t>
        </is>
      </c>
      <c r="H705" t="inlineStr">
        <is>
          <t>RJ</t>
        </is>
      </c>
      <c r="I705" t="n">
        <v>5153</v>
      </c>
      <c r="J705" t="inlineStr">
        <is>
          <t>CAT 5</t>
        </is>
      </c>
      <c r="K705" t="inlineStr">
        <is>
          <t>Sim</t>
        </is>
      </c>
    </row>
    <row r="706">
      <c r="A706" s="1">
        <f>HYPERLINK("https://eurofarma-latam-crm.veevavault.com/#object/account__v/V4TZ000018NY22D", "Carlos Arthur Gameiro")</f>
        <v/>
      </c>
      <c r="B706" s="1">
        <f>HYPERLINK("https://eurofarma-latam-crm.veevavault.com/#object/account__v/V4TZ000018NY22D", "Carlos Arthur Mendes Gameiro")</f>
        <v/>
      </c>
      <c r="C706" t="inlineStr">
        <is>
          <t>RJ0609576</t>
        </is>
      </c>
      <c r="D706" t="inlineStr">
        <is>
          <t>CLG / SNC</t>
        </is>
      </c>
      <c r="E706" t="inlineStr">
        <is>
          <t>Rua Otávio Carneiro, 143</t>
        </is>
      </c>
      <c r="F706" t="inlineStr">
        <is>
          <t>Icaraí</t>
        </is>
      </c>
      <c r="G706" t="inlineStr">
        <is>
          <t>Niterói</t>
        </is>
      </c>
      <c r="H706" t="inlineStr">
        <is>
          <t>RJ</t>
        </is>
      </c>
      <c r="I706" t="n">
        <v>5153</v>
      </c>
      <c r="J706" t="inlineStr">
        <is>
          <t>CAT 5</t>
        </is>
      </c>
      <c r="K706" t="inlineStr">
        <is>
          <t>Sim</t>
        </is>
      </c>
    </row>
    <row r="707">
      <c r="A707" s="1">
        <f>HYPERLINK("https://eurofarma-latam-crm.veevavault.com/#object/account__v/V4TZ000019146GY", "Carlos César Hortala Junior")</f>
        <v/>
      </c>
      <c r="B707" s="1">
        <f>HYPERLINK("https://eurofarma-latam-crm.veevavault.com/#object/account__v/V4TZ000019146GY", "Carlos César Hortala Junior")</f>
        <v/>
      </c>
      <c r="C707" t="inlineStr">
        <is>
          <t>RJ0811769</t>
        </is>
      </c>
      <c r="D707" t="inlineStr">
        <is>
          <t>NEU</t>
        </is>
      </c>
      <c r="E707" t="inlineStr">
        <is>
          <t>Rua Abreu Rangel, 420 - Sala 103</t>
        </is>
      </c>
      <c r="F707" t="inlineStr">
        <is>
          <t>Centro</t>
        </is>
      </c>
      <c r="G707" t="inlineStr">
        <is>
          <t>Maricá</t>
        </is>
      </c>
      <c r="H707" t="inlineStr">
        <is>
          <t>RJ</t>
        </is>
      </c>
      <c r="I707" t="n">
        <v>5153</v>
      </c>
      <c r="J707" t="inlineStr">
        <is>
          <t>CAT 4</t>
        </is>
      </c>
      <c r="K707" t="inlineStr">
        <is>
          <t>Sim</t>
        </is>
      </c>
    </row>
    <row r="708">
      <c r="A708" s="1">
        <f>HYPERLINK("https://eurofarma-latam-crm.veevavault.com/#object/account__v/V4TZ00001913UKE", "Carlos Roberto Jardim")</f>
        <v/>
      </c>
      <c r="B708" s="1">
        <f>HYPERLINK("https://eurofarma-latam-crm.veevavault.com/#object/account__v/V4TZ00001913UKE", "Carlos Roberto Ferreira Jardim")</f>
        <v/>
      </c>
      <c r="C708" t="inlineStr">
        <is>
          <t>RJ0133072</t>
        </is>
      </c>
      <c r="D708" t="inlineStr">
        <is>
          <t>URO</t>
        </is>
      </c>
      <c r="E708" t="inlineStr">
        <is>
          <t>Rua Mem de Sá, 19 - Salas 1006 e 1007</t>
        </is>
      </c>
      <c r="F708" t="inlineStr">
        <is>
          <t>Icaraí</t>
        </is>
      </c>
      <c r="G708" t="inlineStr">
        <is>
          <t>Niterói</t>
        </is>
      </c>
      <c r="H708" t="inlineStr">
        <is>
          <t>RJ</t>
        </is>
      </c>
      <c r="I708" t="n">
        <v>5153</v>
      </c>
      <c r="J708" t="inlineStr">
        <is>
          <t>CAT 5</t>
        </is>
      </c>
      <c r="K708" t="inlineStr">
        <is>
          <t>Sim</t>
        </is>
      </c>
    </row>
    <row r="709">
      <c r="A709" s="1">
        <f>HYPERLINK("https://eurofarma-latam-crm.veevavault.com/#object/account__v/V4TZ00001913UR6", "Carlos Sa")</f>
        <v/>
      </c>
      <c r="B709" s="1">
        <f>HYPERLINK("https://eurofarma-latam-crm.veevavault.com/#object/account__v/V4TZ00001913UR6", "Carlos Eduardo Nogueira Trajano de Sa")</f>
        <v/>
      </c>
      <c r="C709" t="inlineStr">
        <is>
          <t>RJ0488913</t>
        </is>
      </c>
      <c r="D709" t="inlineStr">
        <is>
          <t>PED</t>
        </is>
      </c>
      <c r="E709" t="inlineStr">
        <is>
          <t>Rua Manoel de Abreu, 9 - Parte</t>
        </is>
      </c>
      <c r="F709" t="inlineStr">
        <is>
          <t>Centro</t>
        </is>
      </c>
      <c r="G709" t="inlineStr">
        <is>
          <t>Niterói</t>
        </is>
      </c>
      <c r="H709" t="inlineStr">
        <is>
          <t>RJ</t>
        </is>
      </c>
      <c r="I709" t="n">
        <v>5153</v>
      </c>
      <c r="J709" t="inlineStr">
        <is>
          <t>CAT 4</t>
        </is>
      </c>
      <c r="K709" t="inlineStr">
        <is>
          <t>Sim</t>
        </is>
      </c>
    </row>
    <row r="710">
      <c r="A710" s="1">
        <f>HYPERLINK("https://eurofarma-latam-crm.veevavault.com/#object/account__v/V4TZ025E89CORNH", "Carmen Lopes")</f>
        <v/>
      </c>
      <c r="B710" s="1">
        <f>HYPERLINK("https://eurofarma-latam-crm.veevavault.com/#object/account__v/V4TZ025E89CORNH", "Carmen Marques Lopes")</f>
        <v/>
      </c>
      <c r="C710" t="inlineStr">
        <is>
          <t>RJ0550532</t>
        </is>
      </c>
      <c r="D710" t="inlineStr">
        <is>
          <t>PSQ</t>
        </is>
      </c>
      <c r="E710" t="inlineStr">
        <is>
          <t>Rua Miguel de Frias, 51 - Sala 303</t>
        </is>
      </c>
      <c r="F710" t="inlineStr">
        <is>
          <t>Icaraí</t>
        </is>
      </c>
      <c r="G710" t="inlineStr">
        <is>
          <t>Niterói</t>
        </is>
      </c>
      <c r="H710" t="inlineStr">
        <is>
          <t>RJ</t>
        </is>
      </c>
      <c r="I710" t="n">
        <v>5153</v>
      </c>
      <c r="J710" t="inlineStr">
        <is>
          <t>CAT 4</t>
        </is>
      </c>
      <c r="K710" t="inlineStr">
        <is>
          <t>Sim</t>
        </is>
      </c>
    </row>
    <row r="711">
      <c r="A711" s="1">
        <f>HYPERLINK("https://eurofarma-latam-crm.veevavault.com/#object/account__v/V4TZ00001914NLO", "Cassio Faria")</f>
        <v/>
      </c>
      <c r="B711" s="1">
        <f>HYPERLINK("https://eurofarma-latam-crm.veevavault.com/#object/account__v/V4TZ00001914NLO", "Cassio Vilela Faria")</f>
        <v/>
      </c>
      <c r="C711" t="inlineStr">
        <is>
          <t>RJ0759945</t>
        </is>
      </c>
      <c r="D711" t="inlineStr">
        <is>
          <t>URO</t>
        </is>
      </c>
      <c r="E711" t="inlineStr">
        <is>
          <t>Avenida Amaro Cavalcanti, 495</t>
        </is>
      </c>
      <c r="F711" t="inlineStr">
        <is>
          <t>Méier</t>
        </is>
      </c>
      <c r="G711" t="inlineStr">
        <is>
          <t>Rio de Janeiro</t>
        </is>
      </c>
      <c r="H711" t="inlineStr">
        <is>
          <t>RJ</t>
        </is>
      </c>
      <c r="I711" t="n">
        <v>5153</v>
      </c>
      <c r="J711" t="inlineStr">
        <is>
          <t>CAT 4</t>
        </is>
      </c>
      <c r="K711" t="inlineStr">
        <is>
          <t>Sim</t>
        </is>
      </c>
    </row>
    <row r="712">
      <c r="A712" s="1">
        <f>HYPERLINK("https://eurofarma-latam-crm.veevavault.com/#object/account__v/V4TZ000018NZA2I", "Cecília Domingues")</f>
        <v/>
      </c>
      <c r="B712" s="1">
        <f>HYPERLINK("https://eurofarma-latam-crm.veevavault.com/#object/account__v/V4TZ000018NZA2I", "Cecília Fonseca Domingues")</f>
        <v/>
      </c>
      <c r="C712" t="inlineStr">
        <is>
          <t>RJ1076760</t>
        </is>
      </c>
      <c r="D712" t="inlineStr">
        <is>
          <t>PSQ</t>
        </is>
      </c>
      <c r="E712" t="inlineStr">
        <is>
          <t>Avenida Manoel Duarte, 2078 - Anexo B</t>
        </is>
      </c>
      <c r="F712" t="inlineStr">
        <is>
          <t>Bela Vista</t>
        </is>
      </c>
      <c r="G712" t="inlineStr">
        <is>
          <t>Rio Bonito</t>
        </is>
      </c>
      <c r="H712" t="inlineStr">
        <is>
          <t>RJ</t>
        </is>
      </c>
      <c r="I712" t="n">
        <v>5153</v>
      </c>
      <c r="J712" t="inlineStr">
        <is>
          <t>CAT 2</t>
        </is>
      </c>
      <c r="K712" t="inlineStr">
        <is>
          <t>Sim</t>
        </is>
      </c>
    </row>
    <row r="713">
      <c r="A713" s="1">
        <f>HYPERLINK("https://eurofarma-latam-crm.veevavault.com/#object/account__v/V4TZ00001914FO6", "Celeste Campos")</f>
        <v/>
      </c>
      <c r="B713" s="1">
        <f>HYPERLINK("https://eurofarma-latam-crm.veevavault.com/#object/account__v/V4TZ00001914FO6", "Celeste Maria Thomaz Campos")</f>
        <v/>
      </c>
      <c r="C713" t="inlineStr">
        <is>
          <t>RJ0507068</t>
        </is>
      </c>
      <c r="D713" t="inlineStr">
        <is>
          <t>GER</t>
        </is>
      </c>
      <c r="E713" t="inlineStr">
        <is>
          <t>Rua Gavião Peixoto, 124 - Sala 810</t>
        </is>
      </c>
      <c r="F713" t="inlineStr">
        <is>
          <t>Icaraí</t>
        </is>
      </c>
      <c r="G713" t="inlineStr">
        <is>
          <t>Niterói</t>
        </is>
      </c>
      <c r="H713" t="inlineStr">
        <is>
          <t>RJ</t>
        </is>
      </c>
      <c r="I713" t="n">
        <v>5153</v>
      </c>
      <c r="J713" t="inlineStr">
        <is>
          <t>CAT 2</t>
        </is>
      </c>
      <c r="K713" t="inlineStr">
        <is>
          <t>Sim</t>
        </is>
      </c>
    </row>
    <row r="714">
      <c r="A714" s="1">
        <f>HYPERLINK("https://eurofarma-latam-crm.veevavault.com/#object/account__v/V4TZ00001915H80", "Charles Cury")</f>
        <v/>
      </c>
      <c r="B714" s="1">
        <f>HYPERLINK("https://eurofarma-latam-crm.veevavault.com/#object/account__v/V4TZ00001915H80", "Charles Cury")</f>
        <v/>
      </c>
      <c r="C714" t="inlineStr">
        <is>
          <t>RJ0158557</t>
        </is>
      </c>
      <c r="D714" t="inlineStr">
        <is>
          <t>NEU</t>
        </is>
      </c>
      <c r="E714" t="inlineStr">
        <is>
          <t>Avenida Sete de Setembro, 235</t>
        </is>
      </c>
      <c r="F714" t="inlineStr">
        <is>
          <t>Icaraí</t>
        </is>
      </c>
      <c r="G714" t="inlineStr">
        <is>
          <t>Niterói</t>
        </is>
      </c>
      <c r="H714" t="inlineStr">
        <is>
          <t>RJ</t>
        </is>
      </c>
      <c r="I714" t="n">
        <v>5153</v>
      </c>
      <c r="J714" t="inlineStr">
        <is>
          <t>CAT 2</t>
        </is>
      </c>
      <c r="K714" t="inlineStr">
        <is>
          <t>Sim</t>
        </is>
      </c>
    </row>
    <row r="715">
      <c r="A715" s="1">
        <f>HYPERLINK("https://eurofarma-latam-crm.veevavault.com/#object/account__v/V4TZ00001913WT7", "Christiny Guimarães")</f>
        <v/>
      </c>
      <c r="B715" s="1">
        <f>HYPERLINK("https://eurofarma-latam-crm.veevavault.com/#object/account__v/V4TZ00001913WT7", "Christiny Almeida Guimarães")</f>
        <v/>
      </c>
      <c r="C715" t="inlineStr">
        <is>
          <t>RJ1108468,SP0193294</t>
        </is>
      </c>
      <c r="D715" t="inlineStr">
        <is>
          <t>PSQ</t>
        </is>
      </c>
      <c r="E715" t="inlineStr">
        <is>
          <t>Rua da Conceição, 188 - Sala 2003 B</t>
        </is>
      </c>
      <c r="F715" t="inlineStr">
        <is>
          <t>Centro</t>
        </is>
      </c>
      <c r="G715" t="inlineStr">
        <is>
          <t>Niterói</t>
        </is>
      </c>
      <c r="H715" t="inlineStr">
        <is>
          <t>RJ</t>
        </is>
      </c>
      <c r="I715" t="n">
        <v>5153</v>
      </c>
      <c r="J715" t="inlineStr"/>
      <c r="K715" t="inlineStr"/>
    </row>
    <row r="716">
      <c r="A716" s="1">
        <f>HYPERLINK("https://eurofarma-latam-crm.veevavault.com/#object/account__v/V4TZ00001913A62", "Cintia de Carvalho")</f>
        <v/>
      </c>
      <c r="B716" s="1">
        <f>HYPERLINK("https://eurofarma-latam-crm.veevavault.com/#object/account__v/V4TZ00001913A62", "Cintia Mello de Carvalho")</f>
        <v/>
      </c>
      <c r="C716" t="inlineStr">
        <is>
          <t>RJ0892459</t>
        </is>
      </c>
      <c r="D716" t="inlineStr">
        <is>
          <t>PED</t>
        </is>
      </c>
      <c r="E716" t="inlineStr">
        <is>
          <t>Rua Nóbrega, 127 - Sala 805</t>
        </is>
      </c>
      <c r="F716" t="inlineStr">
        <is>
          <t>Icaraí</t>
        </is>
      </c>
      <c r="G716" t="inlineStr">
        <is>
          <t>Niterói</t>
        </is>
      </c>
      <c r="H716" t="inlineStr">
        <is>
          <t>RJ</t>
        </is>
      </c>
      <c r="I716" t="n">
        <v>5153</v>
      </c>
      <c r="J716" t="inlineStr">
        <is>
          <t>CAT 5</t>
        </is>
      </c>
      <c r="K716" t="inlineStr">
        <is>
          <t>Sim</t>
        </is>
      </c>
    </row>
    <row r="717">
      <c r="A717" s="1">
        <f>HYPERLINK("https://eurofarma-latam-crm.veevavault.com/#object/account__v/V4TZ000019136KY", "Cintia Santos")</f>
        <v/>
      </c>
      <c r="B717" s="1">
        <f>HYPERLINK("https://eurofarma-latam-crm.veevavault.com/#object/account__v/V4TZ000019136KY", "Cintia Costa Santos")</f>
        <v/>
      </c>
      <c r="C717" t="inlineStr">
        <is>
          <t>RJ0808040</t>
        </is>
      </c>
      <c r="D717" t="inlineStr">
        <is>
          <t>END</t>
        </is>
      </c>
      <c r="E717" t="inlineStr">
        <is>
          <t>Rua Manoel de Abreu, 9 - Parte</t>
        </is>
      </c>
      <c r="F717" t="inlineStr">
        <is>
          <t>Centro</t>
        </is>
      </c>
      <c r="G717" t="inlineStr">
        <is>
          <t>Niterói</t>
        </is>
      </c>
      <c r="H717" t="inlineStr">
        <is>
          <t>RJ</t>
        </is>
      </c>
      <c r="I717" t="n">
        <v>5153</v>
      </c>
      <c r="J717" t="inlineStr">
        <is>
          <t>CAT 1</t>
        </is>
      </c>
      <c r="K717" t="inlineStr">
        <is>
          <t>Sim</t>
        </is>
      </c>
    </row>
    <row r="718">
      <c r="A718" s="1">
        <f>HYPERLINK("https://eurofarma-latam-crm.veevavault.com/#object/account__v/V4TZ000019157ZE", "Clarissa Esberard")</f>
        <v/>
      </c>
      <c r="B718" s="1">
        <f>HYPERLINK("https://eurofarma-latam-crm.veevavault.com/#object/account__v/V4TZ000019157ZE", "Clarissa Cathala Esberard")</f>
        <v/>
      </c>
      <c r="C718" t="inlineStr">
        <is>
          <t>RJ0818534</t>
        </is>
      </c>
      <c r="D718" t="inlineStr">
        <is>
          <t>GAS</t>
        </is>
      </c>
      <c r="E718" t="inlineStr">
        <is>
          <t>Rua Mariz e Barros, 288</t>
        </is>
      </c>
      <c r="F718" t="inlineStr">
        <is>
          <t>Icaraí</t>
        </is>
      </c>
      <c r="G718" t="inlineStr">
        <is>
          <t>Niterói</t>
        </is>
      </c>
      <c r="H718" t="inlineStr">
        <is>
          <t>RJ</t>
        </is>
      </c>
      <c r="I718" t="n">
        <v>5153</v>
      </c>
      <c r="J718" t="inlineStr"/>
      <c r="K718" t="inlineStr"/>
    </row>
    <row r="719">
      <c r="A719" s="1">
        <f>HYPERLINK("https://eurofarma-latam-crm.veevavault.com/#object/account__v/V4TZ00001913IK9", "Clarissa Prillwitz")</f>
        <v/>
      </c>
      <c r="B719" s="1">
        <f>HYPERLINK("https://eurofarma-latam-crm.veevavault.com/#object/account__v/V4TZ00001913IK9", "Clarissa Netto dos Reys Laia Franco Prillwitz")</f>
        <v/>
      </c>
      <c r="C719" t="inlineStr">
        <is>
          <t>RJ0870374</t>
        </is>
      </c>
      <c r="D719" t="inlineStr">
        <is>
          <t>PED</t>
        </is>
      </c>
      <c r="E719" t="inlineStr">
        <is>
          <t>Rua Ator Paulo Gustavo, 229 - Sala 1907</t>
        </is>
      </c>
      <c r="F719" t="inlineStr">
        <is>
          <t>Icaraí</t>
        </is>
      </c>
      <c r="G719" t="inlineStr">
        <is>
          <t>Niterói</t>
        </is>
      </c>
      <c r="H719" t="inlineStr">
        <is>
          <t>RJ</t>
        </is>
      </c>
      <c r="I719" t="n">
        <v>5153</v>
      </c>
      <c r="J719" t="inlineStr">
        <is>
          <t>CAT 4</t>
        </is>
      </c>
      <c r="K719" t="inlineStr">
        <is>
          <t>Sim</t>
        </is>
      </c>
    </row>
    <row r="720">
      <c r="A720" s="1">
        <f>HYPERLINK("https://eurofarma-latam-crm.veevavault.com/#object/account__v/V4TZ000019159RI", "Claudia Alves")</f>
        <v/>
      </c>
      <c r="B720" s="1">
        <f>HYPERLINK("https://eurofarma-latam-crm.veevavault.com/#object/account__v/V4TZ000019159RI", "Claudia Regina Lucas Alves")</f>
        <v/>
      </c>
      <c r="C720" t="inlineStr">
        <is>
          <t>RJ0396728</t>
        </is>
      </c>
      <c r="D720" t="inlineStr">
        <is>
          <t>CLG / END</t>
        </is>
      </c>
      <c r="E720" t="inlineStr">
        <is>
          <t>Rua Otávio Carneiro 100 - 1207</t>
        </is>
      </c>
      <c r="F720" t="inlineStr">
        <is>
          <t>Icaraí</t>
        </is>
      </c>
      <c r="G720" t="inlineStr">
        <is>
          <t>Niterói</t>
        </is>
      </c>
      <c r="H720" t="inlineStr">
        <is>
          <t>RJ</t>
        </is>
      </c>
      <c r="I720" t="n">
        <v>5153</v>
      </c>
      <c r="J720" t="inlineStr">
        <is>
          <t>CAT 5</t>
        </is>
      </c>
      <c r="K720" t="inlineStr">
        <is>
          <t>Sim</t>
        </is>
      </c>
    </row>
    <row r="721">
      <c r="A721" s="1">
        <f>HYPERLINK("https://eurofarma-latam-crm.veevavault.com/#object/account__v/V4TZ000018NYIZ2", "Claudia Marcial")</f>
        <v/>
      </c>
      <c r="B721" s="1">
        <f>HYPERLINK("https://eurofarma-latam-crm.veevavault.com/#object/account__v/V4TZ000018NYIZ2", "Claudia Mara Ramos Marcial")</f>
        <v/>
      </c>
      <c r="C721" t="inlineStr">
        <is>
          <t>RJ0399738</t>
        </is>
      </c>
      <c r="D721" t="inlineStr">
        <is>
          <t>END</t>
        </is>
      </c>
      <c r="E721" t="inlineStr">
        <is>
          <t>Avenida Professor João Brasil, S/N</t>
        </is>
      </c>
      <c r="F721" t="inlineStr">
        <is>
          <t>Fonseca</t>
        </is>
      </c>
      <c r="G721" t="inlineStr">
        <is>
          <t>Niterói</t>
        </is>
      </c>
      <c r="H721" t="inlineStr">
        <is>
          <t>RJ</t>
        </is>
      </c>
      <c r="I721" t="n">
        <v>5153</v>
      </c>
      <c r="J721" t="inlineStr">
        <is>
          <t>CAT 4</t>
        </is>
      </c>
      <c r="K721" t="inlineStr">
        <is>
          <t>Sim</t>
        </is>
      </c>
    </row>
    <row r="722">
      <c r="A722" s="1">
        <f>HYPERLINK("https://eurofarma-latam-crm.veevavault.com/#object/account__v/V4TZ000018NZ5WW", "Claudia Miguelote")</f>
        <v/>
      </c>
      <c r="B722" s="1">
        <f>HYPERLINK("https://eurofarma-latam-crm.veevavault.com/#object/account__v/V4TZ000018NZ5WW", "Claudia da Silva Miguelote")</f>
        <v/>
      </c>
      <c r="C722" t="inlineStr">
        <is>
          <t>RJ0883506</t>
        </is>
      </c>
      <c r="D722" t="inlineStr">
        <is>
          <t>NEU</t>
        </is>
      </c>
      <c r="E722" t="inlineStr">
        <is>
          <t>Rua Riachuelo, 43</t>
        </is>
      </c>
      <c r="F722" t="inlineStr">
        <is>
          <t>Centro</t>
        </is>
      </c>
      <c r="G722" t="inlineStr">
        <is>
          <t>Rio de Janeiro</t>
        </is>
      </c>
      <c r="H722" t="inlineStr">
        <is>
          <t>RJ</t>
        </is>
      </c>
      <c r="I722" t="n">
        <v>5153</v>
      </c>
      <c r="J722" t="inlineStr">
        <is>
          <t>CAT 3</t>
        </is>
      </c>
      <c r="K722" t="inlineStr">
        <is>
          <t>Sim</t>
        </is>
      </c>
    </row>
    <row r="723">
      <c r="A723" s="1">
        <f>HYPERLINK("https://eurofarma-latam-crm.veevavault.com/#object/account__v/V4TZ00001914FJA", "Cristhiane Braziliano")</f>
        <v/>
      </c>
      <c r="B723" s="1">
        <f>HYPERLINK("https://eurofarma-latam-crm.veevavault.com/#object/account__v/V4TZ00001914FJA", "Cristhiane Baptista Braziliano")</f>
        <v/>
      </c>
      <c r="C723" t="inlineStr">
        <is>
          <t>RJ0750948</t>
        </is>
      </c>
      <c r="D723" t="inlineStr">
        <is>
          <t>END</t>
        </is>
      </c>
      <c r="E723" t="inlineStr">
        <is>
          <t>Rua Lopes Trovão, 209 - Parte</t>
        </is>
      </c>
      <c r="F723" t="inlineStr">
        <is>
          <t>Icaraí</t>
        </is>
      </c>
      <c r="G723" t="inlineStr">
        <is>
          <t>Niterói</t>
        </is>
      </c>
      <c r="H723" t="inlineStr">
        <is>
          <t>RJ</t>
        </is>
      </c>
      <c r="I723" t="n">
        <v>5153</v>
      </c>
      <c r="J723" t="inlineStr">
        <is>
          <t>CAT 3</t>
        </is>
      </c>
      <c r="K723" t="inlineStr">
        <is>
          <t>Sim</t>
        </is>
      </c>
    </row>
    <row r="724">
      <c r="A724" s="1">
        <f>HYPERLINK("https://eurofarma-latam-crm.veevavault.com/#object/account__v/V4TZ000018NYAYK", "Cristina Erthal")</f>
        <v/>
      </c>
      <c r="B724" s="1">
        <f>HYPERLINK("https://eurofarma-latam-crm.veevavault.com/#object/account__v/V4TZ000018NYAYK", "Cristina Loyola Erthal")</f>
        <v/>
      </c>
      <c r="C724" t="inlineStr">
        <is>
          <t>RJ0488617</t>
        </is>
      </c>
      <c r="D724" t="inlineStr">
        <is>
          <t>NEU</t>
        </is>
      </c>
      <c r="E724" t="inlineStr">
        <is>
          <t>Rua Otávio Carneiro, 143 - Sala 411</t>
        </is>
      </c>
      <c r="F724" t="inlineStr">
        <is>
          <t>Icaraí</t>
        </is>
      </c>
      <c r="G724" t="inlineStr">
        <is>
          <t>Niterói</t>
        </is>
      </c>
      <c r="H724" t="inlineStr">
        <is>
          <t>RJ</t>
        </is>
      </c>
      <c r="I724" t="n">
        <v>5153</v>
      </c>
      <c r="J724" t="inlineStr">
        <is>
          <t>CAT 1</t>
        </is>
      </c>
      <c r="K724" t="inlineStr">
        <is>
          <t>Sim</t>
        </is>
      </c>
    </row>
    <row r="725">
      <c r="A725" s="1">
        <f>HYPERLINK("https://eurofarma-latam-crm.veevavault.com/#object/account__v/V4TZ000018NYLKX", "Cristine Ciattei")</f>
        <v/>
      </c>
      <c r="B725" s="1">
        <f>HYPERLINK("https://eurofarma-latam-crm.veevavault.com/#object/account__v/V4TZ000018NYLKX", "Cristine Plaza Ciattei")</f>
        <v/>
      </c>
      <c r="C725" t="inlineStr">
        <is>
          <t>RJ0982768</t>
        </is>
      </c>
      <c r="D725" t="inlineStr">
        <is>
          <t>CLG / END</t>
        </is>
      </c>
      <c r="E725" t="inlineStr">
        <is>
          <t>Rua Aurelino Leal, 45 - Loja e Sobrado</t>
        </is>
      </c>
      <c r="F725" t="inlineStr">
        <is>
          <t>Centro</t>
        </is>
      </c>
      <c r="G725" t="inlineStr">
        <is>
          <t>Niterói</t>
        </is>
      </c>
      <c r="H725" t="inlineStr">
        <is>
          <t>RJ</t>
        </is>
      </c>
      <c r="I725" t="n">
        <v>5153</v>
      </c>
      <c r="J725" t="inlineStr">
        <is>
          <t>CAT 4</t>
        </is>
      </c>
      <c r="K725" t="inlineStr">
        <is>
          <t>Sim</t>
        </is>
      </c>
    </row>
    <row r="726">
      <c r="A726" s="1">
        <f>HYPERLINK("https://eurofarma-latam-crm.veevavault.com/#object/account__v/V4TZ00001915SS1", "Daniel da Silva Junior")</f>
        <v/>
      </c>
      <c r="B726" s="1">
        <f>HYPERLINK("https://eurofarma-latam-crm.veevavault.com/#object/account__v/V4TZ00001915SS1", "Daniel da Silva Junior")</f>
        <v/>
      </c>
      <c r="C726" t="inlineStr">
        <is>
          <t>RJ0499800,SP0157260</t>
        </is>
      </c>
      <c r="D726" t="inlineStr">
        <is>
          <t>NEU</t>
        </is>
      </c>
      <c r="E726" t="inlineStr">
        <is>
          <t>Rua Clímaco Pereira, 375</t>
        </is>
      </c>
      <c r="F726" t="inlineStr">
        <is>
          <t>Araçatiba</t>
        </is>
      </c>
      <c r="G726" t="inlineStr">
        <is>
          <t>Maricá</t>
        </is>
      </c>
      <c r="H726" t="inlineStr">
        <is>
          <t>RJ</t>
        </is>
      </c>
      <c r="I726" t="n">
        <v>5153</v>
      </c>
      <c r="J726" t="inlineStr"/>
      <c r="K726" t="inlineStr"/>
    </row>
    <row r="727">
      <c r="A727" s="1">
        <f>HYPERLINK("https://eurofarma-latam-crm.veevavault.com/#object/account__v/V4TZ00001914XMQ", "Daniel de Assis")</f>
        <v/>
      </c>
      <c r="B727" s="1">
        <f>HYPERLINK("https://eurofarma-latam-crm.veevavault.com/#object/account__v/V4TZ00001914XMQ", "Daniel Pinho de Assis")</f>
        <v/>
      </c>
      <c r="C727" t="inlineStr">
        <is>
          <t>RJ0663670</t>
        </is>
      </c>
      <c r="D727" t="inlineStr">
        <is>
          <t>ORT</t>
        </is>
      </c>
      <c r="E727" t="inlineStr">
        <is>
          <t>Rua Cinco de Julho, 263</t>
        </is>
      </c>
      <c r="F727" t="inlineStr">
        <is>
          <t>Icaraí</t>
        </is>
      </c>
      <c r="G727" t="inlineStr">
        <is>
          <t>Niterói</t>
        </is>
      </c>
      <c r="H727" t="inlineStr">
        <is>
          <t>RJ</t>
        </is>
      </c>
      <c r="I727" t="n">
        <v>5153</v>
      </c>
      <c r="J727" t="inlineStr">
        <is>
          <t>CAT 4</t>
        </is>
      </c>
      <c r="K727" t="inlineStr">
        <is>
          <t>Sim</t>
        </is>
      </c>
    </row>
    <row r="728">
      <c r="A728" s="1">
        <f>HYPERLINK("https://eurofarma-latam-crm.veevavault.com/#object/account__v/V4TZ000018NXO6Y", "Daniel Tonon")</f>
        <v/>
      </c>
      <c r="B728" s="1">
        <f>HYPERLINK("https://eurofarma-latam-crm.veevavault.com/#object/account__v/V4TZ000018NXO6Y", "Daniel Tonon")</f>
        <v/>
      </c>
      <c r="C728" t="inlineStr">
        <is>
          <t>RJ0829633</t>
        </is>
      </c>
      <c r="D728" t="inlineStr">
        <is>
          <t>ORL</t>
        </is>
      </c>
      <c r="E728" t="inlineStr">
        <is>
          <t>Rua Ator Paulo Gustavo, 26 - Sala 1012</t>
        </is>
      </c>
      <c r="F728" t="inlineStr">
        <is>
          <t>Icaraí</t>
        </is>
      </c>
      <c r="G728" t="inlineStr">
        <is>
          <t>Niterói</t>
        </is>
      </c>
      <c r="H728" t="inlineStr">
        <is>
          <t>RJ</t>
        </is>
      </c>
      <c r="I728" t="n">
        <v>5153</v>
      </c>
      <c r="J728" t="inlineStr">
        <is>
          <t>CAT 2</t>
        </is>
      </c>
      <c r="K728" t="inlineStr">
        <is>
          <t>Sim</t>
        </is>
      </c>
    </row>
    <row r="729">
      <c r="A729" s="1">
        <f>HYPERLINK("https://eurofarma-latam-crm.veevavault.com/#object/account__v/V4TZ00001915GUX", "Daniela da Cunha")</f>
        <v/>
      </c>
      <c r="B729" s="1">
        <f>HYPERLINK("https://eurofarma-latam-crm.veevavault.com/#object/account__v/V4TZ00001915GUX", "Daniela Pinto da Cunha")</f>
        <v/>
      </c>
      <c r="C729" t="inlineStr">
        <is>
          <t>RJ0651990</t>
        </is>
      </c>
      <c r="D729" t="inlineStr">
        <is>
          <t>PSQ</t>
        </is>
      </c>
      <c r="E729" t="inlineStr">
        <is>
          <t>Rua Miguel de Frias, 150 - Sala 706</t>
        </is>
      </c>
      <c r="F729" t="inlineStr">
        <is>
          <t>Icaraí</t>
        </is>
      </c>
      <c r="G729" t="inlineStr">
        <is>
          <t>Niterói</t>
        </is>
      </c>
      <c r="H729" t="inlineStr">
        <is>
          <t>RJ</t>
        </is>
      </c>
      <c r="I729" t="n">
        <v>5153</v>
      </c>
      <c r="J729" t="inlineStr">
        <is>
          <t>CAT 2</t>
        </is>
      </c>
      <c r="K729" t="inlineStr">
        <is>
          <t>Sim</t>
        </is>
      </c>
    </row>
    <row r="730">
      <c r="A730" s="1">
        <f>HYPERLINK("https://eurofarma-latam-crm.veevavault.com/#object/account__v/V4TZ00001913NT4", "Daniela Peyneau")</f>
        <v/>
      </c>
      <c r="B730" s="1">
        <f>HYPERLINK("https://eurofarma-latam-crm.veevavault.com/#object/account__v/V4TZ00001913NT4", "Daniela Paes Leme Peyneau")</f>
        <v/>
      </c>
      <c r="C730" t="inlineStr">
        <is>
          <t>RJ0678740</t>
        </is>
      </c>
      <c r="D730" t="inlineStr">
        <is>
          <t>PED</t>
        </is>
      </c>
      <c r="E730" t="inlineStr">
        <is>
          <t>Rua Doutor Tavares de Macedo, 143 - Sala 1102</t>
        </is>
      </c>
      <c r="F730" t="inlineStr">
        <is>
          <t>Icaraí</t>
        </is>
      </c>
      <c r="G730" t="inlineStr">
        <is>
          <t>Niterói</t>
        </is>
      </c>
      <c r="H730" t="inlineStr">
        <is>
          <t>RJ</t>
        </is>
      </c>
      <c r="I730" t="n">
        <v>5153</v>
      </c>
      <c r="J730" t="inlineStr"/>
      <c r="K730" t="inlineStr"/>
    </row>
    <row r="731">
      <c r="A731" s="1">
        <f>HYPERLINK("https://eurofarma-latam-crm.veevavault.com/#object/account__v/V4TZ000019136DZ", "Daniela Selano")</f>
        <v/>
      </c>
      <c r="B731" s="1">
        <f>HYPERLINK("https://eurofarma-latam-crm.veevavault.com/#object/account__v/V4TZ000019136DZ", "Daniela Gomes Machado Selano")</f>
        <v/>
      </c>
      <c r="C731" t="inlineStr">
        <is>
          <t>RJ0684481</t>
        </is>
      </c>
      <c r="D731" t="inlineStr">
        <is>
          <t>CLG / END</t>
        </is>
      </c>
      <c r="E731" t="inlineStr">
        <is>
          <t>Rua Ator Paulo Gustavo, 160 - Sala 901</t>
        </is>
      </c>
      <c r="F731" t="inlineStr">
        <is>
          <t>Icaraí</t>
        </is>
      </c>
      <c r="G731" t="inlineStr">
        <is>
          <t>Niterói</t>
        </is>
      </c>
      <c r="H731" t="inlineStr">
        <is>
          <t>RJ</t>
        </is>
      </c>
      <c r="I731" t="n">
        <v>5153</v>
      </c>
      <c r="J731" t="inlineStr">
        <is>
          <t>CAT 4</t>
        </is>
      </c>
      <c r="K731" t="inlineStr">
        <is>
          <t>N�o</t>
        </is>
      </c>
    </row>
    <row r="732">
      <c r="A732" s="1">
        <f>HYPERLINK("https://eurofarma-latam-crm.veevavault.com/#object/account__v/V4TZ000018NYBE6", "Danielle de Almeida")</f>
        <v/>
      </c>
      <c r="B732" s="1">
        <f>HYPERLINK("https://eurofarma-latam-crm.veevavault.com/#object/account__v/V4TZ000018NYBE6", "Danielle Cunha de Almeida")</f>
        <v/>
      </c>
      <c r="C732" t="inlineStr">
        <is>
          <t>RJ0680230</t>
        </is>
      </c>
      <c r="D732" t="inlineStr">
        <is>
          <t>GER</t>
        </is>
      </c>
      <c r="E732" t="inlineStr">
        <is>
          <t>Rua Miguel de Frias, 88</t>
        </is>
      </c>
      <c r="F732" t="inlineStr">
        <is>
          <t>Icaraí</t>
        </is>
      </c>
      <c r="G732" t="inlineStr">
        <is>
          <t>Niterói</t>
        </is>
      </c>
      <c r="H732" t="inlineStr">
        <is>
          <t>RJ</t>
        </is>
      </c>
      <c r="I732" t="n">
        <v>5153</v>
      </c>
      <c r="J732" t="inlineStr"/>
      <c r="K732" t="inlineStr"/>
    </row>
    <row r="733">
      <c r="A733" s="1">
        <f>HYPERLINK("https://eurofarma-latam-crm.veevavault.com/#object/account__v/V4TZ00001912ZQA", "Danielle Leal")</f>
        <v/>
      </c>
      <c r="B733" s="1">
        <f>HYPERLINK("https://eurofarma-latam-crm.veevavault.com/#object/account__v/V4TZ00001912ZQA", "Danielle da Matta Leal")</f>
        <v/>
      </c>
      <c r="C733" t="inlineStr">
        <is>
          <t>RJ0668222</t>
        </is>
      </c>
      <c r="D733" t="inlineStr">
        <is>
          <t>PSQ</t>
        </is>
      </c>
      <c r="E733" t="inlineStr">
        <is>
          <t>Avenida Sete de Setembro, 235</t>
        </is>
      </c>
      <c r="F733" t="inlineStr">
        <is>
          <t>Icaraí</t>
        </is>
      </c>
      <c r="G733" t="inlineStr">
        <is>
          <t>Niterói</t>
        </is>
      </c>
      <c r="H733" t="inlineStr">
        <is>
          <t>RJ</t>
        </is>
      </c>
      <c r="I733" t="n">
        <v>5153</v>
      </c>
      <c r="J733" t="inlineStr">
        <is>
          <t>CAT 2</t>
        </is>
      </c>
      <c r="K733" t="inlineStr">
        <is>
          <t>Sim</t>
        </is>
      </c>
    </row>
    <row r="734">
      <c r="A734" s="1">
        <f>HYPERLINK("https://eurofarma-latam-crm.veevavault.com/#object/account__v/V4TZ00001913NB4", "Demetrio Rocha")</f>
        <v/>
      </c>
      <c r="B734" s="1">
        <f>HYPERLINK("https://eurofarma-latam-crm.veevavault.com/#object/account__v/V4TZ00001913NB4", "Demetrio Araujo da Rocha")</f>
        <v/>
      </c>
      <c r="C734" t="inlineStr">
        <is>
          <t>RJ0454771</t>
        </is>
      </c>
      <c r="D734" t="inlineStr">
        <is>
          <t>ORT</t>
        </is>
      </c>
      <c r="E734" t="inlineStr">
        <is>
          <t>Rua Martins Torres, 245</t>
        </is>
      </c>
      <c r="F734" t="inlineStr">
        <is>
          <t>Santa Rosa</t>
        </is>
      </c>
      <c r="G734" t="inlineStr">
        <is>
          <t>Niterói</t>
        </is>
      </c>
      <c r="H734" t="inlineStr">
        <is>
          <t>RJ</t>
        </is>
      </c>
      <c r="I734" t="n">
        <v>5153</v>
      </c>
      <c r="J734" t="inlineStr">
        <is>
          <t>CAT 5</t>
        </is>
      </c>
      <c r="K734" t="inlineStr">
        <is>
          <t>Sim</t>
        </is>
      </c>
    </row>
    <row r="735">
      <c r="A735" s="1">
        <f>HYPERLINK("https://eurofarma-latam-crm.veevavault.com/#object/account__v/V4TZ000019145ZJ", "Dhianah Chachamovitz")</f>
        <v/>
      </c>
      <c r="B735" s="1">
        <f>HYPERLINK("https://eurofarma-latam-crm.veevavault.com/#object/account__v/V4TZ000019145ZJ", "Dhianah Santini de Oliveira Chachamovitz")</f>
        <v/>
      </c>
      <c r="C735" t="inlineStr">
        <is>
          <t>RJ0729620</t>
        </is>
      </c>
      <c r="D735" t="inlineStr">
        <is>
          <t>END</t>
        </is>
      </c>
      <c r="E735" t="inlineStr">
        <is>
          <t>Rua Riachuelo, 43</t>
        </is>
      </c>
      <c r="F735" t="inlineStr">
        <is>
          <t>Centro</t>
        </is>
      </c>
      <c r="G735" t="inlineStr">
        <is>
          <t>Rio de Janeiro</t>
        </is>
      </c>
      <c r="H735" t="inlineStr">
        <is>
          <t>RJ</t>
        </is>
      </c>
      <c r="I735" t="n">
        <v>5153</v>
      </c>
      <c r="J735" t="inlineStr">
        <is>
          <t>CAT 3</t>
        </is>
      </c>
      <c r="K735" t="inlineStr">
        <is>
          <t>Sim</t>
        </is>
      </c>
    </row>
    <row r="736">
      <c r="A736" s="1">
        <f>HYPERLINK("https://eurofarma-latam-crm.veevavault.com/#object/account__v/V4TZ00001914A93", "Diogo Ribeiro")</f>
        <v/>
      </c>
      <c r="B736" s="1">
        <f>HYPERLINK("https://eurofarma-latam-crm.veevavault.com/#object/account__v/V4TZ00001914A93", "Diogo Strauch Ribeiro")</f>
        <v/>
      </c>
      <c r="C736" t="inlineStr">
        <is>
          <t>RJ0935166</t>
        </is>
      </c>
      <c r="D736" t="inlineStr">
        <is>
          <t>CLG / SNC</t>
        </is>
      </c>
      <c r="E736" t="inlineStr">
        <is>
          <t>Rua Manoel de Abreu, 9 - Parte</t>
        </is>
      </c>
      <c r="F736" t="inlineStr">
        <is>
          <t>Centro</t>
        </is>
      </c>
      <c r="G736" t="inlineStr">
        <is>
          <t>Niterói</t>
        </is>
      </c>
      <c r="H736" t="inlineStr">
        <is>
          <t>RJ</t>
        </is>
      </c>
      <c r="I736" t="n">
        <v>5153</v>
      </c>
      <c r="J736" t="inlineStr">
        <is>
          <t>CAT 3</t>
        </is>
      </c>
      <c r="K736" t="inlineStr">
        <is>
          <t>Sim</t>
        </is>
      </c>
    </row>
    <row r="737">
      <c r="A737" s="1">
        <f>HYPERLINK("https://eurofarma-latam-crm.veevavault.com/#object/account__v/V4TZ00001914FP1", "Domingos Villela")</f>
        <v/>
      </c>
      <c r="B737" s="1">
        <f>HYPERLINK("https://eurofarma-latam-crm.veevavault.com/#object/account__v/V4TZ00001914FP1", "Domingos Gervasio Cortes Villela")</f>
        <v/>
      </c>
      <c r="C737" t="inlineStr">
        <is>
          <t>RJ0200800</t>
        </is>
      </c>
      <c r="D737" t="inlineStr">
        <is>
          <t>CLG</t>
        </is>
      </c>
      <c r="E737" t="inlineStr">
        <is>
          <t>Rua Gavião Peixoto, 182 - Sala 420</t>
        </is>
      </c>
      <c r="F737" t="inlineStr">
        <is>
          <t>Icaraí</t>
        </is>
      </c>
      <c r="G737" t="inlineStr">
        <is>
          <t>Niterói</t>
        </is>
      </c>
      <c r="H737" t="inlineStr">
        <is>
          <t>RJ</t>
        </is>
      </c>
      <c r="I737" t="n">
        <v>5153</v>
      </c>
      <c r="J737" t="inlineStr">
        <is>
          <t>CAT 2</t>
        </is>
      </c>
      <c r="K737" t="inlineStr">
        <is>
          <t>Sim</t>
        </is>
      </c>
    </row>
    <row r="738">
      <c r="A738" s="1">
        <f>HYPERLINK("https://eurofarma-latam-crm.veevavault.com/#object/account__v/V4TZ00001913Z6J", "Edison Augusto Martins")</f>
        <v/>
      </c>
      <c r="B738" s="1">
        <f>HYPERLINK("https://eurofarma-latam-crm.veevavault.com/#object/account__v/V4TZ00001913Z6J", "Edison Augusto Brito Martins")</f>
        <v/>
      </c>
      <c r="C738" t="inlineStr">
        <is>
          <t>RJ0328632</t>
        </is>
      </c>
      <c r="D738" t="inlineStr">
        <is>
          <t>ORT</t>
        </is>
      </c>
      <c r="E738" t="inlineStr">
        <is>
          <t>Rua General Pereira da Silva, 312</t>
        </is>
      </c>
      <c r="F738" t="inlineStr">
        <is>
          <t>Icaraí</t>
        </is>
      </c>
      <c r="G738" t="inlineStr">
        <is>
          <t>Niterói</t>
        </is>
      </c>
      <c r="H738" t="inlineStr">
        <is>
          <t>RJ</t>
        </is>
      </c>
      <c r="I738" t="n">
        <v>5153</v>
      </c>
      <c r="J738" t="inlineStr">
        <is>
          <t>CAT 4</t>
        </is>
      </c>
      <c r="K738" t="inlineStr">
        <is>
          <t>Sim</t>
        </is>
      </c>
    </row>
    <row r="739">
      <c r="A739" s="1">
        <f>HYPERLINK("https://eurofarma-latam-crm.veevavault.com/#object/account__v/V4TZ00001914TU2", "Edna Haffner")</f>
        <v/>
      </c>
      <c r="B739" s="1">
        <f>HYPERLINK("https://eurofarma-latam-crm.veevavault.com/#object/account__v/V4TZ00001914TU2", "Edna Virginia Alves Haffner")</f>
        <v/>
      </c>
      <c r="C739" t="inlineStr">
        <is>
          <t>RJ0361368</t>
        </is>
      </c>
      <c r="D739" t="inlineStr">
        <is>
          <t>PED</t>
        </is>
      </c>
      <c r="E739" t="inlineStr">
        <is>
          <t>Rua Otávio Carneiro, 100 Sala 1304</t>
        </is>
      </c>
      <c r="F739" t="inlineStr">
        <is>
          <t>Icaraí</t>
        </is>
      </c>
      <c r="G739" t="inlineStr">
        <is>
          <t>Niterói</t>
        </is>
      </c>
      <c r="H739" t="inlineStr">
        <is>
          <t>RJ</t>
        </is>
      </c>
      <c r="I739" t="n">
        <v>5153</v>
      </c>
      <c r="J739" t="inlineStr">
        <is>
          <t>CAT 3</t>
        </is>
      </c>
      <c r="K739" t="inlineStr">
        <is>
          <t>Sim</t>
        </is>
      </c>
    </row>
    <row r="740">
      <c r="A740" s="1">
        <f>HYPERLINK("https://eurofarma-latam-crm.veevavault.com/#object/account__v/V4TZ000018NXGS6", "Edson da Cunha")</f>
        <v/>
      </c>
      <c r="B740" s="1">
        <f>HYPERLINK("https://eurofarma-latam-crm.veevavault.com/#object/account__v/V4TZ000018NXGS6", "Edson da Cunha")</f>
        <v/>
      </c>
      <c r="C740" t="inlineStr">
        <is>
          <t>RJ0030200</t>
        </is>
      </c>
      <c r="D740" t="inlineStr">
        <is>
          <t>CLG</t>
        </is>
      </c>
      <c r="E740" t="inlineStr">
        <is>
          <t>Rua Presidente Backer, 149 - Sala 503</t>
        </is>
      </c>
      <c r="F740" t="inlineStr">
        <is>
          <t>Icaraí</t>
        </is>
      </c>
      <c r="G740" t="inlineStr">
        <is>
          <t>Niterói</t>
        </is>
      </c>
      <c r="H740" t="inlineStr">
        <is>
          <t>RJ</t>
        </is>
      </c>
      <c r="I740" t="n">
        <v>5153</v>
      </c>
      <c r="J740" t="inlineStr">
        <is>
          <t>CAT 2</t>
        </is>
      </c>
      <c r="K740" t="inlineStr">
        <is>
          <t>Sim</t>
        </is>
      </c>
    </row>
    <row r="741">
      <c r="A741" s="1">
        <f>HYPERLINK("https://eurofarma-latam-crm.veevavault.com/#object/account__v/V4TZ00001915E79", "Edson Freitas")</f>
        <v/>
      </c>
      <c r="B741" s="1">
        <f>HYPERLINK("https://eurofarma-latam-crm.veevavault.com/#object/account__v/V4TZ00001915E79", "Edson Cerqueira Garcia de Freitas")</f>
        <v/>
      </c>
      <c r="C741" t="inlineStr">
        <is>
          <t>RJ0436218</t>
        </is>
      </c>
      <c r="D741" t="inlineStr">
        <is>
          <t>ORT</t>
        </is>
      </c>
      <c r="E741" t="inlineStr">
        <is>
          <t>Rua Marquês de Paraná, 303</t>
        </is>
      </c>
      <c r="F741" t="inlineStr">
        <is>
          <t>Centro</t>
        </is>
      </c>
      <c r="G741" t="inlineStr">
        <is>
          <t>Niterói</t>
        </is>
      </c>
      <c r="H741" t="inlineStr">
        <is>
          <t>RJ</t>
        </is>
      </c>
      <c r="I741" t="n">
        <v>5153</v>
      </c>
      <c r="J741" t="inlineStr">
        <is>
          <t>CAT 5</t>
        </is>
      </c>
      <c r="K741" t="inlineStr">
        <is>
          <t>Sim</t>
        </is>
      </c>
    </row>
    <row r="742">
      <c r="A742" s="1">
        <f>HYPERLINK("https://eurofarma-latam-crm.veevavault.com/#object/account__v/V4TZ00001914QZ3", "Eduardo de Mello")</f>
        <v/>
      </c>
      <c r="B742" s="1">
        <f>HYPERLINK("https://eurofarma-latam-crm.veevavault.com/#object/account__v/V4TZ00001914QZ3", "Eduardo Morsch de Mello")</f>
        <v/>
      </c>
      <c r="C742" t="inlineStr">
        <is>
          <t>RJ0378216</t>
        </is>
      </c>
      <c r="D742" t="inlineStr">
        <is>
          <t>PED</t>
        </is>
      </c>
      <c r="E742" t="inlineStr">
        <is>
          <t>Rua Gavião Peixoto, 124 - Sala 1209</t>
        </is>
      </c>
      <c r="F742" t="inlineStr">
        <is>
          <t>Icaraí</t>
        </is>
      </c>
      <c r="G742" t="inlineStr">
        <is>
          <t>Niterói</t>
        </is>
      </c>
      <c r="H742" t="inlineStr">
        <is>
          <t>RJ</t>
        </is>
      </c>
      <c r="I742" t="n">
        <v>5153</v>
      </c>
      <c r="J742" t="inlineStr">
        <is>
          <t>CAT 5</t>
        </is>
      </c>
      <c r="K742" t="inlineStr">
        <is>
          <t>Sim</t>
        </is>
      </c>
    </row>
    <row r="743">
      <c r="A743" s="1">
        <f>HYPERLINK("https://eurofarma-latam-crm.veevavault.com/#object/account__v/V4TZ00001912YKG", "Eduardo Rocha")</f>
        <v/>
      </c>
      <c r="B743" s="1">
        <f>HYPERLINK("https://eurofarma-latam-crm.veevavault.com/#object/account__v/V4TZ00001912YKG", "Eduardo Silv'Avila Rocha")</f>
        <v/>
      </c>
      <c r="C743" t="inlineStr">
        <is>
          <t>RJ0903620,SP0204821</t>
        </is>
      </c>
      <c r="D743" t="inlineStr">
        <is>
          <t>GAS</t>
        </is>
      </c>
      <c r="E743" t="inlineStr">
        <is>
          <t>Avenida Independência, S/N - Lote 16 Quadra15 Sala 15 16 E 17 Bloco 01</t>
        </is>
      </c>
      <c r="F743" t="inlineStr">
        <is>
          <t>Unamar (Tamoios)</t>
        </is>
      </c>
      <c r="G743" t="inlineStr">
        <is>
          <t>Cabo Frio</t>
        </is>
      </c>
      <c r="H743" t="inlineStr">
        <is>
          <t>RJ</t>
        </is>
      </c>
      <c r="I743" t="n">
        <v>5153</v>
      </c>
      <c r="J743" t="inlineStr">
        <is>
          <t>CAT 4</t>
        </is>
      </c>
      <c r="K743" t="inlineStr">
        <is>
          <t>Sim</t>
        </is>
      </c>
    </row>
    <row r="744">
      <c r="A744" s="1">
        <f>HYPERLINK("https://eurofarma-latam-crm.veevavault.com/#object/account__v/V4TZ000019166E7", "Eduardo Rosario")</f>
        <v/>
      </c>
      <c r="B744" s="1">
        <f>HYPERLINK("https://eurofarma-latam-crm.veevavault.com/#object/account__v/V4TZ000019166E7", "Eduardo Torres Rosario")</f>
        <v/>
      </c>
      <c r="C744" t="inlineStr">
        <is>
          <t>RJ0995169</t>
        </is>
      </c>
      <c r="D744" t="inlineStr">
        <is>
          <t>NEU</t>
        </is>
      </c>
      <c r="E744" t="inlineStr">
        <is>
          <t>Rua Mem de Sá, 111 - Sala 1005</t>
        </is>
      </c>
      <c r="F744" t="inlineStr">
        <is>
          <t>Icaraí</t>
        </is>
      </c>
      <c r="G744" t="inlineStr">
        <is>
          <t>Niterói</t>
        </is>
      </c>
      <c r="H744" t="inlineStr">
        <is>
          <t>RJ</t>
        </is>
      </c>
      <c r="I744" t="n">
        <v>5153</v>
      </c>
      <c r="J744" t="inlineStr">
        <is>
          <t>CAT 1</t>
        </is>
      </c>
      <c r="K744" t="inlineStr">
        <is>
          <t>Sim</t>
        </is>
      </c>
    </row>
    <row r="745">
      <c r="A745" s="1">
        <f>HYPERLINK("https://eurofarma-latam-crm.veevavault.com/#object/account__v/V4TZ00001914L82", "Eduardo Souza")</f>
        <v/>
      </c>
      <c r="B745" s="1">
        <f>HYPERLINK("https://eurofarma-latam-crm.veevavault.com/#object/account__v/V4TZ00001914L82", "Eduardo Andrade Dias Coutinho de Souza")</f>
        <v/>
      </c>
      <c r="C745" t="inlineStr">
        <is>
          <t>RJ0882356</t>
        </is>
      </c>
      <c r="D745" t="inlineStr">
        <is>
          <t>URO</t>
        </is>
      </c>
      <c r="E745" t="inlineStr">
        <is>
          <t>Rua da Gamboa, 303</t>
        </is>
      </c>
      <c r="F745" t="inlineStr">
        <is>
          <t>Gamboa</t>
        </is>
      </c>
      <c r="G745" t="inlineStr">
        <is>
          <t>Rio de Janeiro</t>
        </is>
      </c>
      <c r="H745" t="inlineStr">
        <is>
          <t>RJ</t>
        </is>
      </c>
      <c r="I745" t="n">
        <v>5153</v>
      </c>
      <c r="J745" t="inlineStr">
        <is>
          <t>CAT 5</t>
        </is>
      </c>
      <c r="K745" t="inlineStr">
        <is>
          <t>Sim</t>
        </is>
      </c>
    </row>
    <row r="746">
      <c r="A746" s="1">
        <f>HYPERLINK("https://eurofarma-latam-crm.veevavault.com/#object/account__v/V4TZ00001913JLL", "Elaine Leizenbuch")</f>
        <v/>
      </c>
      <c r="B746" s="1">
        <f>HYPERLINK("https://eurofarma-latam-crm.veevavault.com/#object/account__v/V4TZ00001913JLL", "Elaine Leizenbuch")</f>
        <v/>
      </c>
      <c r="C746" t="inlineStr">
        <is>
          <t>RJ0668338</t>
        </is>
      </c>
      <c r="D746" t="inlineStr">
        <is>
          <t>NEU</t>
        </is>
      </c>
      <c r="E746" t="inlineStr">
        <is>
          <t>Avenida Prefeito Sylvio Picanço, 1533</t>
        </is>
      </c>
      <c r="F746" t="inlineStr">
        <is>
          <t>Charitas</t>
        </is>
      </c>
      <c r="G746" t="inlineStr">
        <is>
          <t>Niterói</t>
        </is>
      </c>
      <c r="H746" t="inlineStr">
        <is>
          <t>RJ</t>
        </is>
      </c>
      <c r="I746" t="n">
        <v>5153</v>
      </c>
      <c r="J746" t="inlineStr">
        <is>
          <t>CAT 3</t>
        </is>
      </c>
      <c r="K746" t="inlineStr">
        <is>
          <t>Sim</t>
        </is>
      </c>
    </row>
    <row r="747">
      <c r="A747" s="1">
        <f>HYPERLINK("https://eurofarma-latam-crm.veevavault.com/#object/account__v/V4TZ00001916A3I", "Elizabeth Alves")</f>
        <v/>
      </c>
      <c r="B747" s="1">
        <f>HYPERLINK("https://eurofarma-latam-crm.veevavault.com/#object/account__v/V4TZ00001916A3I", "Elizabeth Irene Alves")</f>
        <v/>
      </c>
      <c r="C747" t="inlineStr">
        <is>
          <t>RJ0407530</t>
        </is>
      </c>
      <c r="D747" t="inlineStr">
        <is>
          <t>CLG / END</t>
        </is>
      </c>
      <c r="E747" t="inlineStr">
        <is>
          <t>Rua Coronel Moreira Cesar, 26 - Sala 609</t>
        </is>
      </c>
      <c r="F747" t="inlineStr">
        <is>
          <t>Icaraí</t>
        </is>
      </c>
      <c r="G747" t="inlineStr">
        <is>
          <t>Niterói</t>
        </is>
      </c>
      <c r="H747" t="inlineStr">
        <is>
          <t>RJ</t>
        </is>
      </c>
      <c r="I747" t="n">
        <v>5153</v>
      </c>
      <c r="J747" t="inlineStr">
        <is>
          <t>CAT 4</t>
        </is>
      </c>
      <c r="K747" t="inlineStr">
        <is>
          <t>Sim</t>
        </is>
      </c>
    </row>
    <row r="748">
      <c r="A748" s="1">
        <f>HYPERLINK("https://eurofarma-latam-crm.veevavault.com/#object/account__v/V4TZ0000191365P", "Elizabeth Muniz")</f>
        <v/>
      </c>
      <c r="B748" s="1">
        <f>HYPERLINK("https://eurofarma-latam-crm.veevavault.com/#object/account__v/V4TZ0000191365P", "Elizabeth Daflon Vinhosa Muniz")</f>
        <v/>
      </c>
      <c r="C748" t="inlineStr">
        <is>
          <t>RJ0341696</t>
        </is>
      </c>
      <c r="D748" t="inlineStr">
        <is>
          <t>PED</t>
        </is>
      </c>
      <c r="E748" t="inlineStr">
        <is>
          <t>Rua Miguel de Frias, 150 Sala 1301</t>
        </is>
      </c>
      <c r="F748" t="inlineStr">
        <is>
          <t>Icaraí</t>
        </is>
      </c>
      <c r="G748" t="inlineStr">
        <is>
          <t>Niterói</t>
        </is>
      </c>
      <c r="H748" t="inlineStr">
        <is>
          <t>RJ</t>
        </is>
      </c>
      <c r="I748" t="n">
        <v>5153</v>
      </c>
      <c r="J748" t="inlineStr">
        <is>
          <t>CAT 5</t>
        </is>
      </c>
      <c r="K748" t="inlineStr">
        <is>
          <t>Sim</t>
        </is>
      </c>
    </row>
    <row r="749">
      <c r="A749" s="1">
        <f>HYPERLINK("https://eurofarma-latam-crm.veevavault.com/#object/account__v/V4TZ025E83NOEWN", "Elizabeth Silva")</f>
        <v/>
      </c>
      <c r="B749" s="1">
        <f>HYPERLINK("https://eurofarma-latam-crm.veevavault.com/#object/account__v/V4TZ025E83NOEWN", "Elizabeth Jorge da Silva")</f>
        <v/>
      </c>
      <c r="C749" t="inlineStr">
        <is>
          <t>RJ0515820</t>
        </is>
      </c>
      <c r="D749" t="inlineStr">
        <is>
          <t>PED</t>
        </is>
      </c>
      <c r="E749" t="inlineStr">
        <is>
          <t>Rua Coronel Moreira Cesar, 26 - Sala 718</t>
        </is>
      </c>
      <c r="F749" t="inlineStr">
        <is>
          <t>Icaraí</t>
        </is>
      </c>
      <c r="G749" t="inlineStr">
        <is>
          <t>Niterói</t>
        </is>
      </c>
      <c r="H749" t="inlineStr">
        <is>
          <t>RJ</t>
        </is>
      </c>
      <c r="I749" t="n">
        <v>5153</v>
      </c>
      <c r="J749" t="inlineStr"/>
      <c r="K749" t="inlineStr"/>
    </row>
    <row r="750">
      <c r="A750" s="1">
        <f>HYPERLINK("https://eurofarma-latam-crm.veevavault.com/#object/account__v/V4TZ00001914L1F", "Elizabeth Spiegel")</f>
        <v/>
      </c>
      <c r="B750" s="1">
        <f>HYPERLINK("https://eurofarma-latam-crm.veevavault.com/#object/account__v/V4TZ00001914L1F", "Elizabeth Jette Spiegel")</f>
        <v/>
      </c>
      <c r="C750" t="inlineStr">
        <is>
          <t>RJ0219771</t>
        </is>
      </c>
      <c r="D750" t="inlineStr">
        <is>
          <t>ORL</t>
        </is>
      </c>
      <c r="E750" t="inlineStr">
        <is>
          <t>Rua Coronel Moreira Cesar, 26 - Sala 702</t>
        </is>
      </c>
      <c r="F750" t="inlineStr">
        <is>
          <t>Icaraí</t>
        </is>
      </c>
      <c r="G750" t="inlineStr">
        <is>
          <t>Niterói</t>
        </is>
      </c>
      <c r="H750" t="inlineStr">
        <is>
          <t>RJ</t>
        </is>
      </c>
      <c r="I750" t="n">
        <v>5153</v>
      </c>
      <c r="J750" t="inlineStr">
        <is>
          <t>CAT 4</t>
        </is>
      </c>
      <c r="K750" t="inlineStr">
        <is>
          <t>Sim</t>
        </is>
      </c>
    </row>
    <row r="751">
      <c r="A751" s="1">
        <f>HYPERLINK("https://eurofarma-latam-crm.veevavault.com/#object/account__v/V4TZ000018NY06Z", "Eloan Teixeira")</f>
        <v/>
      </c>
      <c r="B751" s="1">
        <f>HYPERLINK("https://eurofarma-latam-crm.veevavault.com/#object/account__v/V4TZ000018NY06Z", "Eloan de Cassia Velloso Teixeira")</f>
        <v/>
      </c>
      <c r="C751" t="inlineStr">
        <is>
          <t>RJ0471108</t>
        </is>
      </c>
      <c r="D751" t="inlineStr">
        <is>
          <t>PED</t>
        </is>
      </c>
      <c r="E751" t="inlineStr">
        <is>
          <t>Rua Ator Paulo Gustavo, 26 - Sala 1020</t>
        </is>
      </c>
      <c r="F751" t="inlineStr">
        <is>
          <t>Icaraí</t>
        </is>
      </c>
      <c r="G751" t="inlineStr">
        <is>
          <t>Niterói</t>
        </is>
      </c>
      <c r="H751" t="inlineStr">
        <is>
          <t>RJ</t>
        </is>
      </c>
      <c r="I751" t="n">
        <v>5153</v>
      </c>
      <c r="J751" t="inlineStr">
        <is>
          <t>CAT 4</t>
        </is>
      </c>
      <c r="K751" t="inlineStr">
        <is>
          <t>Sim</t>
        </is>
      </c>
    </row>
    <row r="752">
      <c r="A752" s="1">
        <f>HYPERLINK("https://eurofarma-latam-crm.veevavault.com/#object/account__v/V4TZ00001914L7Y", "Elza Maria de Percia")</f>
        <v/>
      </c>
      <c r="B752" s="1">
        <f>HYPERLINK("https://eurofarma-latam-crm.veevavault.com/#object/account__v/V4TZ00001914L7Y", "Elza Maria Silva de Percia")</f>
        <v/>
      </c>
      <c r="C752" t="inlineStr">
        <is>
          <t>RJ0391441</t>
        </is>
      </c>
      <c r="D752" t="inlineStr">
        <is>
          <t>PED</t>
        </is>
      </c>
      <c r="E752" t="inlineStr">
        <is>
          <t>Rua Otávio Carneiro, 100 - Sala 1112</t>
        </is>
      </c>
      <c r="F752" t="inlineStr">
        <is>
          <t>Icaraí</t>
        </is>
      </c>
      <c r="G752" t="inlineStr">
        <is>
          <t>Niterói</t>
        </is>
      </c>
      <c r="H752" t="inlineStr">
        <is>
          <t>RJ</t>
        </is>
      </c>
      <c r="I752" t="n">
        <v>5153</v>
      </c>
      <c r="J752" t="inlineStr">
        <is>
          <t>CAT 4</t>
        </is>
      </c>
      <c r="K752" t="inlineStr">
        <is>
          <t>Sim</t>
        </is>
      </c>
    </row>
    <row r="753">
      <c r="A753" s="1">
        <f>HYPERLINK("https://eurofarma-latam-crm.veevavault.com/#object/account__v/V4TZ00001914EN9", "Eneas Cotta Filho")</f>
        <v/>
      </c>
      <c r="B753" s="1">
        <f>HYPERLINK("https://eurofarma-latam-crm.veevavault.com/#object/account__v/V4TZ00001914EN9", "Eneas Machado Cotta Filho")</f>
        <v/>
      </c>
      <c r="C753" t="inlineStr">
        <is>
          <t>RJ0316497</t>
        </is>
      </c>
      <c r="D753" t="inlineStr">
        <is>
          <t>NEU</t>
        </is>
      </c>
      <c r="E753" t="inlineStr"/>
      <c r="F753" t="inlineStr"/>
      <c r="G753" t="inlineStr"/>
      <c r="H753" t="inlineStr"/>
      <c r="I753" t="n">
        <v>5153</v>
      </c>
      <c r="J753" t="inlineStr">
        <is>
          <t>CAT 4</t>
        </is>
      </c>
      <c r="K753" t="inlineStr">
        <is>
          <t>Sim</t>
        </is>
      </c>
    </row>
    <row r="754">
      <c r="A754" s="1">
        <f>HYPERLINK("https://eurofarma-latam-crm.veevavault.com/#object/account__v/V4TZ000018NYOPG", "Eric Pereira")</f>
        <v/>
      </c>
      <c r="B754" s="1">
        <f>HYPERLINK("https://eurofarma-latam-crm.veevavault.com/#object/account__v/V4TZ000018NYOPG", "Eric Silva Pereira")</f>
        <v/>
      </c>
      <c r="C754" t="inlineStr">
        <is>
          <t>RJ0946621</t>
        </is>
      </c>
      <c r="D754" t="inlineStr">
        <is>
          <t>GAS</t>
        </is>
      </c>
      <c r="E754" t="inlineStr">
        <is>
          <t>Rua Miguel de Frias, 150 - Sala 301</t>
        </is>
      </c>
      <c r="F754" t="inlineStr">
        <is>
          <t>Icaraí</t>
        </is>
      </c>
      <c r="G754" t="inlineStr">
        <is>
          <t>Niterói</t>
        </is>
      </c>
      <c r="H754" t="inlineStr">
        <is>
          <t>RJ</t>
        </is>
      </c>
      <c r="I754" t="n">
        <v>5153</v>
      </c>
      <c r="J754" t="inlineStr"/>
      <c r="K754" t="inlineStr"/>
    </row>
    <row r="755">
      <c r="A755" s="1">
        <f>HYPERLINK("https://eurofarma-latam-crm.veevavault.com/#object/account__v/V4TZ000018NXXMT", "Erika Aguiar")</f>
        <v/>
      </c>
      <c r="B755" s="1">
        <f>HYPERLINK("https://eurofarma-latam-crm.veevavault.com/#object/account__v/V4TZ000018NXXMT", "Erika Teixeira de Oliveira Aguiar")</f>
        <v/>
      </c>
      <c r="C755" t="inlineStr">
        <is>
          <t>RJ0853925</t>
        </is>
      </c>
      <c r="D755" t="inlineStr">
        <is>
          <t>PED</t>
        </is>
      </c>
      <c r="E755" t="inlineStr">
        <is>
          <t>Rua Ator Paulo Gustavo, 229 - Sala 1907</t>
        </is>
      </c>
      <c r="F755" t="inlineStr">
        <is>
          <t>Icaraí</t>
        </is>
      </c>
      <c r="G755" t="inlineStr">
        <is>
          <t>Niterói</t>
        </is>
      </c>
      <c r="H755" t="inlineStr">
        <is>
          <t>RJ</t>
        </is>
      </c>
      <c r="I755" t="n">
        <v>5153</v>
      </c>
      <c r="J755" t="inlineStr">
        <is>
          <t>CAT 4</t>
        </is>
      </c>
      <c r="K755" t="inlineStr">
        <is>
          <t>Sim</t>
        </is>
      </c>
    </row>
    <row r="756">
      <c r="A756" s="1">
        <f>HYPERLINK("https://eurofarma-latam-crm.veevavault.com/#object/account__v/V4TZ000018NZ4W8", "Eugenio Lamy Filho")</f>
        <v/>
      </c>
      <c r="B756" s="1">
        <f>HYPERLINK("https://eurofarma-latam-crm.veevavault.com/#object/account__v/V4TZ000018NZ4W8", "Eugenio Lamy Filho")</f>
        <v/>
      </c>
      <c r="C756" t="inlineStr">
        <is>
          <t>RJ0281184</t>
        </is>
      </c>
      <c r="D756" t="inlineStr">
        <is>
          <t>PSQ</t>
        </is>
      </c>
      <c r="E756" t="inlineStr">
        <is>
          <t>Rua Coronel Moreira Cesar, 26 - Sala 1404</t>
        </is>
      </c>
      <c r="F756" t="inlineStr">
        <is>
          <t>Icaraí</t>
        </is>
      </c>
      <c r="G756" t="inlineStr">
        <is>
          <t>Niterói</t>
        </is>
      </c>
      <c r="H756" t="inlineStr">
        <is>
          <t>RJ</t>
        </is>
      </c>
      <c r="I756" t="n">
        <v>5153</v>
      </c>
      <c r="J756" t="inlineStr">
        <is>
          <t>CAT 2</t>
        </is>
      </c>
      <c r="K756" t="inlineStr">
        <is>
          <t>Sim</t>
        </is>
      </c>
    </row>
    <row r="757">
      <c r="A757" s="1">
        <f>HYPERLINK("https://eurofarma-latam-crm.veevavault.com/#object/account__v/V4TZ00001913TQH", "Evellin Santos")</f>
        <v/>
      </c>
      <c r="B757" s="1">
        <f>HYPERLINK("https://eurofarma-latam-crm.veevavault.com/#object/account__v/V4TZ00001913TQH", "Evellin Teixeira Tostes de Oliveira Santos")</f>
        <v/>
      </c>
      <c r="C757" t="inlineStr">
        <is>
          <t>RJ0847534</t>
        </is>
      </c>
      <c r="D757" t="inlineStr">
        <is>
          <t>END</t>
        </is>
      </c>
      <c r="E757" t="inlineStr">
        <is>
          <t>Rua Gavião Peixoto, 124 - Sala 411</t>
        </is>
      </c>
      <c r="F757" t="inlineStr">
        <is>
          <t>Icaraí</t>
        </is>
      </c>
      <c r="G757" t="inlineStr">
        <is>
          <t>Niterói</t>
        </is>
      </c>
      <c r="H757" t="inlineStr">
        <is>
          <t>RJ</t>
        </is>
      </c>
      <c r="I757" t="n">
        <v>5153</v>
      </c>
      <c r="J757" t="inlineStr">
        <is>
          <t>CAT 2</t>
        </is>
      </c>
      <c r="K757" t="inlineStr">
        <is>
          <t>Sim</t>
        </is>
      </c>
    </row>
    <row r="758">
      <c r="A758" s="1">
        <f>HYPERLINK("https://eurofarma-latam-crm.veevavault.com/#object/account__v/V4TZ000018NXR9D", "Fabio Barreto")</f>
        <v/>
      </c>
      <c r="B758" s="1">
        <f>HYPERLINK("https://eurofarma-latam-crm.veevavault.com/#object/account__v/V4TZ000018NXR9D", "Fabio Damasceno Barreto")</f>
        <v/>
      </c>
      <c r="C758" t="inlineStr">
        <is>
          <t>RJ0333917</t>
        </is>
      </c>
      <c r="D758" t="inlineStr">
        <is>
          <t>PSQ</t>
        </is>
      </c>
      <c r="E758" t="inlineStr">
        <is>
          <t>Rua Coronel Moreira Cesar, 229 - Sala 1822</t>
        </is>
      </c>
      <c r="F758" t="inlineStr">
        <is>
          <t>Icaraí</t>
        </is>
      </c>
      <c r="G758" t="inlineStr">
        <is>
          <t>Niterói</t>
        </is>
      </c>
      <c r="H758" t="inlineStr">
        <is>
          <t>RJ</t>
        </is>
      </c>
      <c r="I758" t="n">
        <v>5153</v>
      </c>
      <c r="J758" t="inlineStr">
        <is>
          <t>CAT 2</t>
        </is>
      </c>
      <c r="K758" t="inlineStr">
        <is>
          <t>Sim</t>
        </is>
      </c>
    </row>
    <row r="759">
      <c r="A759" s="1">
        <f>HYPERLINK("https://eurofarma-latam-crm.veevavault.com/#object/account__v/V4TZ000018NXS5M", "Fabiola da Silva")</f>
        <v/>
      </c>
      <c r="B759" s="1">
        <f>HYPERLINK("https://eurofarma-latam-crm.veevavault.com/#object/account__v/V4TZ000018NXS5M", "Fabiola Gouveia Pereira da Silva")</f>
        <v/>
      </c>
      <c r="C759" t="inlineStr">
        <is>
          <t>RJ0565835</t>
        </is>
      </c>
      <c r="D759" t="inlineStr">
        <is>
          <t>CLG / END</t>
        </is>
      </c>
      <c r="E759" t="inlineStr">
        <is>
          <t>Rua Reverendo Armando Ferreira, 30</t>
        </is>
      </c>
      <c r="F759" t="inlineStr">
        <is>
          <t>Maceió</t>
        </is>
      </c>
      <c r="G759" t="inlineStr">
        <is>
          <t>Niterói</t>
        </is>
      </c>
      <c r="H759" t="inlineStr">
        <is>
          <t>RJ</t>
        </is>
      </c>
      <c r="I759" t="n">
        <v>5153</v>
      </c>
      <c r="J759" t="inlineStr">
        <is>
          <t>CAT 4</t>
        </is>
      </c>
      <c r="K759" t="inlineStr">
        <is>
          <t>Sim</t>
        </is>
      </c>
    </row>
    <row r="760">
      <c r="A760" s="1">
        <f>HYPERLINK("https://eurofarma-latam-crm.veevavault.com/#object/account__v/V4TZ000018NXR3T", "Fabrício Rego")</f>
        <v/>
      </c>
      <c r="B760" s="1">
        <f>HYPERLINK("https://eurofarma-latam-crm.veevavault.com/#object/account__v/V4TZ000018NXR3T", "Fabrício Siano Rego")</f>
        <v/>
      </c>
      <c r="C760" t="inlineStr">
        <is>
          <t>RJ0648647</t>
        </is>
      </c>
      <c r="D760" t="inlineStr">
        <is>
          <t>END</t>
        </is>
      </c>
      <c r="E760" t="inlineStr">
        <is>
          <t>Rua Ator Paulo Gustavo, 160 - Sala 913</t>
        </is>
      </c>
      <c r="F760" t="inlineStr">
        <is>
          <t>Icaraí</t>
        </is>
      </c>
      <c r="G760" t="inlineStr">
        <is>
          <t>Niterói</t>
        </is>
      </c>
      <c r="H760" t="inlineStr">
        <is>
          <t>RJ</t>
        </is>
      </c>
      <c r="I760" t="n">
        <v>5153</v>
      </c>
      <c r="J760" t="inlineStr">
        <is>
          <t>CAT 3</t>
        </is>
      </c>
      <c r="K760" t="inlineStr">
        <is>
          <t>Sim</t>
        </is>
      </c>
    </row>
    <row r="761">
      <c r="A761" s="1">
        <f>HYPERLINK("https://eurofarma-latam-crm.veevavault.com/#object/account__v/V4TZ000018NXS4Z", "Felipe de Souza")</f>
        <v/>
      </c>
      <c r="B761" s="1">
        <f>HYPERLINK("https://eurofarma-latam-crm.veevavault.com/#object/account__v/V4TZ000018NXS4Z", "Felipe Andrade Dias Coutinho de Souza")</f>
        <v/>
      </c>
      <c r="C761" t="inlineStr">
        <is>
          <t>RJ0840483</t>
        </is>
      </c>
      <c r="D761" t="inlineStr">
        <is>
          <t>URO</t>
        </is>
      </c>
      <c r="E761" t="inlineStr">
        <is>
          <t>Rua Doutor Luiz Palmier, 726</t>
        </is>
      </c>
      <c r="F761" t="inlineStr">
        <is>
          <t>Barreto</t>
        </is>
      </c>
      <c r="G761" t="inlineStr">
        <is>
          <t>Niterói</t>
        </is>
      </c>
      <c r="H761" t="inlineStr">
        <is>
          <t>RJ</t>
        </is>
      </c>
      <c r="I761" t="n">
        <v>5153</v>
      </c>
      <c r="J761" t="inlineStr">
        <is>
          <t>CAT 5</t>
        </is>
      </c>
      <c r="K761" t="inlineStr">
        <is>
          <t>N�o</t>
        </is>
      </c>
    </row>
    <row r="762">
      <c r="A762" s="1">
        <f>HYPERLINK("https://eurofarma-latam-crm.veevavault.com/#object/account__v/V4TZ025E8EZYRHS", "Fernanda Abrantes")</f>
        <v/>
      </c>
      <c r="B762" s="1">
        <f>HYPERLINK("https://eurofarma-latam-crm.veevavault.com/#object/account__v/V4TZ025E8EZYRHS", "Fernanda Gomes Abrantes")</f>
        <v/>
      </c>
      <c r="C762" t="inlineStr">
        <is>
          <t>RJ1221949</t>
        </is>
      </c>
      <c r="D762" t="inlineStr">
        <is>
          <t>GAS</t>
        </is>
      </c>
      <c r="E762" t="inlineStr">
        <is>
          <t>Avenida Ataulfo de Paiva, 135 - Salas 1103 e 1104</t>
        </is>
      </c>
      <c r="F762" t="inlineStr">
        <is>
          <t>Leblon</t>
        </is>
      </c>
      <c r="G762" t="inlineStr">
        <is>
          <t>Rio de Janeiro</t>
        </is>
      </c>
      <c r="H762" t="inlineStr">
        <is>
          <t>RJ</t>
        </is>
      </c>
      <c r="I762" t="n">
        <v>5153</v>
      </c>
      <c r="J762" t="inlineStr"/>
      <c r="K762" t="inlineStr"/>
    </row>
    <row r="763">
      <c r="A763" s="1">
        <f>HYPERLINK("https://eurofarma-latam-crm.veevavault.com/#object/account__v/V4TZ00001915GYA", "Fernanda Catharino")</f>
        <v/>
      </c>
      <c r="B763" s="1">
        <f>HYPERLINK("https://eurofarma-latam-crm.veevavault.com/#object/account__v/V4TZ00001915GYA", "Fernanda Martins Coelho Catharino")</f>
        <v/>
      </c>
      <c r="C763" t="inlineStr">
        <is>
          <t>RJ0756822</t>
        </is>
      </c>
      <c r="D763" t="inlineStr">
        <is>
          <t>PED</t>
        </is>
      </c>
      <c r="E763" t="inlineStr">
        <is>
          <t>Rua Doutor Celestino, 103</t>
        </is>
      </c>
      <c r="F763" t="inlineStr">
        <is>
          <t>Centro</t>
        </is>
      </c>
      <c r="G763" t="inlineStr">
        <is>
          <t>Niterói</t>
        </is>
      </c>
      <c r="H763" t="inlineStr">
        <is>
          <t>RJ</t>
        </is>
      </c>
      <c r="I763" t="n">
        <v>5153</v>
      </c>
      <c r="J763" t="inlineStr">
        <is>
          <t>CAT 4</t>
        </is>
      </c>
      <c r="K763" t="inlineStr">
        <is>
          <t>Sim</t>
        </is>
      </c>
    </row>
    <row r="764">
      <c r="A764" s="1">
        <f>HYPERLINK("https://eurofarma-latam-crm.veevavault.com/#object/account__v/V4TZ0000191544H", "Fernanda Ferrao")</f>
        <v/>
      </c>
      <c r="B764" s="1">
        <f>HYPERLINK("https://eurofarma-latam-crm.veevavault.com/#object/account__v/V4TZ0000191544H", "Fernanda Lyrio Ferrao")</f>
        <v/>
      </c>
      <c r="C764" t="inlineStr">
        <is>
          <t>RJ0723380</t>
        </is>
      </c>
      <c r="D764" t="inlineStr">
        <is>
          <t>END</t>
        </is>
      </c>
      <c r="E764" t="inlineStr">
        <is>
          <t>Parque Vital Brasil, S/N</t>
        </is>
      </c>
      <c r="F764" t="inlineStr">
        <is>
          <t>Vital Brazil</t>
        </is>
      </c>
      <c r="G764" t="inlineStr">
        <is>
          <t>Niterói</t>
        </is>
      </c>
      <c r="H764" t="inlineStr">
        <is>
          <t>RJ</t>
        </is>
      </c>
      <c r="I764" t="n">
        <v>5153</v>
      </c>
      <c r="J764" t="inlineStr">
        <is>
          <t>CAT 4</t>
        </is>
      </c>
      <c r="K764" t="inlineStr">
        <is>
          <t>Sim</t>
        </is>
      </c>
    </row>
    <row r="765">
      <c r="A765" s="1">
        <f>HYPERLINK("https://eurofarma-latam-crm.veevavault.com/#object/account__v/V4TZ025E8D01W13", "Fernanda Maria Lima")</f>
        <v/>
      </c>
      <c r="B765" s="1">
        <f>HYPERLINK("https://eurofarma-latam-crm.veevavault.com/#object/account__v/V4TZ025E8D01W13", "Fernanda Maria Gonçalves Monteiro Lima")</f>
        <v/>
      </c>
      <c r="C765" t="inlineStr">
        <is>
          <t>RJ0760013</t>
        </is>
      </c>
      <c r="D765" t="inlineStr">
        <is>
          <t>END</t>
        </is>
      </c>
      <c r="E765" t="inlineStr">
        <is>
          <t>Rua Rubem Risemberg, 46</t>
        </is>
      </c>
      <c r="F765" t="inlineStr">
        <is>
          <t>Piratininga</t>
        </is>
      </c>
      <c r="G765" t="inlineStr">
        <is>
          <t>Niterói</t>
        </is>
      </c>
      <c r="H765" t="inlineStr">
        <is>
          <t>RJ</t>
        </is>
      </c>
      <c r="I765" t="n">
        <v>5153</v>
      </c>
      <c r="J765" t="inlineStr">
        <is>
          <t>CAT 4</t>
        </is>
      </c>
      <c r="K765" t="inlineStr">
        <is>
          <t>Sim</t>
        </is>
      </c>
    </row>
    <row r="766">
      <c r="A766" s="1">
        <f>HYPERLINK("https://eurofarma-latam-crm.veevavault.com/#object/account__v/V4TZ000018NXTEB", "Fernanda Milo")</f>
        <v/>
      </c>
      <c r="B766" s="1">
        <f>HYPERLINK("https://eurofarma-latam-crm.veevavault.com/#object/account__v/V4TZ000018NXTEB", "Fernanda de Sousa Mendes Milo")</f>
        <v/>
      </c>
      <c r="C766" t="inlineStr">
        <is>
          <t>RJ0815519</t>
        </is>
      </c>
      <c r="D766" t="inlineStr">
        <is>
          <t>PSQ</t>
        </is>
      </c>
      <c r="E766" t="inlineStr">
        <is>
          <t>Rua Mem de Sá, 19 - Sala 609</t>
        </is>
      </c>
      <c r="F766" t="inlineStr">
        <is>
          <t>Icaraí</t>
        </is>
      </c>
      <c r="G766" t="inlineStr">
        <is>
          <t>Niterói</t>
        </is>
      </c>
      <c r="H766" t="inlineStr">
        <is>
          <t>RJ</t>
        </is>
      </c>
      <c r="I766" t="n">
        <v>5153</v>
      </c>
      <c r="J766" t="inlineStr">
        <is>
          <t>CAT 3</t>
        </is>
      </c>
      <c r="K766" t="inlineStr">
        <is>
          <t>Sim</t>
        </is>
      </c>
    </row>
    <row r="767">
      <c r="A767" s="1">
        <f>HYPERLINK("https://eurofarma-latam-crm.veevavault.com/#object/account__v/V4TZ00001915KKJ", "Fernando Cezar Baptista")</f>
        <v/>
      </c>
      <c r="B767" s="1">
        <f>HYPERLINK("https://eurofarma-latam-crm.veevavault.com/#object/account__v/V4TZ00001915KKJ", "Fernando Cezar da Silva Baptista")</f>
        <v/>
      </c>
      <c r="C767" t="inlineStr">
        <is>
          <t>RJ0990760</t>
        </is>
      </c>
      <c r="D767" t="inlineStr">
        <is>
          <t>END</t>
        </is>
      </c>
      <c r="E767" t="inlineStr">
        <is>
          <t>Rua Ator Paulo Gustavo, 26 - Sala 1215</t>
        </is>
      </c>
      <c r="F767" t="inlineStr">
        <is>
          <t>Icaraí</t>
        </is>
      </c>
      <c r="G767" t="inlineStr">
        <is>
          <t>Niterói</t>
        </is>
      </c>
      <c r="H767" t="inlineStr">
        <is>
          <t>RJ</t>
        </is>
      </c>
      <c r="I767" t="n">
        <v>5153</v>
      </c>
      <c r="J767" t="inlineStr">
        <is>
          <t>CAT 4</t>
        </is>
      </c>
      <c r="K767" t="inlineStr">
        <is>
          <t>Sim</t>
        </is>
      </c>
    </row>
    <row r="768">
      <c r="A768" s="1">
        <f>HYPERLINK("https://eurofarma-latam-crm.veevavault.com/#object/account__v/V4TZ00001915SBS", "Fernando Machado")</f>
        <v/>
      </c>
      <c r="B768" s="1">
        <f>HYPERLINK("https://eurofarma-latam-crm.veevavault.com/#object/account__v/V4TZ00001915SBS", "Fernando Fernandes Machado")</f>
        <v/>
      </c>
      <c r="C768" t="inlineStr">
        <is>
          <t>RJ0555624</t>
        </is>
      </c>
      <c r="D768" t="inlineStr">
        <is>
          <t>NEU</t>
        </is>
      </c>
      <c r="E768" t="inlineStr">
        <is>
          <t>Rua Ator Paulo Gustavo. 160 - Sala 1114</t>
        </is>
      </c>
      <c r="F768" t="inlineStr">
        <is>
          <t>Icaraí</t>
        </is>
      </c>
      <c r="G768" t="inlineStr">
        <is>
          <t>Niterói</t>
        </is>
      </c>
      <c r="H768" t="inlineStr">
        <is>
          <t>RJ</t>
        </is>
      </c>
      <c r="I768" t="n">
        <v>5153</v>
      </c>
      <c r="J768" t="inlineStr">
        <is>
          <t>CAT 2</t>
        </is>
      </c>
      <c r="K768" t="inlineStr">
        <is>
          <t>Sim</t>
        </is>
      </c>
    </row>
    <row r="769">
      <c r="A769" s="1">
        <f>HYPERLINK("https://eurofarma-latam-crm.veevavault.com/#object/account__v/V4TZ00001916GLT", "Filippe Cunha")</f>
        <v/>
      </c>
      <c r="B769" s="1">
        <f>HYPERLINK("https://eurofarma-latam-crm.veevavault.com/#object/account__v/V4TZ00001916GLT", "Filippe Pirrone Cunha")</f>
        <v/>
      </c>
      <c r="C769" t="inlineStr">
        <is>
          <t>RJ1130757</t>
        </is>
      </c>
      <c r="D769" t="inlineStr">
        <is>
          <t>GAS</t>
        </is>
      </c>
      <c r="E769" t="inlineStr">
        <is>
          <t>Rua Macedo Sobrinho, 21</t>
        </is>
      </c>
      <c r="F769" t="inlineStr">
        <is>
          <t>Humaitá</t>
        </is>
      </c>
      <c r="G769" t="inlineStr">
        <is>
          <t>Rio de Janeiro</t>
        </is>
      </c>
      <c r="H769" t="inlineStr">
        <is>
          <t>RJ</t>
        </is>
      </c>
      <c r="I769" t="n">
        <v>5153</v>
      </c>
      <c r="J769" t="inlineStr">
        <is>
          <t>CAT 5</t>
        </is>
      </c>
      <c r="K769" t="inlineStr">
        <is>
          <t>N�o</t>
        </is>
      </c>
    </row>
    <row r="770">
      <c r="A770" s="1">
        <f>HYPERLINK("https://eurofarma-latam-crm.veevavault.com/#object/account__v/V4TZ00001913BGT", "Flavio Augusto da Silva")</f>
        <v/>
      </c>
      <c r="B770" s="1">
        <f>HYPERLINK("https://eurofarma-latam-crm.veevavault.com/#object/account__v/V4TZ00001913BGT", "Flavio Augusto Viana Nery da Silva")</f>
        <v/>
      </c>
      <c r="C770" t="inlineStr">
        <is>
          <t>RJ0755257</t>
        </is>
      </c>
      <c r="D770" t="inlineStr">
        <is>
          <t>RMT</t>
        </is>
      </c>
      <c r="E770" t="inlineStr">
        <is>
          <t>Rua Sacadura Cabral, 178</t>
        </is>
      </c>
      <c r="F770" t="inlineStr">
        <is>
          <t>Saúde</t>
        </is>
      </c>
      <c r="G770" t="inlineStr">
        <is>
          <t>Rio de Janeiro</t>
        </is>
      </c>
      <c r="H770" t="inlineStr">
        <is>
          <t>RJ</t>
        </is>
      </c>
      <c r="I770" t="n">
        <v>5153</v>
      </c>
      <c r="J770" t="inlineStr">
        <is>
          <t>CAT 4</t>
        </is>
      </c>
      <c r="K770" t="inlineStr">
        <is>
          <t>Sim</t>
        </is>
      </c>
    </row>
    <row r="771">
      <c r="A771" s="1">
        <f>HYPERLINK("https://eurofarma-latam-crm.veevavault.com/#object/account__v/V4TZ000019158MM", "Flavio Braga")</f>
        <v/>
      </c>
      <c r="B771" s="1">
        <f>HYPERLINK("https://eurofarma-latam-crm.veevavault.com/#object/account__v/V4TZ000019158MM", "Flavio Antonio Borges Braga")</f>
        <v/>
      </c>
      <c r="C771" t="inlineStr">
        <is>
          <t>RJ0489858</t>
        </is>
      </c>
      <c r="D771" t="inlineStr">
        <is>
          <t>PSQ</t>
        </is>
      </c>
      <c r="E771" t="inlineStr">
        <is>
          <t>Rua Coronel Moreira Cesar, 426-1302</t>
        </is>
      </c>
      <c r="F771" t="inlineStr">
        <is>
          <t>Icaraí</t>
        </is>
      </c>
      <c r="G771" t="inlineStr">
        <is>
          <t>Niterói</t>
        </is>
      </c>
      <c r="H771" t="inlineStr">
        <is>
          <t>RJ</t>
        </is>
      </c>
      <c r="I771" t="n">
        <v>5153</v>
      </c>
      <c r="J771" t="inlineStr">
        <is>
          <t>CAT 1</t>
        </is>
      </c>
      <c r="K771" t="inlineStr">
        <is>
          <t>Sim</t>
        </is>
      </c>
    </row>
    <row r="772">
      <c r="A772" s="1">
        <f>HYPERLINK("https://eurofarma-latam-crm.veevavault.com/#object/account__v/V4TZ00001913RGT", "Flávio e Silva")</f>
        <v/>
      </c>
      <c r="B772" s="1">
        <f>HYPERLINK("https://eurofarma-latam-crm.veevavault.com/#object/account__v/V4TZ00001913RGT", "Flávio Nascimento e Silva")</f>
        <v/>
      </c>
      <c r="C772" t="inlineStr">
        <is>
          <t>RJ0946664</t>
        </is>
      </c>
      <c r="D772" t="inlineStr">
        <is>
          <t>PSQ</t>
        </is>
      </c>
      <c r="E772" t="inlineStr">
        <is>
          <t>Rua Coronel Moreira Cesar, 229 - Sala 1308</t>
        </is>
      </c>
      <c r="F772" t="inlineStr">
        <is>
          <t>Icaraí</t>
        </is>
      </c>
      <c r="G772" t="inlineStr">
        <is>
          <t>Niterói</t>
        </is>
      </c>
      <c r="H772" t="inlineStr">
        <is>
          <t>RJ</t>
        </is>
      </c>
      <c r="I772" t="n">
        <v>5153</v>
      </c>
      <c r="J772" t="inlineStr">
        <is>
          <t>CAT 1</t>
        </is>
      </c>
      <c r="K772" t="inlineStr">
        <is>
          <t>Sim</t>
        </is>
      </c>
    </row>
    <row r="773">
      <c r="A773" s="1">
        <f>HYPERLINK("https://eurofarma-latam-crm.veevavault.com/#object/account__v/V4TZ00001914EFM", "Franz Luiz de Almeida")</f>
        <v/>
      </c>
      <c r="B773" s="1">
        <f>HYPERLINK("https://eurofarma-latam-crm.veevavault.com/#object/account__v/V4TZ00001914EFM", "Franz Luiz Nimrichter de Almeida")</f>
        <v/>
      </c>
      <c r="C773" t="inlineStr">
        <is>
          <t>RJ0416463</t>
        </is>
      </c>
      <c r="D773" t="inlineStr">
        <is>
          <t>ORL</t>
        </is>
      </c>
      <c r="E773" t="inlineStr"/>
      <c r="F773" t="inlineStr"/>
      <c r="G773" t="inlineStr"/>
      <c r="H773" t="inlineStr"/>
      <c r="I773" t="n">
        <v>5153</v>
      </c>
      <c r="J773" t="inlineStr">
        <is>
          <t>CAT 4</t>
        </is>
      </c>
      <c r="K773" t="inlineStr">
        <is>
          <t>Sim</t>
        </is>
      </c>
    </row>
    <row r="774">
      <c r="A774" s="1">
        <f>HYPERLINK("https://eurofarma-latam-crm.veevavault.com/#object/account__v/V4TZ000018NXHS4", "Gabriel de Christo")</f>
        <v/>
      </c>
      <c r="B774" s="1">
        <f>HYPERLINK("https://eurofarma-latam-crm.veevavault.com/#object/account__v/V4TZ000018NXHS4", "Gabriel Fernandes de Christo")</f>
        <v/>
      </c>
      <c r="C774" t="inlineStr">
        <is>
          <t>RJ0716537</t>
        </is>
      </c>
      <c r="D774" t="inlineStr">
        <is>
          <t>URO</t>
        </is>
      </c>
      <c r="E774" t="inlineStr">
        <is>
          <t>Rua Ator Paulo Gustavo, 229 - Sala 1923</t>
        </is>
      </c>
      <c r="F774" t="inlineStr">
        <is>
          <t>Icaraí</t>
        </is>
      </c>
      <c r="G774" t="inlineStr">
        <is>
          <t>Niterói</t>
        </is>
      </c>
      <c r="H774" t="inlineStr">
        <is>
          <t>RJ</t>
        </is>
      </c>
      <c r="I774" t="n">
        <v>5153</v>
      </c>
      <c r="J774" t="inlineStr">
        <is>
          <t>CAT 5</t>
        </is>
      </c>
      <c r="K774" t="inlineStr">
        <is>
          <t>Sim</t>
        </is>
      </c>
    </row>
    <row r="775">
      <c r="A775" s="1">
        <f>HYPERLINK("https://eurofarma-latam-crm.veevavault.com/#object/account__v/V4TZ000019130AA", "Gabriel Micheli")</f>
        <v/>
      </c>
      <c r="B775" s="1">
        <f>HYPERLINK("https://eurofarma-latam-crm.veevavault.com/#object/account__v/V4TZ000019130AA", "Gabriel de Castro Micheli")</f>
        <v/>
      </c>
      <c r="C775" t="inlineStr">
        <is>
          <t>RJ1071998</t>
        </is>
      </c>
      <c r="D775" t="inlineStr">
        <is>
          <t>NEU</t>
        </is>
      </c>
      <c r="E775" t="inlineStr">
        <is>
          <t>Rua Professor Rodolpho Paulo Rocco, 255</t>
        </is>
      </c>
      <c r="F775" t="inlineStr">
        <is>
          <t>Cidade Universitária</t>
        </is>
      </c>
      <c r="G775" t="inlineStr">
        <is>
          <t>Rio de Janeiro</t>
        </is>
      </c>
      <c r="H775" t="inlineStr">
        <is>
          <t>RJ</t>
        </is>
      </c>
      <c r="I775" t="n">
        <v>5153</v>
      </c>
      <c r="J775" t="inlineStr">
        <is>
          <t>CAT 2</t>
        </is>
      </c>
      <c r="K775" t="inlineStr">
        <is>
          <t>Sim</t>
        </is>
      </c>
    </row>
    <row r="776">
      <c r="A776" s="1">
        <f>HYPERLINK("https://eurofarma-latam-crm.veevavault.com/#object/account__v/V4TZ00001915TWY", "Georgia Cristina Silva")</f>
        <v/>
      </c>
      <c r="B776" s="1">
        <f>HYPERLINK("https://eurofarma-latam-crm.veevavault.com/#object/account__v/V4TZ00001915TWY", "Georgia Cristina Allan de Oliveira Silva")</f>
        <v/>
      </c>
      <c r="C776" t="inlineStr">
        <is>
          <t>RJ0528254,SP0231825</t>
        </is>
      </c>
      <c r="D776" t="inlineStr">
        <is>
          <t>GOB</t>
        </is>
      </c>
      <c r="E776" t="inlineStr">
        <is>
          <t>Rua Mariz e Barros, 550 - 8 Andar</t>
        </is>
      </c>
      <c r="F776" t="inlineStr">
        <is>
          <t>Icaraí</t>
        </is>
      </c>
      <c r="G776" t="inlineStr">
        <is>
          <t>Niterói</t>
        </is>
      </c>
      <c r="H776" t="inlineStr">
        <is>
          <t>RJ</t>
        </is>
      </c>
      <c r="I776" t="n">
        <v>5153</v>
      </c>
      <c r="J776" t="inlineStr"/>
      <c r="K776" t="inlineStr"/>
    </row>
    <row r="777">
      <c r="A777" s="1">
        <f>HYPERLINK("https://eurofarma-latam-crm.veevavault.com/#object/account__v/V4TZ000018NY1F6", "Gisela Dutra")</f>
        <v/>
      </c>
      <c r="B777" s="1">
        <f>HYPERLINK("https://eurofarma-latam-crm.veevavault.com/#object/account__v/V4TZ000018NY1F6", "Gisela Oliveira Dutra")</f>
        <v/>
      </c>
      <c r="C777" t="inlineStr">
        <is>
          <t>RJ0648787</t>
        </is>
      </c>
      <c r="D777" t="inlineStr">
        <is>
          <t>PED</t>
        </is>
      </c>
      <c r="E777" t="inlineStr">
        <is>
          <t>Rua Major Félix Moreira, 85 - Sala 102</t>
        </is>
      </c>
      <c r="F777" t="inlineStr">
        <is>
          <t>Centro</t>
        </is>
      </c>
      <c r="G777" t="inlineStr">
        <is>
          <t>Araruama</t>
        </is>
      </c>
      <c r="H777" t="inlineStr">
        <is>
          <t>RJ</t>
        </is>
      </c>
      <c r="I777" t="n">
        <v>5153</v>
      </c>
      <c r="J777" t="inlineStr">
        <is>
          <t>CAT 4</t>
        </is>
      </c>
      <c r="K777" t="inlineStr">
        <is>
          <t>Sim</t>
        </is>
      </c>
    </row>
    <row r="778">
      <c r="A778" s="1">
        <f>HYPERLINK("https://eurofarma-latam-crm.veevavault.com/#object/account__v/V4TZ000019167BC", "Giseli Quintanilha")</f>
        <v/>
      </c>
      <c r="B778" s="1">
        <f>HYPERLINK("https://eurofarma-latam-crm.veevavault.com/#object/account__v/V4TZ000019167BC", "Giseli da Silva Quintanilha")</f>
        <v/>
      </c>
      <c r="C778" t="inlineStr">
        <is>
          <t>RJ0715042</t>
        </is>
      </c>
      <c r="D778" t="inlineStr">
        <is>
          <t>NEU</t>
        </is>
      </c>
      <c r="E778" t="inlineStr">
        <is>
          <t>Rua Manoel de Abreu, 9 - Parte</t>
        </is>
      </c>
      <c r="F778" t="inlineStr">
        <is>
          <t>Centro</t>
        </is>
      </c>
      <c r="G778" t="inlineStr">
        <is>
          <t>Niterói</t>
        </is>
      </c>
      <c r="H778" t="inlineStr">
        <is>
          <t>RJ</t>
        </is>
      </c>
      <c r="I778" t="n">
        <v>5153</v>
      </c>
      <c r="J778" t="inlineStr">
        <is>
          <t>CAT 3</t>
        </is>
      </c>
      <c r="K778" t="inlineStr">
        <is>
          <t>Sim</t>
        </is>
      </c>
    </row>
    <row r="779">
      <c r="A779" s="1">
        <f>HYPERLINK("https://eurofarma-latam-crm.veevavault.com/#object/account__v/V4TZ00001914HB1", "Glieb Pereira")</f>
        <v/>
      </c>
      <c r="B779" s="1">
        <f>HYPERLINK("https://eurofarma-latam-crm.veevavault.com/#object/account__v/V4TZ00001914HB1", "Glieb Ávila Pereira")</f>
        <v/>
      </c>
      <c r="C779" t="inlineStr">
        <is>
          <t>RJ0080016</t>
        </is>
      </c>
      <c r="D779" t="inlineStr">
        <is>
          <t>NEU</t>
        </is>
      </c>
      <c r="E779" t="inlineStr">
        <is>
          <t>Rua Marquês de Paraná, 233</t>
        </is>
      </c>
      <c r="F779" t="inlineStr">
        <is>
          <t>Centro</t>
        </is>
      </c>
      <c r="G779" t="inlineStr">
        <is>
          <t>Niterói</t>
        </is>
      </c>
      <c r="H779" t="inlineStr">
        <is>
          <t>RJ</t>
        </is>
      </c>
      <c r="I779" t="n">
        <v>5153</v>
      </c>
      <c r="J779" t="inlineStr">
        <is>
          <t>CAT 2</t>
        </is>
      </c>
      <c r="K779" t="inlineStr">
        <is>
          <t>Sim</t>
        </is>
      </c>
    </row>
    <row r="780">
      <c r="A780" s="1">
        <f>HYPERLINK("https://eurofarma-latam-crm.veevavault.com/#object/account__v/V4TZ0000191314A", "Graziella Biasotto")</f>
        <v/>
      </c>
      <c r="B780" s="1">
        <f>HYPERLINK("https://eurofarma-latam-crm.veevavault.com/#object/account__v/V4TZ0000191314A", "Graziella Bard de Carvalho Biasotto")</f>
        <v/>
      </c>
      <c r="C780" t="inlineStr">
        <is>
          <t>RJ0716553</t>
        </is>
      </c>
      <c r="D780" t="inlineStr">
        <is>
          <t>CLG / END</t>
        </is>
      </c>
      <c r="E780" t="inlineStr">
        <is>
          <t>Rua Ator Paulo Gustavo, 160 - Sala 815</t>
        </is>
      </c>
      <c r="F780" t="inlineStr">
        <is>
          <t>Icaraí</t>
        </is>
      </c>
      <c r="G780" t="inlineStr">
        <is>
          <t>Niterói</t>
        </is>
      </c>
      <c r="H780" t="inlineStr">
        <is>
          <t>RJ</t>
        </is>
      </c>
      <c r="I780" t="n">
        <v>5153</v>
      </c>
      <c r="J780" t="inlineStr">
        <is>
          <t>CAT 5</t>
        </is>
      </c>
      <c r="K780" t="inlineStr">
        <is>
          <t>Sim</t>
        </is>
      </c>
    </row>
    <row r="781">
      <c r="A781" s="1">
        <f>HYPERLINK("https://eurofarma-latam-crm.veevavault.com/#object/account__v/V4TZ00001913UJ3", "Guilherme Freitas")</f>
        <v/>
      </c>
      <c r="B781" s="1">
        <f>HYPERLINK("https://eurofarma-latam-crm.veevavault.com/#object/account__v/V4TZ00001913UJ3", "Guilherme Erthal de Paula Freitas")</f>
        <v/>
      </c>
      <c r="C781" t="inlineStr">
        <is>
          <t>RJ0028551</t>
        </is>
      </c>
      <c r="D781" t="inlineStr">
        <is>
          <t>CLG</t>
        </is>
      </c>
      <c r="E781" t="inlineStr"/>
      <c r="F781" t="inlineStr"/>
      <c r="G781" t="inlineStr"/>
      <c r="H781" t="inlineStr"/>
      <c r="I781" t="n">
        <v>5153</v>
      </c>
      <c r="J781" t="inlineStr">
        <is>
          <t>CAT 3</t>
        </is>
      </c>
      <c r="K781" t="inlineStr">
        <is>
          <t>Sim</t>
        </is>
      </c>
    </row>
    <row r="782">
      <c r="A782" s="1">
        <f>HYPERLINK("https://eurofarma-latam-crm.veevavault.com/#object/account__v/V4TZ00001914NNQ", "Guilherme Galvao")</f>
        <v/>
      </c>
      <c r="B782" s="1">
        <f>HYPERLINK("https://eurofarma-latam-crm.veevavault.com/#object/account__v/V4TZ00001914NNQ", "Guilherme Tauil Galvao")</f>
        <v/>
      </c>
      <c r="C782" t="inlineStr">
        <is>
          <t>RJ0936090</t>
        </is>
      </c>
      <c r="D782" t="inlineStr">
        <is>
          <t>PED</t>
        </is>
      </c>
      <c r="E782" t="inlineStr">
        <is>
          <t>Rua Lopes Trovão, 52 - Sala 705</t>
        </is>
      </c>
      <c r="F782" t="inlineStr">
        <is>
          <t>Icaraí</t>
        </is>
      </c>
      <c r="G782" t="inlineStr">
        <is>
          <t>Niterói</t>
        </is>
      </c>
      <c r="H782" t="inlineStr">
        <is>
          <t>RJ</t>
        </is>
      </c>
      <c r="I782" t="n">
        <v>5153</v>
      </c>
      <c r="J782" t="inlineStr"/>
      <c r="K782" t="inlineStr"/>
    </row>
    <row r="783">
      <c r="A783" s="1">
        <f>HYPERLINK("https://eurofarma-latam-crm.veevavault.com/#object/account__v/V4TZ00001913QWC", "Guilherme Torezani")</f>
        <v/>
      </c>
      <c r="B783" s="1">
        <f>HYPERLINK("https://eurofarma-latam-crm.veevavault.com/#object/account__v/V4TZ00001913QWC", "Guilherme Sperling Torezani")</f>
        <v/>
      </c>
      <c r="C783" t="inlineStr">
        <is>
          <t>RJ1024230</t>
        </is>
      </c>
      <c r="D783" t="inlineStr">
        <is>
          <t>NEU</t>
        </is>
      </c>
      <c r="E783" t="inlineStr">
        <is>
          <t>Rua Miguel de Frias, 77 - Parte Sala 1311 1312 E 1313</t>
        </is>
      </c>
      <c r="F783" t="inlineStr">
        <is>
          <t>Icaraí</t>
        </is>
      </c>
      <c r="G783" t="inlineStr">
        <is>
          <t>Niterói</t>
        </is>
      </c>
      <c r="H783" t="inlineStr">
        <is>
          <t>RJ</t>
        </is>
      </c>
      <c r="I783" t="n">
        <v>5153</v>
      </c>
      <c r="J783" t="inlineStr">
        <is>
          <t>CAT 4</t>
        </is>
      </c>
      <c r="K783" t="inlineStr">
        <is>
          <t>Sim</t>
        </is>
      </c>
    </row>
    <row r="784">
      <c r="A784" s="1">
        <f>HYPERLINK("https://eurofarma-latam-crm.veevavault.com/#object/account__v/V4TZ00001912X11", "Gustavo Felix")</f>
        <v/>
      </c>
      <c r="B784" s="1">
        <f>HYPERLINK("https://eurofarma-latam-crm.veevavault.com/#object/account__v/V4TZ00001912X11", "Gustavo Felix")</f>
        <v/>
      </c>
      <c r="C784" t="inlineStr">
        <is>
          <t>RJ1043579</t>
        </is>
      </c>
      <c r="D784" t="inlineStr">
        <is>
          <t>ORL</t>
        </is>
      </c>
      <c r="E784" t="inlineStr">
        <is>
          <t>Avenida Feliciano Sodré, 47 - Parte</t>
        </is>
      </c>
      <c r="F784" t="inlineStr">
        <is>
          <t>Centro</t>
        </is>
      </c>
      <c r="G784" t="inlineStr">
        <is>
          <t>Niterói</t>
        </is>
      </c>
      <c r="H784" t="inlineStr">
        <is>
          <t>RJ</t>
        </is>
      </c>
      <c r="I784" t="n">
        <v>5153</v>
      </c>
      <c r="J784" t="inlineStr">
        <is>
          <t>CAT 4</t>
        </is>
      </c>
      <c r="K784" t="inlineStr">
        <is>
          <t>Sim</t>
        </is>
      </c>
    </row>
    <row r="785">
      <c r="A785" s="1">
        <f>HYPERLINK("https://eurofarma-latam-crm.veevavault.com/#object/account__v/V4TZ00001915MBK", "Gustavo Moraes")</f>
        <v/>
      </c>
      <c r="B785" s="1">
        <f>HYPERLINK("https://eurofarma-latam-crm.veevavault.com/#object/account__v/V4TZ00001915MBK", "Gustavo Figueiredo Moraes")</f>
        <v/>
      </c>
      <c r="C785" t="inlineStr">
        <is>
          <t>RJ0607028</t>
        </is>
      </c>
      <c r="D785" t="inlineStr">
        <is>
          <t>GAS</t>
        </is>
      </c>
      <c r="E785" t="inlineStr">
        <is>
          <t>Rua da Conceição, 188 - 2004 A</t>
        </is>
      </c>
      <c r="F785" t="inlineStr">
        <is>
          <t>Centro</t>
        </is>
      </c>
      <c r="G785" t="inlineStr">
        <is>
          <t>Niterói</t>
        </is>
      </c>
      <c r="H785" t="inlineStr">
        <is>
          <t>RJ</t>
        </is>
      </c>
      <c r="I785" t="n">
        <v>5153</v>
      </c>
      <c r="J785" t="inlineStr"/>
      <c r="K785" t="inlineStr"/>
    </row>
    <row r="786">
      <c r="A786" s="1">
        <f>HYPERLINK("https://eurofarma-latam-crm.veevavault.com/#object/account__v/V4TZ000018NXRRB", "Heleno Augusto da Silva")</f>
        <v/>
      </c>
      <c r="B786" s="1">
        <f>HYPERLINK("https://eurofarma-latam-crm.veevavault.com/#object/account__v/V4TZ000018NXRRB", "Heleno Augusto Moreira da Silva")</f>
        <v/>
      </c>
      <c r="C786" t="inlineStr">
        <is>
          <t>RJ0781533</t>
        </is>
      </c>
      <c r="D786" t="inlineStr">
        <is>
          <t>URO</t>
        </is>
      </c>
      <c r="E786" t="inlineStr">
        <is>
          <t>Rua Ator Paulo Gustavo, 26 - Sala 709</t>
        </is>
      </c>
      <c r="F786" t="inlineStr">
        <is>
          <t>Icaraí</t>
        </is>
      </c>
      <c r="G786" t="inlineStr">
        <is>
          <t>Niterói</t>
        </is>
      </c>
      <c r="H786" t="inlineStr">
        <is>
          <t>RJ</t>
        </is>
      </c>
      <c r="I786" t="n">
        <v>5153</v>
      </c>
      <c r="J786" t="inlineStr">
        <is>
          <t>CAT 5</t>
        </is>
      </c>
      <c r="K786" t="inlineStr">
        <is>
          <t>Sim</t>
        </is>
      </c>
    </row>
    <row r="787">
      <c r="A787" s="1">
        <f>HYPERLINK("https://eurofarma-latam-crm.veevavault.com/#object/account__v/V4TZ000018NYXP9", "Herval José da Silveira Filho")</f>
        <v/>
      </c>
      <c r="B787" s="1">
        <f>HYPERLINK("https://eurofarma-latam-crm.veevavault.com/#object/account__v/V4TZ000018NYXP9", "Herval José da Silveira Filho")</f>
        <v/>
      </c>
      <c r="C787" t="inlineStr">
        <is>
          <t>RJ1077023</t>
        </is>
      </c>
      <c r="D787" t="inlineStr">
        <is>
          <t>END</t>
        </is>
      </c>
      <c r="E787" t="inlineStr">
        <is>
          <t>Rua César Xará, S/N</t>
        </is>
      </c>
      <c r="F787" t="inlineStr">
        <is>
          <t>Quissamã</t>
        </is>
      </c>
      <c r="G787" t="inlineStr">
        <is>
          <t>Itaboraí</t>
        </is>
      </c>
      <c r="H787" t="inlineStr">
        <is>
          <t>RJ</t>
        </is>
      </c>
      <c r="I787" t="n">
        <v>5153</v>
      </c>
      <c r="J787" t="inlineStr">
        <is>
          <t>CAT 4</t>
        </is>
      </c>
      <c r="K787" t="inlineStr">
        <is>
          <t>Sim</t>
        </is>
      </c>
    </row>
    <row r="788">
      <c r="A788" s="1">
        <f>HYPERLINK("https://eurofarma-latam-crm.veevavault.com/#object/account__v/V4TZ025E893VX0H", "Iago Klausner")</f>
        <v/>
      </c>
      <c r="B788" s="1">
        <f>HYPERLINK("https://eurofarma-latam-crm.veevavault.com/#object/account__v/V4TZ025E893VX0H", "Iago Leonard dos Reis Klausner")</f>
        <v/>
      </c>
      <c r="C788" t="inlineStr">
        <is>
          <t>RJ1338358</t>
        </is>
      </c>
      <c r="D788" t="inlineStr">
        <is>
          <t>ORT</t>
        </is>
      </c>
      <c r="E788" t="inlineStr">
        <is>
          <t>Rua Mariz e Barros, 283</t>
        </is>
      </c>
      <c r="F788" t="inlineStr">
        <is>
          <t>Icaraí</t>
        </is>
      </c>
      <c r="G788" t="inlineStr">
        <is>
          <t>Niterói</t>
        </is>
      </c>
      <c r="H788" t="inlineStr">
        <is>
          <t>RJ</t>
        </is>
      </c>
      <c r="I788" t="n">
        <v>5153</v>
      </c>
      <c r="J788" t="inlineStr">
        <is>
          <t>CAT 5</t>
        </is>
      </c>
      <c r="K788" t="inlineStr">
        <is>
          <t>Sim</t>
        </is>
      </c>
    </row>
    <row r="789">
      <c r="A789" s="1">
        <f>HYPERLINK("https://eurofarma-latam-crm.veevavault.com/#object/account__v/V4TZ000018NYJGT", "Igor Pinheiro")</f>
        <v/>
      </c>
      <c r="B789" s="1">
        <f>HYPERLINK("https://eurofarma-latam-crm.veevavault.com/#object/account__v/V4TZ000018NYJGT", "Igor Natario Pinheiro")</f>
        <v/>
      </c>
      <c r="C789" t="inlineStr">
        <is>
          <t>RJ0968129</t>
        </is>
      </c>
      <c r="D789" t="inlineStr">
        <is>
          <t>ORT</t>
        </is>
      </c>
      <c r="E789" t="inlineStr">
        <is>
          <t>Rua Mariz e Barros, 775</t>
        </is>
      </c>
      <c r="F789" t="inlineStr">
        <is>
          <t>Maracanã</t>
        </is>
      </c>
      <c r="G789" t="inlineStr">
        <is>
          <t>Rio de Janeiro</t>
        </is>
      </c>
      <c r="H789" t="inlineStr">
        <is>
          <t>RJ</t>
        </is>
      </c>
      <c r="I789" t="n">
        <v>5153</v>
      </c>
      <c r="J789" t="inlineStr">
        <is>
          <t>CAT 5</t>
        </is>
      </c>
      <c r="K789" t="inlineStr">
        <is>
          <t>Sim</t>
        </is>
      </c>
    </row>
    <row r="790">
      <c r="A790" s="1">
        <f>HYPERLINK("https://eurofarma-latam-crm.veevavault.com/#object/account__v/V4T00000001J164", "Igor Ribeiro")</f>
        <v/>
      </c>
      <c r="B790" s="1">
        <f>HYPERLINK("https://eurofarma-latam-crm.veevavault.com/#object/account__v/V4T00000001J164", "Igor Mattos Ribeiro")</f>
        <v/>
      </c>
      <c r="C790" t="inlineStr">
        <is>
          <t>RJ1415589</t>
        </is>
      </c>
      <c r="D790" t="inlineStr">
        <is>
          <t>CLG / PA</t>
        </is>
      </c>
      <c r="E790" t="inlineStr">
        <is>
          <t>Rua General Pereira da Silva, 278</t>
        </is>
      </c>
      <c r="F790" t="inlineStr">
        <is>
          <t>Icaraí</t>
        </is>
      </c>
      <c r="G790" t="inlineStr">
        <is>
          <t>Niterói</t>
        </is>
      </c>
      <c r="H790" t="inlineStr">
        <is>
          <t>RJ</t>
        </is>
      </c>
      <c r="I790" t="n">
        <v>5153</v>
      </c>
      <c r="J790" t="inlineStr"/>
      <c r="K790" t="inlineStr"/>
    </row>
    <row r="791">
      <c r="A791" s="1">
        <f>HYPERLINK("https://eurofarma-latam-crm.veevavault.com/#object/account__v/V4TZ00001913QTV", "Isabel Maria Teixeira")</f>
        <v/>
      </c>
      <c r="B791" s="1">
        <f>HYPERLINK("https://eurofarma-latam-crm.veevavault.com/#object/account__v/V4TZ00001913QTV", "Isabel Maria Nogueira Teixeira")</f>
        <v/>
      </c>
      <c r="C791" t="inlineStr">
        <is>
          <t>RJ0736392</t>
        </is>
      </c>
      <c r="D791" t="inlineStr">
        <is>
          <t>CLG</t>
        </is>
      </c>
      <c r="E791" t="inlineStr">
        <is>
          <t>Rua Manoel de Abreu, 9 - Parte</t>
        </is>
      </c>
      <c r="F791" t="inlineStr">
        <is>
          <t>Centro</t>
        </is>
      </c>
      <c r="G791" t="inlineStr">
        <is>
          <t>Niterói</t>
        </is>
      </c>
      <c r="H791" t="inlineStr">
        <is>
          <t>RJ</t>
        </is>
      </c>
      <c r="I791" t="n">
        <v>5153</v>
      </c>
      <c r="J791" t="inlineStr">
        <is>
          <t>CAT 3</t>
        </is>
      </c>
      <c r="K791" t="inlineStr">
        <is>
          <t>Sim</t>
        </is>
      </c>
    </row>
    <row r="792">
      <c r="A792" s="1">
        <f>HYPERLINK("https://eurofarma-latam-crm.veevavault.com/#object/account__v/V4TZ00001914268", "Isabella Meira")</f>
        <v/>
      </c>
      <c r="B792" s="1">
        <f>HYPERLINK("https://eurofarma-latam-crm.veevavault.com/#object/account__v/V4TZ00001914268", "Isabella D'Andrea Meira")</f>
        <v/>
      </c>
      <c r="C792" t="inlineStr">
        <is>
          <t>RJ0626953</t>
        </is>
      </c>
      <c r="D792" t="inlineStr">
        <is>
          <t>NEU</t>
        </is>
      </c>
      <c r="E792" t="inlineStr">
        <is>
          <t>Rua Marquês de Paraná, 303</t>
        </is>
      </c>
      <c r="F792" t="inlineStr">
        <is>
          <t>Centro</t>
        </is>
      </c>
      <c r="G792" t="inlineStr">
        <is>
          <t>Niterói</t>
        </is>
      </c>
      <c r="H792" t="inlineStr">
        <is>
          <t>RJ</t>
        </is>
      </c>
      <c r="I792" t="n">
        <v>5153</v>
      </c>
      <c r="J792" t="inlineStr">
        <is>
          <t>CAT 1</t>
        </is>
      </c>
      <c r="K792" t="inlineStr">
        <is>
          <t>Sim</t>
        </is>
      </c>
    </row>
    <row r="793">
      <c r="A793" s="1">
        <f>HYPERLINK("https://eurofarma-latam-crm.veevavault.com/#object/account__v/V4TZ0000191371H", "Isabelle de Oliveira")</f>
        <v/>
      </c>
      <c r="B793" s="1">
        <f>HYPERLINK("https://eurofarma-latam-crm.veevavault.com/#object/account__v/V4TZ0000191371H", "Isabelle Rangel de Oliveira")</f>
        <v/>
      </c>
      <c r="C793" t="inlineStr">
        <is>
          <t>RJ0688509</t>
        </is>
      </c>
      <c r="D793" t="inlineStr">
        <is>
          <t>PED</t>
        </is>
      </c>
      <c r="E793" t="inlineStr">
        <is>
          <t>Rua Lopes Trovão, 448 - Sala 901</t>
        </is>
      </c>
      <c r="F793" t="inlineStr">
        <is>
          <t>Icaraí</t>
        </is>
      </c>
      <c r="G793" t="inlineStr">
        <is>
          <t>Niterói</t>
        </is>
      </c>
      <c r="H793" t="inlineStr">
        <is>
          <t>RJ</t>
        </is>
      </c>
      <c r="I793" t="n">
        <v>5153</v>
      </c>
      <c r="J793" t="inlineStr">
        <is>
          <t>CAT 4</t>
        </is>
      </c>
      <c r="K793" t="inlineStr">
        <is>
          <t>Sim</t>
        </is>
      </c>
    </row>
    <row r="794">
      <c r="A794" s="1">
        <f>HYPERLINK("https://eurofarma-latam-crm.veevavault.com/#object/account__v/V4TZ000018NY88G", "Isis Carvalho")</f>
        <v/>
      </c>
      <c r="B794" s="1">
        <f>HYPERLINK("https://eurofarma-latam-crm.veevavault.com/#object/account__v/V4TZ000018NY88G", "Isis Reis Carvalho")</f>
        <v/>
      </c>
      <c r="C794" t="inlineStr">
        <is>
          <t>RJ0928780</t>
        </is>
      </c>
      <c r="D794" t="inlineStr">
        <is>
          <t>RMT</t>
        </is>
      </c>
      <c r="E794" t="inlineStr">
        <is>
          <t>Rua Ator Paulo Gustavo, 26 - Sala 1416</t>
        </is>
      </c>
      <c r="F794" t="inlineStr">
        <is>
          <t>Icaraí</t>
        </is>
      </c>
      <c r="G794" t="inlineStr">
        <is>
          <t>Niterói</t>
        </is>
      </c>
      <c r="H794" t="inlineStr">
        <is>
          <t>RJ</t>
        </is>
      </c>
      <c r="I794" t="n">
        <v>5153</v>
      </c>
      <c r="J794" t="inlineStr">
        <is>
          <t>CAT 4</t>
        </is>
      </c>
      <c r="K794" t="inlineStr">
        <is>
          <t>Sim</t>
        </is>
      </c>
    </row>
    <row r="795">
      <c r="A795" s="1">
        <f>HYPERLINK("https://eurofarma-latam-crm.veevavault.com/#object/account__v/V4TZ00001915FA0", "Isis Rodrigues")</f>
        <v/>
      </c>
      <c r="B795" s="1">
        <f>HYPERLINK("https://eurofarma-latam-crm.veevavault.com/#object/account__v/V4TZ00001915FA0", "Isis Cerqueira Chagas Rodrigues")</f>
        <v/>
      </c>
      <c r="C795" t="inlineStr">
        <is>
          <t>RJ0447239</t>
        </is>
      </c>
      <c r="D795" t="inlineStr">
        <is>
          <t>PSQ</t>
        </is>
      </c>
      <c r="E795" t="inlineStr">
        <is>
          <t>Rua Doutor Tavares de Macedo, 95 - Sala 1108</t>
        </is>
      </c>
      <c r="F795" t="inlineStr">
        <is>
          <t>Icaraí</t>
        </is>
      </c>
      <c r="G795" t="inlineStr">
        <is>
          <t>Niterói</t>
        </is>
      </c>
      <c r="H795" t="inlineStr">
        <is>
          <t>RJ</t>
        </is>
      </c>
      <c r="I795" t="n">
        <v>5153</v>
      </c>
      <c r="J795" t="inlineStr">
        <is>
          <t>CAT 2</t>
        </is>
      </c>
      <c r="K795" t="inlineStr">
        <is>
          <t>Sim</t>
        </is>
      </c>
    </row>
    <row r="796">
      <c r="A796" s="1">
        <f>HYPERLINK("https://eurofarma-latam-crm.veevavault.com/#object/account__v/V4TZ00001915O37", "Ivan Martins")</f>
        <v/>
      </c>
      <c r="B796" s="1">
        <f>HYPERLINK("https://eurofarma-latam-crm.veevavault.com/#object/account__v/V4TZ00001915O37", "Ivan Schumann Marques Martins")</f>
        <v/>
      </c>
      <c r="C796" t="inlineStr">
        <is>
          <t>RJ0355089</t>
        </is>
      </c>
      <c r="D796" t="inlineStr">
        <is>
          <t>CLG / SNC</t>
        </is>
      </c>
      <c r="E796" t="inlineStr">
        <is>
          <t>Rua Coronel Moreira Cesar, 229 - Sala 1714</t>
        </is>
      </c>
      <c r="F796" t="inlineStr">
        <is>
          <t>Icaraí</t>
        </is>
      </c>
      <c r="G796" t="inlineStr">
        <is>
          <t>Niterói</t>
        </is>
      </c>
      <c r="H796" t="inlineStr">
        <is>
          <t>RJ</t>
        </is>
      </c>
      <c r="I796" t="n">
        <v>5153</v>
      </c>
      <c r="J796" t="inlineStr">
        <is>
          <t>CAT 5</t>
        </is>
      </c>
      <c r="K796" t="inlineStr">
        <is>
          <t>Sim</t>
        </is>
      </c>
    </row>
    <row r="797">
      <c r="A797" s="1">
        <f>HYPERLINK("https://eurofarma-latam-crm.veevavault.com/#object/account__v/V4TZ00001913EP9", "Jackson Galeno")</f>
        <v/>
      </c>
      <c r="B797" s="1">
        <f>HYPERLINK("https://eurofarma-latam-crm.veevavault.com/#object/account__v/V4TZ00001913EP9", "Jackson Ferreira Galeno")</f>
        <v/>
      </c>
      <c r="C797" t="inlineStr">
        <is>
          <t>RJ0361240</t>
        </is>
      </c>
      <c r="D797" t="inlineStr">
        <is>
          <t>ORT</t>
        </is>
      </c>
      <c r="E797" t="inlineStr">
        <is>
          <t>Rua Cinco de Julho, 263</t>
        </is>
      </c>
      <c r="F797" t="inlineStr">
        <is>
          <t>Icaraí</t>
        </is>
      </c>
      <c r="G797" t="inlineStr">
        <is>
          <t>Niterói</t>
        </is>
      </c>
      <c r="H797" t="inlineStr">
        <is>
          <t>RJ</t>
        </is>
      </c>
      <c r="I797" t="n">
        <v>5153</v>
      </c>
      <c r="J797" t="inlineStr">
        <is>
          <t>CAT 5</t>
        </is>
      </c>
      <c r="K797" t="inlineStr">
        <is>
          <t>Sim</t>
        </is>
      </c>
    </row>
    <row r="798">
      <c r="A798" s="1">
        <f>HYPERLINK("https://eurofarma-latam-crm.veevavault.com/#object/account__v/V4T00000001I476", "Jacqueline Serra")</f>
        <v/>
      </c>
      <c r="B798" s="1">
        <f>HYPERLINK("https://eurofarma-latam-crm.veevavault.com/#object/account__v/V4T00000001I476", "Jacqueline Monte Castro Serra")</f>
        <v/>
      </c>
      <c r="C798" t="inlineStr">
        <is>
          <t>RJ0492487</t>
        </is>
      </c>
      <c r="D798" t="inlineStr"/>
      <c r="E798" t="inlineStr">
        <is>
          <t>Rua Presidente Backer, 149 - Sala 805</t>
        </is>
      </c>
      <c r="F798" t="inlineStr">
        <is>
          <t>Icaraí</t>
        </is>
      </c>
      <c r="G798" t="inlineStr">
        <is>
          <t>Niterói</t>
        </is>
      </c>
      <c r="H798" t="inlineStr">
        <is>
          <t>RJ</t>
        </is>
      </c>
      <c r="I798" t="n">
        <v>5153</v>
      </c>
      <c r="J798" t="inlineStr"/>
      <c r="K798" t="inlineStr"/>
    </row>
    <row r="799">
      <c r="A799" s="1">
        <f>HYPERLINK("https://eurofarma-latam-crm.veevavault.com/#object/account__v/V4TZ0000191425N", "Jano de Souza")</f>
        <v/>
      </c>
      <c r="B799" s="1">
        <f>HYPERLINK("https://eurofarma-latam-crm.veevavault.com/#object/account__v/V4TZ0000191425N", "Jano Alves de Souza")</f>
        <v/>
      </c>
      <c r="C799" t="inlineStr">
        <is>
          <t>RJ0489290</t>
        </is>
      </c>
      <c r="D799" t="inlineStr">
        <is>
          <t>NEU</t>
        </is>
      </c>
      <c r="E799" t="inlineStr">
        <is>
          <t>Rua Otávio Carneiro, 143 - Sala 609</t>
        </is>
      </c>
      <c r="F799" t="inlineStr">
        <is>
          <t>Icaraí</t>
        </is>
      </c>
      <c r="G799" t="inlineStr">
        <is>
          <t>Niterói</t>
        </is>
      </c>
      <c r="H799" t="inlineStr">
        <is>
          <t>RJ</t>
        </is>
      </c>
      <c r="I799" t="n">
        <v>5153</v>
      </c>
      <c r="J799" t="inlineStr">
        <is>
          <t>CAT 1</t>
        </is>
      </c>
      <c r="K799" t="inlineStr">
        <is>
          <t>Sim</t>
        </is>
      </c>
    </row>
    <row r="800">
      <c r="A800" s="1">
        <f>HYPERLINK("https://eurofarma-latam-crm.veevavault.com/#object/account__v/V4TZ00001916D3W", "Jarbas Faria")</f>
        <v/>
      </c>
      <c r="B800" s="1">
        <f>HYPERLINK("https://eurofarma-latam-crm.veevavault.com/#object/account__v/V4TZ00001916D3W", "Jarbas Camara Pache de Faria")</f>
        <v/>
      </c>
      <c r="C800" t="inlineStr">
        <is>
          <t>RJ0226185</t>
        </is>
      </c>
      <c r="D800" t="inlineStr">
        <is>
          <t>ORL</t>
        </is>
      </c>
      <c r="E800" t="inlineStr">
        <is>
          <t>Rua Riachuelo, 43</t>
        </is>
      </c>
      <c r="F800" t="inlineStr">
        <is>
          <t>Centro</t>
        </is>
      </c>
      <c r="G800" t="inlineStr">
        <is>
          <t>Rio de Janeiro</t>
        </is>
      </c>
      <c r="H800" t="inlineStr">
        <is>
          <t>RJ</t>
        </is>
      </c>
      <c r="I800" t="n">
        <v>5153</v>
      </c>
      <c r="J800" t="inlineStr">
        <is>
          <t>CAT 4</t>
        </is>
      </c>
      <c r="K800" t="inlineStr">
        <is>
          <t>Sim</t>
        </is>
      </c>
    </row>
    <row r="801">
      <c r="A801" s="1">
        <f>HYPERLINK("https://eurofarma-latam-crm.veevavault.com/#object/account__v/V4TZ000018NY92K", "Jeferson Meirelles")</f>
        <v/>
      </c>
      <c r="B801" s="1">
        <f>HYPERLINK("https://eurofarma-latam-crm.veevavault.com/#object/account__v/V4TZ000018NY92K", "Jeferson Obeica Meirelles")</f>
        <v/>
      </c>
      <c r="C801" t="inlineStr">
        <is>
          <t>RJ0464249</t>
        </is>
      </c>
      <c r="D801" t="inlineStr">
        <is>
          <t>NEU</t>
        </is>
      </c>
      <c r="E801" t="inlineStr">
        <is>
          <t>Rua Miguel de Frias, 51 - Sala 801</t>
        </is>
      </c>
      <c r="F801" t="inlineStr">
        <is>
          <t>Icaraí</t>
        </is>
      </c>
      <c r="G801" t="inlineStr">
        <is>
          <t>Niterói</t>
        </is>
      </c>
      <c r="H801" t="inlineStr">
        <is>
          <t>RJ</t>
        </is>
      </c>
      <c r="I801" t="n">
        <v>5153</v>
      </c>
      <c r="J801" t="inlineStr">
        <is>
          <t>CAT 2</t>
        </is>
      </c>
      <c r="K801" t="inlineStr">
        <is>
          <t>Sim</t>
        </is>
      </c>
    </row>
    <row r="802">
      <c r="A802" s="1">
        <f>HYPERLINK("https://eurofarma-latam-crm.veevavault.com/#object/account__v/V4TZ025E88X9S6E", "João Marcio Albernaz")</f>
        <v/>
      </c>
      <c r="B802" s="1">
        <f>HYPERLINK("https://eurofarma-latam-crm.veevavault.com/#object/account__v/V4TZ025E88X9S6E", "João Marcio Leão Albernaz")</f>
        <v/>
      </c>
      <c r="C802" t="inlineStr">
        <is>
          <t>RJ0731722</t>
        </is>
      </c>
      <c r="D802" t="inlineStr">
        <is>
          <t>PED</t>
        </is>
      </c>
      <c r="E802" t="inlineStr">
        <is>
          <t>Estrada do Tindiba, 2695 - Loja A</t>
        </is>
      </c>
      <c r="F802" t="inlineStr">
        <is>
          <t>Taquara</t>
        </is>
      </c>
      <c r="G802" t="inlineStr">
        <is>
          <t>Rio de Janeiro</t>
        </is>
      </c>
      <c r="H802" t="inlineStr">
        <is>
          <t>RJ</t>
        </is>
      </c>
      <c r="I802" t="n">
        <v>5153</v>
      </c>
      <c r="J802" t="inlineStr">
        <is>
          <t>CAT 4</t>
        </is>
      </c>
      <c r="K802" t="inlineStr">
        <is>
          <t>Sim</t>
        </is>
      </c>
    </row>
    <row r="803">
      <c r="A803" s="1">
        <f>HYPERLINK("https://eurofarma-latam-crm.veevavault.com/#object/account__v/V4TZ000019167EO", "João Marcos Ribeiro")</f>
        <v/>
      </c>
      <c r="B803" s="1">
        <f>HYPERLINK("https://eurofarma-latam-crm.veevavault.com/#object/account__v/V4TZ000019167EO", "João Marcos Marcelino Chaves Ribeiro")</f>
        <v/>
      </c>
      <c r="C803" t="inlineStr">
        <is>
          <t>MG0087038,RJ1183621</t>
        </is>
      </c>
      <c r="D803" t="inlineStr">
        <is>
          <t>ORT</t>
        </is>
      </c>
      <c r="E803" t="inlineStr">
        <is>
          <t>Rua Einstein, 130</t>
        </is>
      </c>
      <c r="F803" t="inlineStr">
        <is>
          <t>Barra da Tijuca</t>
        </is>
      </c>
      <c r="G803" t="inlineStr">
        <is>
          <t>Rio de Janeiro</t>
        </is>
      </c>
      <c r="H803" t="inlineStr">
        <is>
          <t>RJ</t>
        </is>
      </c>
      <c r="I803" t="n">
        <v>5153</v>
      </c>
      <c r="J803" t="inlineStr"/>
      <c r="K803" t="inlineStr"/>
    </row>
    <row r="804">
      <c r="A804" s="1">
        <f>HYPERLINK("https://eurofarma-latam-crm.veevavault.com/#object/account__v/V4TZ000018NXTWB", "João Ricardo de Souza")</f>
        <v/>
      </c>
      <c r="B804" s="1">
        <f>HYPERLINK("https://eurofarma-latam-crm.veevavault.com/#object/account__v/V4TZ000018NXTWB", "João Ricardo Gonçalves de Souza")</f>
        <v/>
      </c>
      <c r="C804" t="inlineStr">
        <is>
          <t>RJ0471261</t>
        </is>
      </c>
      <c r="D804" t="inlineStr">
        <is>
          <t>ORT</t>
        </is>
      </c>
      <c r="E804" t="inlineStr">
        <is>
          <t>Rua Coronel Moreira Cesar, 26 - Sala 1413</t>
        </is>
      </c>
      <c r="F804" t="inlineStr">
        <is>
          <t>Icaraí</t>
        </is>
      </c>
      <c r="G804" t="inlineStr">
        <is>
          <t>Niterói</t>
        </is>
      </c>
      <c r="H804" t="inlineStr">
        <is>
          <t>RJ</t>
        </is>
      </c>
      <c r="I804" t="n">
        <v>5153</v>
      </c>
      <c r="J804" t="inlineStr">
        <is>
          <t>CAT 5</t>
        </is>
      </c>
      <c r="K804" t="inlineStr">
        <is>
          <t>N�o</t>
        </is>
      </c>
    </row>
    <row r="805">
      <c r="A805" s="1">
        <f>HYPERLINK("https://eurofarma-latam-crm.veevavault.com/#object/account__v/V4TZ000018NYA7I", "Jorge Bouhid")</f>
        <v/>
      </c>
      <c r="B805" s="1">
        <f>HYPERLINK("https://eurofarma-latam-crm.veevavault.com/#object/account__v/V4TZ000018NYA7I", "Jorge Mauricio Bouhid")</f>
        <v/>
      </c>
      <c r="C805" t="inlineStr">
        <is>
          <t>RJ0218079</t>
        </is>
      </c>
      <c r="D805" t="inlineStr">
        <is>
          <t>PSQ</t>
        </is>
      </c>
      <c r="E805" t="inlineStr">
        <is>
          <t>Rua Coronel Moreira Cesar, 229 - Sala 1304</t>
        </is>
      </c>
      <c r="F805" t="inlineStr">
        <is>
          <t>Icaraí</t>
        </is>
      </c>
      <c r="G805" t="inlineStr">
        <is>
          <t>Niterói</t>
        </is>
      </c>
      <c r="H805" t="inlineStr">
        <is>
          <t>RJ</t>
        </is>
      </c>
      <c r="I805" t="n">
        <v>5153</v>
      </c>
      <c r="J805" t="inlineStr">
        <is>
          <t>CAT 4</t>
        </is>
      </c>
      <c r="K805" t="inlineStr">
        <is>
          <t>Sim</t>
        </is>
      </c>
    </row>
    <row r="806">
      <c r="A806" s="1">
        <f>HYPERLINK("https://eurofarma-latam-crm.veevavault.com/#object/account__v/V4TZ00001913G4G", "Jorge Fernando Felix")</f>
        <v/>
      </c>
      <c r="B806" s="1">
        <f>HYPERLINK("https://eurofarma-latam-crm.veevavault.com/#object/account__v/V4TZ00001913G4G", "Jorge Fernando Oliveira Felix")</f>
        <v/>
      </c>
      <c r="C806" t="inlineStr">
        <is>
          <t>RJ0604780</t>
        </is>
      </c>
      <c r="D806" t="inlineStr">
        <is>
          <t>ORT</t>
        </is>
      </c>
      <c r="E806" t="inlineStr">
        <is>
          <t>Rua Manoel de Abreu, 9 - Parte</t>
        </is>
      </c>
      <c r="F806" t="inlineStr">
        <is>
          <t>Centro</t>
        </is>
      </c>
      <c r="G806" t="inlineStr">
        <is>
          <t>Niterói</t>
        </is>
      </c>
      <c r="H806" t="inlineStr">
        <is>
          <t>RJ</t>
        </is>
      </c>
      <c r="I806" t="n">
        <v>5153</v>
      </c>
      <c r="J806" t="inlineStr">
        <is>
          <t>CAT 3</t>
        </is>
      </c>
      <c r="K806" t="inlineStr">
        <is>
          <t>Sim</t>
        </is>
      </c>
    </row>
    <row r="807">
      <c r="A807" s="1">
        <f>HYPERLINK("https://eurofarma-latam-crm.veevavault.com/#object/account__v/V4TZ000018NXUM5", "Jorge Gilberto Mendes")</f>
        <v/>
      </c>
      <c r="B807" s="1">
        <f>HYPERLINK("https://eurofarma-latam-crm.veevavault.com/#object/account__v/V4TZ000018NXUM5", "Jorge Gilberto Cipriano Mendes")</f>
        <v/>
      </c>
      <c r="C807" t="inlineStr">
        <is>
          <t>RJ0447512</t>
        </is>
      </c>
      <c r="D807" t="inlineStr">
        <is>
          <t>ORT</t>
        </is>
      </c>
      <c r="E807" t="inlineStr">
        <is>
          <t>Avenida Carlos Marighella, S/N - Quadra 33 Lote 09</t>
        </is>
      </c>
      <c r="F807" t="inlineStr">
        <is>
          <t>Barroco (Itaipuaçu)</t>
        </is>
      </c>
      <c r="G807" t="inlineStr">
        <is>
          <t>Maricá</t>
        </is>
      </c>
      <c r="H807" t="inlineStr">
        <is>
          <t>RJ</t>
        </is>
      </c>
      <c r="I807" t="n">
        <v>5153</v>
      </c>
      <c r="J807" t="inlineStr">
        <is>
          <t>CAT 4</t>
        </is>
      </c>
      <c r="K807" t="inlineStr">
        <is>
          <t>Sim</t>
        </is>
      </c>
    </row>
    <row r="808">
      <c r="A808" s="1">
        <f>HYPERLINK("https://eurofarma-latam-crm.veevavault.com/#object/account__v/V4TZ000019133P9", "Jorge Luiz Oliveira")</f>
        <v/>
      </c>
      <c r="B808" s="1">
        <f>HYPERLINK("https://eurofarma-latam-crm.veevavault.com/#object/account__v/V4TZ000019133P9", "Jorge Luiz da Cunha Oliveira")</f>
        <v/>
      </c>
      <c r="C808" t="inlineStr">
        <is>
          <t>RJ0350614</t>
        </is>
      </c>
      <c r="D808" t="inlineStr">
        <is>
          <t>GAS</t>
        </is>
      </c>
      <c r="E808" t="inlineStr">
        <is>
          <t>Rua Coronel Gomes Machado, 130 - Sala 901</t>
        </is>
      </c>
      <c r="F808" t="inlineStr">
        <is>
          <t>Centro</t>
        </is>
      </c>
      <c r="G808" t="inlineStr">
        <is>
          <t>Niterói</t>
        </is>
      </c>
      <c r="H808" t="inlineStr">
        <is>
          <t>RJ</t>
        </is>
      </c>
      <c r="I808" t="n">
        <v>5153</v>
      </c>
      <c r="J808" t="inlineStr">
        <is>
          <t>CAT 5</t>
        </is>
      </c>
      <c r="K808" t="inlineStr">
        <is>
          <t>Sim</t>
        </is>
      </c>
    </row>
    <row r="809">
      <c r="A809" s="1">
        <f>HYPERLINK("https://eurofarma-latam-crm.veevavault.com/#object/account__v/V4TZ00001914P1M", "Jose Antonio Felix")</f>
        <v/>
      </c>
      <c r="B809" s="1">
        <f>HYPERLINK("https://eurofarma-latam-crm.veevavault.com/#object/account__v/V4TZ00001914P1M", "Jose Antonio de Paula Felix")</f>
        <v/>
      </c>
      <c r="C809" t="inlineStr">
        <is>
          <t>RJ0030878</t>
        </is>
      </c>
      <c r="D809" t="inlineStr">
        <is>
          <t>ORL</t>
        </is>
      </c>
      <c r="E809" t="inlineStr">
        <is>
          <t>Rua Ator Paulo Gustavo, 229 - Salas 1610, 1611 e 1612</t>
        </is>
      </c>
      <c r="F809" t="inlineStr">
        <is>
          <t>Icaraí</t>
        </is>
      </c>
      <c r="G809" t="inlineStr">
        <is>
          <t>Niterói</t>
        </is>
      </c>
      <c r="H809" t="inlineStr">
        <is>
          <t>RJ</t>
        </is>
      </c>
      <c r="I809" t="n">
        <v>5153</v>
      </c>
      <c r="J809" t="inlineStr">
        <is>
          <t>CAT 4</t>
        </is>
      </c>
      <c r="K809" t="inlineStr">
        <is>
          <t>Sim</t>
        </is>
      </c>
    </row>
    <row r="810">
      <c r="A810" s="1">
        <f>HYPERLINK("https://eurofarma-latam-crm.veevavault.com/#object/account__v/V4TZ000018NY44Z", "Jose Barros Neto")</f>
        <v/>
      </c>
      <c r="B810" s="1">
        <f>HYPERLINK("https://eurofarma-latam-crm.veevavault.com/#object/account__v/V4TZ000018NY44Z", "Jose Antonio Nunes Barros Neto")</f>
        <v/>
      </c>
      <c r="C810" t="inlineStr">
        <is>
          <t>RJ0483590</t>
        </is>
      </c>
      <c r="D810" t="inlineStr">
        <is>
          <t>END</t>
        </is>
      </c>
      <c r="E810" t="inlineStr">
        <is>
          <t>Rua Miguel de Frias, 88 - Sala 1302</t>
        </is>
      </c>
      <c r="F810" t="inlineStr">
        <is>
          <t>Icaraí</t>
        </is>
      </c>
      <c r="G810" t="inlineStr">
        <is>
          <t>Niterói</t>
        </is>
      </c>
      <c r="H810" t="inlineStr">
        <is>
          <t>RJ</t>
        </is>
      </c>
      <c r="I810" t="n">
        <v>5153</v>
      </c>
      <c r="J810" t="inlineStr">
        <is>
          <t>CAT 3</t>
        </is>
      </c>
      <c r="K810" t="inlineStr">
        <is>
          <t>Sim</t>
        </is>
      </c>
    </row>
    <row r="811">
      <c r="A811" s="1">
        <f>HYPERLINK("https://eurofarma-latam-crm.veevavault.com/#object/account__v/V4TZ000019164KE", "José da Silva")</f>
        <v/>
      </c>
      <c r="B811" s="1">
        <f>HYPERLINK("https://eurofarma-latam-crm.veevavault.com/#object/account__v/V4TZ000019164KE", "José Gonzaga Rossi da Silva")</f>
        <v/>
      </c>
      <c r="C811" t="inlineStr">
        <is>
          <t>RJ0455606</t>
        </is>
      </c>
      <c r="D811" t="inlineStr">
        <is>
          <t>PED</t>
        </is>
      </c>
      <c r="E811" t="inlineStr">
        <is>
          <t>Avenida Doutor Eugênio Borges, S/N - Km 7</t>
        </is>
      </c>
      <c r="F811" t="inlineStr">
        <is>
          <t>Rio do Ouro</t>
        </is>
      </c>
      <c r="G811" t="inlineStr">
        <is>
          <t>São Gonçalo</t>
        </is>
      </c>
      <c r="H811" t="inlineStr">
        <is>
          <t>RJ</t>
        </is>
      </c>
      <c r="I811" t="n">
        <v>5153</v>
      </c>
      <c r="J811" t="inlineStr">
        <is>
          <t>CAT 5</t>
        </is>
      </c>
      <c r="K811" t="inlineStr">
        <is>
          <t>Sim</t>
        </is>
      </c>
    </row>
    <row r="812">
      <c r="A812" s="1">
        <f>HYPERLINK("https://eurofarma-latam-crm.veevavault.com/#object/account__v/V4TZ00001914KQT", "Jose Faria")</f>
        <v/>
      </c>
      <c r="B812" s="1">
        <f>HYPERLINK("https://eurofarma-latam-crm.veevavault.com/#object/account__v/V4TZ00001914KQT", "Jose de Castro Pache de Faria")</f>
        <v/>
      </c>
      <c r="C812" t="inlineStr">
        <is>
          <t>RJ0276250</t>
        </is>
      </c>
      <c r="D812" t="inlineStr">
        <is>
          <t>PED</t>
        </is>
      </c>
      <c r="E812" t="inlineStr">
        <is>
          <t>Rua Mem de Sá, 186</t>
        </is>
      </c>
      <c r="F812" t="inlineStr">
        <is>
          <t>Icaraí</t>
        </is>
      </c>
      <c r="G812" t="inlineStr">
        <is>
          <t>Niterói</t>
        </is>
      </c>
      <c r="H812" t="inlineStr">
        <is>
          <t>RJ</t>
        </is>
      </c>
      <c r="I812" t="n">
        <v>5153</v>
      </c>
      <c r="J812" t="inlineStr">
        <is>
          <t>CAT 3</t>
        </is>
      </c>
      <c r="K812" t="inlineStr">
        <is>
          <t>Sim</t>
        </is>
      </c>
    </row>
    <row r="813">
      <c r="A813" s="1">
        <f>HYPERLINK("https://eurofarma-latam-crm.veevavault.com/#object/account__v/V4TZ00001912VI6", "José Leonardo Sardenberg")</f>
        <v/>
      </c>
      <c r="B813" s="1">
        <f>HYPERLINK("https://eurofarma-latam-crm.veevavault.com/#object/account__v/V4TZ00001912VI6", "José Leonardo Sardenberg")</f>
        <v/>
      </c>
      <c r="C813" t="inlineStr">
        <is>
          <t>RJ0616990</t>
        </is>
      </c>
      <c r="D813" t="inlineStr">
        <is>
          <t>ORL</t>
        </is>
      </c>
      <c r="E813" t="inlineStr">
        <is>
          <t>Rua Luiz Alberto De Oliveira Neto, 20</t>
        </is>
      </c>
      <c r="F813" t="inlineStr">
        <is>
          <t>Centro</t>
        </is>
      </c>
      <c r="G813" t="inlineStr">
        <is>
          <t>Paracambi</t>
        </is>
      </c>
      <c r="H813" t="inlineStr">
        <is>
          <t>RJ</t>
        </is>
      </c>
      <c r="I813" t="n">
        <v>5153</v>
      </c>
      <c r="J813" t="inlineStr">
        <is>
          <t>CAT 3</t>
        </is>
      </c>
      <c r="K813" t="inlineStr">
        <is>
          <t>Sim</t>
        </is>
      </c>
    </row>
    <row r="814">
      <c r="A814" s="1">
        <f>HYPERLINK("https://eurofarma-latam-crm.veevavault.com/#object/account__v/V4TZ000018NXNQ3", "Jose Nascimento")</f>
        <v/>
      </c>
      <c r="B814" s="1">
        <f>HYPERLINK("https://eurofarma-latam-crm.veevavault.com/#object/account__v/V4TZ000018NXNQ3", "Jose de Moura Nascimento")</f>
        <v/>
      </c>
      <c r="C814" t="inlineStr">
        <is>
          <t>RJ0420683</t>
        </is>
      </c>
      <c r="D814" t="inlineStr">
        <is>
          <t>PED</t>
        </is>
      </c>
      <c r="E814" t="inlineStr">
        <is>
          <t>Rua Doutor Tavares de Macedo, 95 - Sala 602</t>
        </is>
      </c>
      <c r="F814" t="inlineStr">
        <is>
          <t>Icaraí</t>
        </is>
      </c>
      <c r="G814" t="inlineStr">
        <is>
          <t>Niterói</t>
        </is>
      </c>
      <c r="H814" t="inlineStr">
        <is>
          <t>RJ</t>
        </is>
      </c>
      <c r="I814" t="n">
        <v>5153</v>
      </c>
      <c r="J814" t="inlineStr">
        <is>
          <t>CAT 4</t>
        </is>
      </c>
      <c r="K814" t="inlineStr">
        <is>
          <t>Sim</t>
        </is>
      </c>
    </row>
    <row r="815">
      <c r="A815" s="1">
        <f>HYPERLINK("https://eurofarma-latam-crm.veevavault.com/#object/account__v/V4TZ000019147ZR", "Jucimar de Oliveira")</f>
        <v/>
      </c>
      <c r="B815" s="1">
        <f>HYPERLINK("https://eurofarma-latam-crm.veevavault.com/#object/account__v/V4TZ000019147ZR", "Jucimar Brasil de Oliveira")</f>
        <v/>
      </c>
      <c r="C815" t="inlineStr">
        <is>
          <t>RJ0254595</t>
        </is>
      </c>
      <c r="D815" t="inlineStr">
        <is>
          <t>CLG</t>
        </is>
      </c>
      <c r="E815" t="inlineStr">
        <is>
          <t>Rua Moncorvo Filho, 90</t>
        </is>
      </c>
      <c r="F815" t="inlineStr">
        <is>
          <t>Centro</t>
        </is>
      </c>
      <c r="G815" t="inlineStr">
        <is>
          <t>Rio de Janeiro</t>
        </is>
      </c>
      <c r="H815" t="inlineStr">
        <is>
          <t>RJ</t>
        </is>
      </c>
      <c r="I815" t="n">
        <v>5153</v>
      </c>
      <c r="J815" t="inlineStr">
        <is>
          <t>CAT 4</t>
        </is>
      </c>
      <c r="K815" t="inlineStr">
        <is>
          <t>Sim</t>
        </is>
      </c>
    </row>
    <row r="816">
      <c r="A816" s="1">
        <f>HYPERLINK("https://eurofarma-latam-crm.veevavault.com/#object/account__v/V4TZ025E8CLUJXD", "Júlia Ruback")</f>
        <v/>
      </c>
      <c r="B816" s="1">
        <f>HYPERLINK("https://eurofarma-latam-crm.veevavault.com/#object/account__v/V4TZ025E8CLUJXD", "Júlia Pinella Pereira Ruback")</f>
        <v/>
      </c>
      <c r="C816" t="inlineStr">
        <is>
          <t>RJ0964484</t>
        </is>
      </c>
      <c r="D816" t="inlineStr">
        <is>
          <t>END</t>
        </is>
      </c>
      <c r="E816" t="inlineStr">
        <is>
          <t>Rua Ator Paulo Gustavo, 229 - Sala 1715</t>
        </is>
      </c>
      <c r="F816" t="inlineStr">
        <is>
          <t>Icaraí</t>
        </is>
      </c>
      <c r="G816" t="inlineStr">
        <is>
          <t>Niterói</t>
        </is>
      </c>
      <c r="H816" t="inlineStr">
        <is>
          <t>RJ</t>
        </is>
      </c>
      <c r="I816" t="n">
        <v>5153</v>
      </c>
      <c r="J816" t="inlineStr">
        <is>
          <t>CAT 4</t>
        </is>
      </c>
      <c r="K816" t="inlineStr">
        <is>
          <t>Sim</t>
        </is>
      </c>
    </row>
    <row r="817">
      <c r="A817" s="1">
        <f>HYPERLINK("https://eurofarma-latam-crm.veevavault.com/#object/account__v/V4TZ025E84EQHEY", "Juliana Abreu")</f>
        <v/>
      </c>
      <c r="B817" s="1">
        <f>HYPERLINK("https://eurofarma-latam-crm.veevavault.com/#object/account__v/V4TZ025E84EQHEY", "Juliana Mendes Abreu")</f>
        <v/>
      </c>
      <c r="C817" t="inlineStr">
        <is>
          <t>RJ0873705</t>
        </is>
      </c>
      <c r="D817" t="inlineStr">
        <is>
          <t>END</t>
        </is>
      </c>
      <c r="E817" t="inlineStr">
        <is>
          <t>Avenida das Américas, 777</t>
        </is>
      </c>
      <c r="F817" t="inlineStr">
        <is>
          <t>Barra da Tijuca</t>
        </is>
      </c>
      <c r="G817" t="inlineStr">
        <is>
          <t>Rio de Janeiro</t>
        </is>
      </c>
      <c r="H817" t="inlineStr">
        <is>
          <t>RJ</t>
        </is>
      </c>
      <c r="I817" t="n">
        <v>5153</v>
      </c>
      <c r="J817" t="inlineStr">
        <is>
          <t>CAT 3</t>
        </is>
      </c>
      <c r="K817" t="inlineStr">
        <is>
          <t>Sim</t>
        </is>
      </c>
    </row>
    <row r="818">
      <c r="A818" s="1">
        <f>HYPERLINK("https://eurofarma-latam-crm.veevavault.com/#object/account__v/V4TZ000018NZ4X1", "Juliana de Mendonça")</f>
        <v/>
      </c>
      <c r="B818" s="1">
        <f>HYPERLINK("https://eurofarma-latam-crm.veevavault.com/#object/account__v/V4TZ000018NZ4X1", "Juliana Vieira de Mendonça")</f>
        <v/>
      </c>
      <c r="C818" t="inlineStr">
        <is>
          <t>RJ0699055</t>
        </is>
      </c>
      <c r="D818" t="inlineStr">
        <is>
          <t>CLG / END</t>
        </is>
      </c>
      <c r="E818" t="inlineStr">
        <is>
          <t>Rua Gavião Peixoto, 182 - 401</t>
        </is>
      </c>
      <c r="F818" t="inlineStr">
        <is>
          <t>Icaraí</t>
        </is>
      </c>
      <c r="G818" t="inlineStr">
        <is>
          <t>Niterói</t>
        </is>
      </c>
      <c r="H818" t="inlineStr">
        <is>
          <t>RJ</t>
        </is>
      </c>
      <c r="I818" t="n">
        <v>5153</v>
      </c>
      <c r="J818" t="inlineStr">
        <is>
          <t>CAT 4</t>
        </is>
      </c>
      <c r="K818" t="inlineStr">
        <is>
          <t>Sim</t>
        </is>
      </c>
    </row>
    <row r="819">
      <c r="A819" s="1">
        <f>HYPERLINK("https://eurofarma-latam-crm.veevavault.com/#object/account__v/V4TZ000018NY4A6", "Juliana Ferreira")</f>
        <v/>
      </c>
      <c r="B819" s="1">
        <f>HYPERLINK("https://eurofarma-latam-crm.veevavault.com/#object/account__v/V4TZ000018NY4A6", "Juliana Bretas Brunet Ferreira")</f>
        <v/>
      </c>
      <c r="C819" t="inlineStr">
        <is>
          <t>RJ0704377</t>
        </is>
      </c>
      <c r="D819" t="inlineStr">
        <is>
          <t>ORL</t>
        </is>
      </c>
      <c r="E819" t="inlineStr">
        <is>
          <t>Rua Miguel de Frias, 77 - Sala 1007 e 1008</t>
        </is>
      </c>
      <c r="F819" t="inlineStr">
        <is>
          <t>Icaraí</t>
        </is>
      </c>
      <c r="G819" t="inlineStr">
        <is>
          <t>Niterói</t>
        </is>
      </c>
      <c r="H819" t="inlineStr">
        <is>
          <t>RJ</t>
        </is>
      </c>
      <c r="I819" t="n">
        <v>5153</v>
      </c>
      <c r="J819" t="inlineStr">
        <is>
          <t>CAT 4</t>
        </is>
      </c>
      <c r="K819" t="inlineStr">
        <is>
          <t>Sim</t>
        </is>
      </c>
    </row>
    <row r="820">
      <c r="A820" s="1">
        <f>HYPERLINK("https://eurofarma-latam-crm.veevavault.com/#object/account__v/V4TZ00001914K7F", "Juliana Furiati")</f>
        <v/>
      </c>
      <c r="B820" s="1">
        <f>HYPERLINK("https://eurofarma-latam-crm.veevavault.com/#object/account__v/V4TZ00001914K7F", "Juliana Lôbo Furiati")</f>
        <v/>
      </c>
      <c r="C820" t="inlineStr">
        <is>
          <t>RJ0816094</t>
        </is>
      </c>
      <c r="D820" t="inlineStr">
        <is>
          <t>PED</t>
        </is>
      </c>
      <c r="E820" t="inlineStr">
        <is>
          <t>Rua Ator Paulo Gustavo, 217 - Sala 402</t>
        </is>
      </c>
      <c r="F820" t="inlineStr">
        <is>
          <t>Icaraí</t>
        </is>
      </c>
      <c r="G820" t="inlineStr">
        <is>
          <t>Niterói</t>
        </is>
      </c>
      <c r="H820" t="inlineStr">
        <is>
          <t>RJ</t>
        </is>
      </c>
      <c r="I820" t="n">
        <v>5153</v>
      </c>
      <c r="J820" t="inlineStr">
        <is>
          <t>CAT 4</t>
        </is>
      </c>
      <c r="K820" t="inlineStr">
        <is>
          <t>Sim</t>
        </is>
      </c>
    </row>
    <row r="821">
      <c r="A821" s="1">
        <f>HYPERLINK("https://eurofarma-latam-crm.veevavault.com/#object/account__v/V4TZ00001914IFG", "Juliane Braziliano")</f>
        <v/>
      </c>
      <c r="B821" s="1">
        <f>HYPERLINK("https://eurofarma-latam-crm.veevavault.com/#object/account__v/V4TZ00001914IFG", "Juliane Baptista Braziliano")</f>
        <v/>
      </c>
      <c r="C821" t="inlineStr">
        <is>
          <t>RJ1039075</t>
        </is>
      </c>
      <c r="D821" t="inlineStr">
        <is>
          <t>END</t>
        </is>
      </c>
      <c r="E821" t="inlineStr">
        <is>
          <t>Rua Manoel de Abreu, 9 - Parte</t>
        </is>
      </c>
      <c r="F821" t="inlineStr">
        <is>
          <t>Centro</t>
        </is>
      </c>
      <c r="G821" t="inlineStr">
        <is>
          <t>Niterói</t>
        </is>
      </c>
      <c r="H821" t="inlineStr">
        <is>
          <t>RJ</t>
        </is>
      </c>
      <c r="I821" t="n">
        <v>5153</v>
      </c>
      <c r="J821" t="inlineStr">
        <is>
          <t>CAT 3</t>
        </is>
      </c>
      <c r="K821" t="inlineStr">
        <is>
          <t>Sim</t>
        </is>
      </c>
    </row>
    <row r="822">
      <c r="A822" s="1">
        <f>HYPERLINK("https://eurofarma-latam-crm.veevavault.com/#object/account__v/V4TZ000018NZ72F", "Julio Mathias")</f>
        <v/>
      </c>
      <c r="B822" s="1">
        <f>HYPERLINK("https://eurofarma-latam-crm.veevavault.com/#object/account__v/V4TZ000018NZ72F", "Julio Cesar Ranzeiro Mathias")</f>
        <v/>
      </c>
      <c r="C822" t="inlineStr">
        <is>
          <t>RJ0459811</t>
        </is>
      </c>
      <c r="D822" t="inlineStr">
        <is>
          <t>ORT</t>
        </is>
      </c>
      <c r="E822" t="inlineStr">
        <is>
          <t>Rua General Pereira da Silva, 278</t>
        </is>
      </c>
      <c r="F822" t="inlineStr">
        <is>
          <t>Icaraí</t>
        </is>
      </c>
      <c r="G822" t="inlineStr">
        <is>
          <t>Niterói</t>
        </is>
      </c>
      <c r="H822" t="inlineStr">
        <is>
          <t>RJ</t>
        </is>
      </c>
      <c r="I822" t="n">
        <v>5153</v>
      </c>
      <c r="J822" t="inlineStr">
        <is>
          <t>CAT 3</t>
        </is>
      </c>
      <c r="K822" t="inlineStr">
        <is>
          <t>Sim</t>
        </is>
      </c>
    </row>
    <row r="823">
      <c r="A823" s="1">
        <f>HYPERLINK("https://eurofarma-latam-crm.veevavault.com/#object/account__v/V4TZ00001913ADT", "Julliana Quintas")</f>
        <v/>
      </c>
      <c r="B823" s="1">
        <f>HYPERLINK("https://eurofarma-latam-crm.veevavault.com/#object/account__v/V4TZ00001913ADT", "Julliana Nunes Quintas")</f>
        <v/>
      </c>
      <c r="C823" t="inlineStr">
        <is>
          <t>RJ0916439</t>
        </is>
      </c>
      <c r="D823" t="inlineStr">
        <is>
          <t>PSQ</t>
        </is>
      </c>
      <c r="E823" t="inlineStr">
        <is>
          <t>Rua Marquês de Paraná, 303</t>
        </is>
      </c>
      <c r="F823" t="inlineStr">
        <is>
          <t>Centro</t>
        </is>
      </c>
      <c r="G823" t="inlineStr">
        <is>
          <t>Niterói</t>
        </is>
      </c>
      <c r="H823" t="inlineStr">
        <is>
          <t>RJ</t>
        </is>
      </c>
      <c r="I823" t="n">
        <v>5153</v>
      </c>
      <c r="J823" t="inlineStr">
        <is>
          <t>CAT 1</t>
        </is>
      </c>
      <c r="K823" t="inlineStr">
        <is>
          <t>Sim</t>
        </is>
      </c>
    </row>
    <row r="824">
      <c r="A824" s="1">
        <f>HYPERLINK("https://eurofarma-latam-crm.veevavault.com/#object/account__v/V4TZ000018NY0BB", "Karenn Magalhaes")</f>
        <v/>
      </c>
      <c r="B824" s="1">
        <f>HYPERLINK("https://eurofarma-latam-crm.veevavault.com/#object/account__v/V4TZ000018NY0BB", "Karenn Siqueira Monnerat Magalhaes")</f>
        <v/>
      </c>
      <c r="C824" t="inlineStr">
        <is>
          <t>RJ0748862</t>
        </is>
      </c>
      <c r="D824" t="inlineStr">
        <is>
          <t>RMT</t>
        </is>
      </c>
      <c r="E824" t="inlineStr">
        <is>
          <t>Rua São Francisco Xavier, 163/165</t>
        </is>
      </c>
      <c r="F824" t="inlineStr">
        <is>
          <t>Tijuca</t>
        </is>
      </c>
      <c r="G824" t="inlineStr">
        <is>
          <t>Rio de Janeiro</t>
        </is>
      </c>
      <c r="H824" t="inlineStr">
        <is>
          <t>RJ</t>
        </is>
      </c>
      <c r="I824" t="n">
        <v>5153</v>
      </c>
      <c r="J824" t="inlineStr">
        <is>
          <t>CAT 2</t>
        </is>
      </c>
      <c r="K824" t="inlineStr">
        <is>
          <t>Sim</t>
        </is>
      </c>
    </row>
    <row r="825">
      <c r="A825" s="1">
        <f>HYPERLINK("https://eurofarma-latam-crm.veevavault.com/#object/account__v/V4TZ025E83HBKV2", "Kathelyne Ribeiro")</f>
        <v/>
      </c>
      <c r="B825" s="1">
        <f>HYPERLINK("https://eurofarma-latam-crm.veevavault.com/#object/account__v/V4TZ025E83HBKV2", "Kathelyne Fernandes Costa Ribeiro")</f>
        <v/>
      </c>
      <c r="C825" t="inlineStr">
        <is>
          <t>BA0043993,RJ1321218</t>
        </is>
      </c>
      <c r="D825" t="inlineStr">
        <is>
          <t>PED</t>
        </is>
      </c>
      <c r="E825" t="inlineStr">
        <is>
          <t>Estrada de Adrianópolis, S/N</t>
        </is>
      </c>
      <c r="F825" t="inlineStr">
        <is>
          <t>Adrianópolis</t>
        </is>
      </c>
      <c r="G825" t="inlineStr">
        <is>
          <t>Nova Iguaçu</t>
        </is>
      </c>
      <c r="H825" t="inlineStr">
        <is>
          <t>RJ</t>
        </is>
      </c>
      <c r="I825" t="n">
        <v>5153</v>
      </c>
      <c r="J825" t="inlineStr">
        <is>
          <t>CAT 4</t>
        </is>
      </c>
      <c r="K825" t="inlineStr">
        <is>
          <t>Sim</t>
        </is>
      </c>
    </row>
    <row r="826">
      <c r="A826" s="1">
        <f>HYPERLINK("https://eurofarma-latam-crm.veevavault.com/#object/account__v/V4TZ000018NZ16R", "Katia Maria Simões")</f>
        <v/>
      </c>
      <c r="B826" s="1">
        <f>HYPERLINK("https://eurofarma-latam-crm.veevavault.com/#object/account__v/V4TZ000018NZ16R", "Katia Maria Pereira Nunes Simões")</f>
        <v/>
      </c>
      <c r="C826" t="inlineStr">
        <is>
          <t>RJ0453599</t>
        </is>
      </c>
      <c r="D826" t="inlineStr">
        <is>
          <t>GER</t>
        </is>
      </c>
      <c r="E826" t="inlineStr">
        <is>
          <t>Rua Mem de Sá, 111 - Sala 604</t>
        </is>
      </c>
      <c r="F826" t="inlineStr">
        <is>
          <t>Icaraí</t>
        </is>
      </c>
      <c r="G826" t="inlineStr">
        <is>
          <t>Niterói</t>
        </is>
      </c>
      <c r="H826" t="inlineStr">
        <is>
          <t>RJ</t>
        </is>
      </c>
      <c r="I826" t="n">
        <v>5153</v>
      </c>
      <c r="J826" t="inlineStr">
        <is>
          <t>CAT 3</t>
        </is>
      </c>
      <c r="K826" t="inlineStr">
        <is>
          <t>Sim</t>
        </is>
      </c>
    </row>
    <row r="827">
      <c r="A827" s="1">
        <f>HYPERLINK("https://eurofarma-latam-crm.veevavault.com/#object/account__v/V4TZ00001914KQV", "Katiana Turon")</f>
        <v/>
      </c>
      <c r="B827" s="1">
        <f>HYPERLINK("https://eurofarma-latam-crm.veevavault.com/#object/account__v/V4TZ00001914KQV", "Katiana Bassani Turon")</f>
        <v/>
      </c>
      <c r="C827" t="inlineStr">
        <is>
          <t>RJ0904619</t>
        </is>
      </c>
      <c r="D827" t="inlineStr">
        <is>
          <t>CLG / END</t>
        </is>
      </c>
      <c r="E827" t="inlineStr">
        <is>
          <t>Rua Manoel de Abreu, 9 - Parte</t>
        </is>
      </c>
      <c r="F827" t="inlineStr">
        <is>
          <t>Centro</t>
        </is>
      </c>
      <c r="G827" t="inlineStr">
        <is>
          <t>Niterói</t>
        </is>
      </c>
      <c r="H827" t="inlineStr">
        <is>
          <t>RJ</t>
        </is>
      </c>
      <c r="I827" t="n">
        <v>5153</v>
      </c>
      <c r="J827" t="inlineStr">
        <is>
          <t>CAT 5</t>
        </is>
      </c>
      <c r="K827" t="inlineStr">
        <is>
          <t>Sim</t>
        </is>
      </c>
    </row>
    <row r="828">
      <c r="A828" s="1">
        <f>HYPERLINK("https://eurofarma-latam-crm.veevavault.com/#object/account__v/V4TZ000018NY2KB", "Keila Accetta")</f>
        <v/>
      </c>
      <c r="B828" s="1">
        <f>HYPERLINK("https://eurofarma-latam-crm.veevavault.com/#object/account__v/V4TZ000018NY2KB", "Keila Borba Campos Accetta")</f>
        <v/>
      </c>
      <c r="C828" t="inlineStr">
        <is>
          <t>RJ0771945</t>
        </is>
      </c>
      <c r="D828" t="inlineStr">
        <is>
          <t>END</t>
        </is>
      </c>
      <c r="E828" t="inlineStr">
        <is>
          <t>Rua Nóbrega, 127 - Sala 501 E 502</t>
        </is>
      </c>
      <c r="F828" t="inlineStr">
        <is>
          <t>Icaraí</t>
        </is>
      </c>
      <c r="G828" t="inlineStr">
        <is>
          <t>Niterói</t>
        </is>
      </c>
      <c r="H828" t="inlineStr">
        <is>
          <t>RJ</t>
        </is>
      </c>
      <c r="I828" t="n">
        <v>5153</v>
      </c>
      <c r="J828" t="inlineStr"/>
      <c r="K828" t="inlineStr"/>
    </row>
    <row r="829">
      <c r="A829" s="1">
        <f>HYPERLINK("https://eurofarma-latam-crm.veevavault.com/#object/account__v/V4TZ00001913L29", "Keydma Macedo")</f>
        <v/>
      </c>
      <c r="B829" s="1">
        <f>HYPERLINK("https://eurofarma-latam-crm.veevavault.com/#object/account__v/V4TZ00001913L29", "Keydma Brasil Macedo")</f>
        <v/>
      </c>
      <c r="C829" t="inlineStr">
        <is>
          <t>RJ0836672</t>
        </is>
      </c>
      <c r="D829" t="inlineStr">
        <is>
          <t>PED</t>
        </is>
      </c>
      <c r="E829" t="inlineStr">
        <is>
          <t>Rua Tiradentes, 12</t>
        </is>
      </c>
      <c r="F829" t="inlineStr">
        <is>
          <t>Ingá</t>
        </is>
      </c>
      <c r="G829" t="inlineStr">
        <is>
          <t>Niterói</t>
        </is>
      </c>
      <c r="H829" t="inlineStr">
        <is>
          <t>RJ</t>
        </is>
      </c>
      <c r="I829" t="n">
        <v>5153</v>
      </c>
      <c r="J829" t="inlineStr">
        <is>
          <t>CAT 5</t>
        </is>
      </c>
      <c r="K829" t="inlineStr">
        <is>
          <t>Sim</t>
        </is>
      </c>
    </row>
    <row r="830">
      <c r="A830" s="1">
        <f>HYPERLINK("https://eurofarma-latam-crm.veevavault.com/#object/account__v/V4TZ00001914G3H", "Lais Campos")</f>
        <v/>
      </c>
      <c r="B830" s="1">
        <f>HYPERLINK("https://eurofarma-latam-crm.veevavault.com/#object/account__v/V4TZ00001914G3H", "Lais Celia Gama Campos")</f>
        <v/>
      </c>
      <c r="C830" t="inlineStr">
        <is>
          <t>RJ0432108</t>
        </is>
      </c>
      <c r="D830" t="inlineStr">
        <is>
          <t>PED</t>
        </is>
      </c>
      <c r="E830" t="inlineStr">
        <is>
          <t>Rua Miguel de Frias, 51 - Sala 503</t>
        </is>
      </c>
      <c r="F830" t="inlineStr">
        <is>
          <t>Icaraí</t>
        </is>
      </c>
      <c r="G830" t="inlineStr">
        <is>
          <t>Niterói</t>
        </is>
      </c>
      <c r="H830" t="inlineStr">
        <is>
          <t>RJ</t>
        </is>
      </c>
      <c r="I830" t="n">
        <v>5153</v>
      </c>
      <c r="J830" t="inlineStr">
        <is>
          <t>CAT 5</t>
        </is>
      </c>
      <c r="K830" t="inlineStr">
        <is>
          <t>N�o</t>
        </is>
      </c>
    </row>
    <row r="831">
      <c r="A831" s="1">
        <f>HYPERLINK("https://eurofarma-latam-crm.veevavault.com/#object/account__v/V4TZ000019145YH", "Laura do Nascimento")</f>
        <v/>
      </c>
      <c r="B831" s="1">
        <f>HYPERLINK("https://eurofarma-latam-crm.veevavault.com/#object/account__v/V4TZ000019145YH", "Laura Motta Venancio do Nascimento")</f>
        <v/>
      </c>
      <c r="C831" t="inlineStr">
        <is>
          <t>RJ0892750</t>
        </is>
      </c>
      <c r="D831" t="inlineStr">
        <is>
          <t>END</t>
        </is>
      </c>
      <c r="E831" t="inlineStr">
        <is>
          <t>Rua Desembargador Lima Castro, 238</t>
        </is>
      </c>
      <c r="F831" t="inlineStr">
        <is>
          <t>Fonseca</t>
        </is>
      </c>
      <c r="G831" t="inlineStr">
        <is>
          <t>Niterói</t>
        </is>
      </c>
      <c r="H831" t="inlineStr">
        <is>
          <t>RJ</t>
        </is>
      </c>
      <c r="I831" t="n">
        <v>5153</v>
      </c>
      <c r="J831" t="inlineStr">
        <is>
          <t>CAT 3</t>
        </is>
      </c>
      <c r="K831" t="inlineStr">
        <is>
          <t>Sim</t>
        </is>
      </c>
    </row>
    <row r="832">
      <c r="A832" s="1">
        <f>HYPERLINK("https://eurofarma-latam-crm.veevavault.com/#object/account__v/V4TZ000019154G1", "Leandro Cezar")</f>
        <v/>
      </c>
      <c r="B832" s="1">
        <f>HYPERLINK("https://eurofarma-latam-crm.veevavault.com/#object/account__v/V4TZ000019154G1", "Leandro Casemiro Cezar")</f>
        <v/>
      </c>
      <c r="C832" t="inlineStr">
        <is>
          <t>RJ0753459</t>
        </is>
      </c>
      <c r="D832" t="inlineStr">
        <is>
          <t>URO</t>
        </is>
      </c>
      <c r="E832" t="inlineStr">
        <is>
          <t>Rua Otávio Carneiro, 100 - Sala 512 E 513</t>
        </is>
      </c>
      <c r="F832" t="inlineStr">
        <is>
          <t>Icaraí</t>
        </is>
      </c>
      <c r="G832" t="inlineStr">
        <is>
          <t>Niterói</t>
        </is>
      </c>
      <c r="H832" t="inlineStr">
        <is>
          <t>RJ</t>
        </is>
      </c>
      <c r="I832" t="n">
        <v>5153</v>
      </c>
      <c r="J832" t="inlineStr">
        <is>
          <t>CAT 4</t>
        </is>
      </c>
      <c r="K832" t="inlineStr">
        <is>
          <t>Sim</t>
        </is>
      </c>
    </row>
    <row r="833">
      <c r="A833" s="1">
        <f>HYPERLINK("https://eurofarma-latam-crm.veevavault.com/#object/account__v/V4TZ00001914L92", "Leandro Franco")</f>
        <v/>
      </c>
      <c r="B833" s="1">
        <f>HYPERLINK("https://eurofarma-latam-crm.veevavault.com/#object/account__v/V4TZ00001914L92", "Leandro Rubem Braga Franco")</f>
        <v/>
      </c>
      <c r="C833" t="inlineStr">
        <is>
          <t>RJ0870218</t>
        </is>
      </c>
      <c r="D833" t="inlineStr">
        <is>
          <t>PSQ</t>
        </is>
      </c>
      <c r="E833" t="inlineStr">
        <is>
          <t>Rua do Catete, 311 - Sala 912</t>
        </is>
      </c>
      <c r="F833" t="inlineStr">
        <is>
          <t>Catete</t>
        </is>
      </c>
      <c r="G833" t="inlineStr">
        <is>
          <t>Rio de Janeiro</t>
        </is>
      </c>
      <c r="H833" t="inlineStr">
        <is>
          <t>RJ</t>
        </is>
      </c>
      <c r="I833" t="n">
        <v>5153</v>
      </c>
      <c r="J833" t="inlineStr">
        <is>
          <t>CAT 1</t>
        </is>
      </c>
      <c r="K833" t="inlineStr">
        <is>
          <t>Sim</t>
        </is>
      </c>
    </row>
    <row r="834">
      <c r="A834" s="1">
        <f>HYPERLINK("https://eurofarma-latam-crm.veevavault.com/#object/account__v/V4TZ000018NXPIJ", "Leandro Galdiano")</f>
        <v/>
      </c>
      <c r="B834" s="1">
        <f>HYPERLINK("https://eurofarma-latam-crm.veevavault.com/#object/account__v/V4TZ000018NXPIJ", "Leandro Lopes da Silva Galdiano")</f>
        <v/>
      </c>
      <c r="C834" t="inlineStr">
        <is>
          <t>RJ0848212</t>
        </is>
      </c>
      <c r="D834" t="inlineStr">
        <is>
          <t>CLG</t>
        </is>
      </c>
      <c r="E834" t="inlineStr">
        <is>
          <t>Rua Manoel de Abreu, 9 - Parte</t>
        </is>
      </c>
      <c r="F834" t="inlineStr">
        <is>
          <t>Centro</t>
        </is>
      </c>
      <c r="G834" t="inlineStr">
        <is>
          <t>Niterói</t>
        </is>
      </c>
      <c r="H834" t="inlineStr">
        <is>
          <t>RJ</t>
        </is>
      </c>
      <c r="I834" t="n">
        <v>5153</v>
      </c>
      <c r="J834" t="inlineStr">
        <is>
          <t>CAT 3</t>
        </is>
      </c>
      <c r="K834" t="inlineStr">
        <is>
          <t>Sim</t>
        </is>
      </c>
    </row>
    <row r="835">
      <c r="A835" s="1">
        <f>HYPERLINK("https://eurofarma-latam-crm.veevavault.com/#object/account__v/V4TZ00001914ZKF", "Lelio de Souza Banca")</f>
        <v/>
      </c>
      <c r="B835" s="1">
        <f>HYPERLINK("https://eurofarma-latam-crm.veevavault.com/#object/account__v/V4TZ00001914ZKF", "Lelio Baptista de Souza Banca")</f>
        <v/>
      </c>
      <c r="C835" t="inlineStr">
        <is>
          <t>RJ0852341</t>
        </is>
      </c>
      <c r="D835" t="inlineStr">
        <is>
          <t>URO</t>
        </is>
      </c>
      <c r="E835" t="inlineStr">
        <is>
          <t>Avenida Jansen de Melo, S/N</t>
        </is>
      </c>
      <c r="F835" t="inlineStr">
        <is>
          <t>Centro</t>
        </is>
      </c>
      <c r="G835" t="inlineStr">
        <is>
          <t>Niterói</t>
        </is>
      </c>
      <c r="H835" t="inlineStr">
        <is>
          <t>RJ</t>
        </is>
      </c>
      <c r="I835" t="n">
        <v>5153</v>
      </c>
      <c r="J835" t="inlineStr">
        <is>
          <t>CAT 5</t>
        </is>
      </c>
      <c r="K835" t="inlineStr">
        <is>
          <t>Sim</t>
        </is>
      </c>
    </row>
    <row r="836">
      <c r="A836" s="1">
        <f>HYPERLINK("https://eurofarma-latam-crm.veevavault.com/#object/account__v/V4TZ025E83S3X41", "Leonardo de Souza")</f>
        <v/>
      </c>
      <c r="B836" s="1">
        <f>HYPERLINK("https://eurofarma-latam-crm.veevavault.com/#object/account__v/V4TZ025E83S3X41", "Leonardo Antunes Bellot de Souza")</f>
        <v/>
      </c>
      <c r="C836" t="inlineStr">
        <is>
          <t>RJ0668737</t>
        </is>
      </c>
      <c r="D836" t="inlineStr">
        <is>
          <t>ORT</t>
        </is>
      </c>
      <c r="E836" t="inlineStr">
        <is>
          <t>Rua Manoel Pacheco de Carvalho, 327</t>
        </is>
      </c>
      <c r="F836" t="inlineStr">
        <is>
          <t>Piratininga</t>
        </is>
      </c>
      <c r="G836" t="inlineStr">
        <is>
          <t>Niterói</t>
        </is>
      </c>
      <c r="H836" t="inlineStr">
        <is>
          <t>RJ</t>
        </is>
      </c>
      <c r="I836" t="n">
        <v>5153</v>
      </c>
      <c r="J836" t="inlineStr">
        <is>
          <t>CAT 3</t>
        </is>
      </c>
      <c r="K836" t="inlineStr">
        <is>
          <t>Sim</t>
        </is>
      </c>
    </row>
    <row r="837">
      <c r="A837" s="1">
        <f>HYPERLINK("https://eurofarma-latam-crm.veevavault.com/#object/account__v/V4TZ00001915DKI", "Leonardo Gentile")</f>
        <v/>
      </c>
      <c r="B837" s="1">
        <f>HYPERLINK("https://eurofarma-latam-crm.veevavault.com/#object/account__v/V4TZ00001915DKI", "Leonardo Rodrigues Gentile")</f>
        <v/>
      </c>
      <c r="C837" t="inlineStr">
        <is>
          <t>RJ0841498</t>
        </is>
      </c>
      <c r="D837" t="inlineStr">
        <is>
          <t>URO</t>
        </is>
      </c>
      <c r="E837" t="inlineStr">
        <is>
          <t>Rua Miguel de Frias, 77 - Salas 812 à 816</t>
        </is>
      </c>
      <c r="F837" t="inlineStr">
        <is>
          <t>Icaraí</t>
        </is>
      </c>
      <c r="G837" t="inlineStr">
        <is>
          <t>Niterói</t>
        </is>
      </c>
      <c r="H837" t="inlineStr">
        <is>
          <t>RJ</t>
        </is>
      </c>
      <c r="I837" t="n">
        <v>5153</v>
      </c>
      <c r="J837" t="inlineStr">
        <is>
          <t>CAT 5</t>
        </is>
      </c>
      <c r="K837" t="inlineStr">
        <is>
          <t>Sim</t>
        </is>
      </c>
    </row>
    <row r="838">
      <c r="A838" s="1">
        <f>HYPERLINK("https://eurofarma-latam-crm.veevavault.com/#object/account__v/V4TZ00001914FOF", "Leonardo Nunes")</f>
        <v/>
      </c>
      <c r="B838" s="1">
        <f>HYPERLINK("https://eurofarma-latam-crm.veevavault.com/#object/account__v/V4TZ00001914FOF", "Leonardo Castro Nunes")</f>
        <v/>
      </c>
      <c r="C838" t="inlineStr">
        <is>
          <t>RJ0536532</t>
        </is>
      </c>
      <c r="D838" t="inlineStr">
        <is>
          <t>CLG</t>
        </is>
      </c>
      <c r="E838" t="inlineStr">
        <is>
          <t>Rua Ator Paulo Gustavo, 26 - Sala 615</t>
        </is>
      </c>
      <c r="F838" t="inlineStr">
        <is>
          <t>Icaraí</t>
        </is>
      </c>
      <c r="G838" t="inlineStr">
        <is>
          <t>Niterói</t>
        </is>
      </c>
      <c r="H838" t="inlineStr">
        <is>
          <t>RJ</t>
        </is>
      </c>
      <c r="I838" t="n">
        <v>5153</v>
      </c>
      <c r="J838" t="inlineStr">
        <is>
          <t>CAT 2</t>
        </is>
      </c>
      <c r="K838" t="inlineStr">
        <is>
          <t>Sim</t>
        </is>
      </c>
    </row>
    <row r="839">
      <c r="A839" s="1">
        <f>HYPERLINK("https://eurofarma-latam-crm.veevavault.com/#object/account__v/V4TZ00001914EGY", "Leonardo Silva")</f>
        <v/>
      </c>
      <c r="B839" s="1">
        <f>HYPERLINK("https://eurofarma-latam-crm.veevavault.com/#object/account__v/V4TZ00001914EGY", "Leonardo Nese Henrique Silva")</f>
        <v/>
      </c>
      <c r="C839" t="inlineStr">
        <is>
          <t>RJ0531919</t>
        </is>
      </c>
      <c r="D839" t="inlineStr">
        <is>
          <t>PED</t>
        </is>
      </c>
      <c r="E839" t="inlineStr">
        <is>
          <t>Rua Manoel de Abreu, 9 - Parte</t>
        </is>
      </c>
      <c r="F839" t="inlineStr">
        <is>
          <t>Centro</t>
        </is>
      </c>
      <c r="G839" t="inlineStr">
        <is>
          <t>Niterói</t>
        </is>
      </c>
      <c r="H839" t="inlineStr">
        <is>
          <t>RJ</t>
        </is>
      </c>
      <c r="I839" t="n">
        <v>5153</v>
      </c>
      <c r="J839" t="inlineStr">
        <is>
          <t>CAT 5</t>
        </is>
      </c>
      <c r="K839" t="inlineStr">
        <is>
          <t>Sim</t>
        </is>
      </c>
    </row>
    <row r="840">
      <c r="A840" s="1">
        <f>HYPERLINK("https://eurofarma-latam-crm.veevavault.com/#object/account__v/V4TZ000018NZAOU", "Leonhard Obrecht")</f>
        <v/>
      </c>
      <c r="B840" s="1">
        <f>HYPERLINK("https://eurofarma-latam-crm.veevavault.com/#object/account__v/V4TZ000018NZAOU", "Leonhard Christian Rossetti Obrecht")</f>
        <v/>
      </c>
      <c r="C840" t="inlineStr">
        <is>
          <t>RJ0622508</t>
        </is>
      </c>
      <c r="D840" t="inlineStr">
        <is>
          <t>PSQ</t>
        </is>
      </c>
      <c r="E840" t="inlineStr">
        <is>
          <t>Rua Marechal Serejo, 539</t>
        </is>
      </c>
      <c r="F840" t="inlineStr">
        <is>
          <t>Freguesia (Jacarepaguá)</t>
        </is>
      </c>
      <c r="G840" t="inlineStr">
        <is>
          <t>Rio de Janeiro</t>
        </is>
      </c>
      <c r="H840" t="inlineStr">
        <is>
          <t>RJ</t>
        </is>
      </c>
      <c r="I840" t="n">
        <v>5153</v>
      </c>
      <c r="J840" t="inlineStr">
        <is>
          <t>CAT 2</t>
        </is>
      </c>
      <c r="K840" t="inlineStr">
        <is>
          <t>Sim</t>
        </is>
      </c>
    </row>
    <row r="841">
      <c r="A841" s="1">
        <f>HYPERLINK("https://eurofarma-latam-crm.veevavault.com/#object/account__v/V4TZ00001913ZG9", "Liana Cabral")</f>
        <v/>
      </c>
      <c r="B841" s="1">
        <f>HYPERLINK("https://eurofarma-latam-crm.veevavault.com/#object/account__v/V4TZ00001913ZG9", "Liana Monteiro Cabral")</f>
        <v/>
      </c>
      <c r="C841" t="inlineStr">
        <is>
          <t>RJ0519083</t>
        </is>
      </c>
      <c r="D841" t="inlineStr">
        <is>
          <t>CLG / END</t>
        </is>
      </c>
      <c r="E841" t="inlineStr">
        <is>
          <t>Rua Ator Paulo Gustavo, 160 - Sala 503</t>
        </is>
      </c>
      <c r="F841" t="inlineStr">
        <is>
          <t>Icaraí</t>
        </is>
      </c>
      <c r="G841" t="inlineStr">
        <is>
          <t>Niterói</t>
        </is>
      </c>
      <c r="H841" t="inlineStr">
        <is>
          <t>RJ</t>
        </is>
      </c>
      <c r="I841" t="n">
        <v>5153</v>
      </c>
      <c r="J841" t="inlineStr">
        <is>
          <t>CAT 4</t>
        </is>
      </c>
      <c r="K841" t="inlineStr">
        <is>
          <t>Sim</t>
        </is>
      </c>
    </row>
    <row r="842">
      <c r="A842" s="1">
        <f>HYPERLINK("https://eurofarma-latam-crm.veevavault.com/#object/account__v/V4TZ000018NXXCF", "Ligia Andrade")</f>
        <v/>
      </c>
      <c r="B842" s="1">
        <f>HYPERLINK("https://eurofarma-latam-crm.veevavault.com/#object/account__v/V4TZ000018NXXCF", "Ligia Rocha Andrade")</f>
        <v/>
      </c>
      <c r="C842" t="inlineStr">
        <is>
          <t>RJ0928496</t>
        </is>
      </c>
      <c r="D842" t="inlineStr">
        <is>
          <t>NEU</t>
        </is>
      </c>
      <c r="E842" t="inlineStr">
        <is>
          <t>Rua Manoel de Abreu, 9 - Parte</t>
        </is>
      </c>
      <c r="F842" t="inlineStr">
        <is>
          <t>Centro</t>
        </is>
      </c>
      <c r="G842" t="inlineStr">
        <is>
          <t>Niterói</t>
        </is>
      </c>
      <c r="H842" t="inlineStr">
        <is>
          <t>RJ</t>
        </is>
      </c>
      <c r="I842" t="n">
        <v>5153</v>
      </c>
      <c r="J842" t="inlineStr">
        <is>
          <t>CAT 5</t>
        </is>
      </c>
      <c r="K842" t="inlineStr">
        <is>
          <t>N�o</t>
        </is>
      </c>
    </row>
    <row r="843">
      <c r="A843" s="1">
        <f>HYPERLINK("https://eurofarma-latam-crm.veevavault.com/#object/account__v/V4TZ000018NYNWP", "Ligia Mesquita")</f>
        <v/>
      </c>
      <c r="B843" s="1">
        <f>HYPERLINK("https://eurofarma-latam-crm.veevavault.com/#object/account__v/V4TZ000018NYNWP", "Ligia Horta Mesquita")</f>
        <v/>
      </c>
      <c r="C843" t="inlineStr">
        <is>
          <t>RJ0423374</t>
        </is>
      </c>
      <c r="D843" t="inlineStr">
        <is>
          <t>PSQ</t>
        </is>
      </c>
      <c r="E843" t="inlineStr">
        <is>
          <t>Rua Coronel Moreira Cesar, 229 - Sala 1805</t>
        </is>
      </c>
      <c r="F843" t="inlineStr">
        <is>
          <t>Icaraí</t>
        </is>
      </c>
      <c r="G843" t="inlineStr">
        <is>
          <t>Niterói</t>
        </is>
      </c>
      <c r="H843" t="inlineStr">
        <is>
          <t>RJ</t>
        </is>
      </c>
      <c r="I843" t="n">
        <v>5153</v>
      </c>
      <c r="J843" t="inlineStr">
        <is>
          <t>CAT 3</t>
        </is>
      </c>
      <c r="K843" t="inlineStr">
        <is>
          <t>Sim</t>
        </is>
      </c>
    </row>
    <row r="844">
      <c r="A844" s="1">
        <f>HYPERLINK("https://eurofarma-latam-crm.veevavault.com/#object/account__v/V4TZ000018NXO3F", "Lilian Barboza")</f>
        <v/>
      </c>
      <c r="B844" s="1">
        <f>HYPERLINK("https://eurofarma-latam-crm.veevavault.com/#object/account__v/V4TZ000018NXO3F", "Lilian Ferreira Coelho Brazil Barboza")</f>
        <v/>
      </c>
      <c r="C844" t="inlineStr">
        <is>
          <t>RJ0920410</t>
        </is>
      </c>
      <c r="D844" t="inlineStr">
        <is>
          <t>GAS</t>
        </is>
      </c>
      <c r="E844" t="inlineStr">
        <is>
          <t>Rua Ator Paulo Gustavo, 26 - Sala 1411</t>
        </is>
      </c>
      <c r="F844" t="inlineStr">
        <is>
          <t>Icaraí</t>
        </is>
      </c>
      <c r="G844" t="inlineStr">
        <is>
          <t>Niterói</t>
        </is>
      </c>
      <c r="H844" t="inlineStr">
        <is>
          <t>RJ</t>
        </is>
      </c>
      <c r="I844" t="n">
        <v>5153</v>
      </c>
      <c r="J844" t="inlineStr">
        <is>
          <t>CAT 4</t>
        </is>
      </c>
      <c r="K844" t="inlineStr">
        <is>
          <t>Sim</t>
        </is>
      </c>
    </row>
    <row r="845">
      <c r="A845" s="1">
        <f>HYPERLINK("https://eurofarma-latam-crm.veevavault.com/#object/account__v/V4TZ00001916A12", "Lina Gomes")</f>
        <v/>
      </c>
      <c r="B845" s="1">
        <f>HYPERLINK("https://eurofarma-latam-crm.veevavault.com/#object/account__v/V4TZ00001916A12", "Lina Nunes Gomes")</f>
        <v/>
      </c>
      <c r="C845" t="inlineStr">
        <is>
          <t>RJ0724912</t>
        </is>
      </c>
      <c r="D845" t="inlineStr">
        <is>
          <t>PSQ</t>
        </is>
      </c>
      <c r="E845" t="inlineStr">
        <is>
          <t>Rua Coronel Moreira Cesar, 26-1307</t>
        </is>
      </c>
      <c r="F845" t="inlineStr">
        <is>
          <t>Icaraí</t>
        </is>
      </c>
      <c r="G845" t="inlineStr">
        <is>
          <t>Niterói</t>
        </is>
      </c>
      <c r="H845" t="inlineStr">
        <is>
          <t>RJ</t>
        </is>
      </c>
      <c r="I845" t="n">
        <v>5153</v>
      </c>
      <c r="J845" t="inlineStr">
        <is>
          <t>CAT 2</t>
        </is>
      </c>
      <c r="K845" t="inlineStr">
        <is>
          <t>Sim</t>
        </is>
      </c>
    </row>
    <row r="846">
      <c r="A846" s="1">
        <f>HYPERLINK("https://eurofarma-latam-crm.veevavault.com/#object/account__v/V4TZ025E880XGTN", "Liuana Souza")</f>
        <v/>
      </c>
      <c r="B846" s="1">
        <f>HYPERLINK("https://eurofarma-latam-crm.veevavault.com/#object/account__v/V4TZ025E880XGTN", "Liuana Carvalho de Souza")</f>
        <v/>
      </c>
      <c r="C846" t="inlineStr">
        <is>
          <t>RJ1195026</t>
        </is>
      </c>
      <c r="D846" t="inlineStr">
        <is>
          <t>PSQ</t>
        </is>
      </c>
      <c r="E846" t="inlineStr">
        <is>
          <t>Rua Monteiro da Luz, S/N</t>
        </is>
      </c>
      <c r="F846" t="inlineStr">
        <is>
          <t>Água Santa</t>
        </is>
      </c>
      <c r="G846" t="inlineStr">
        <is>
          <t>Rio de Janeiro</t>
        </is>
      </c>
      <c r="H846" t="inlineStr">
        <is>
          <t>RJ</t>
        </is>
      </c>
      <c r="I846" t="n">
        <v>5153</v>
      </c>
      <c r="J846" t="inlineStr">
        <is>
          <t>CAT 2</t>
        </is>
      </c>
      <c r="K846" t="inlineStr">
        <is>
          <t>Sim</t>
        </is>
      </c>
    </row>
    <row r="847">
      <c r="A847" s="1">
        <f>HYPERLINK("https://eurofarma-latam-crm.veevavault.com/#object/account__v/V4TZ000018NYA4I", "Livia Baptista")</f>
        <v/>
      </c>
      <c r="B847" s="1">
        <f>HYPERLINK("https://eurofarma-latam-crm.veevavault.com/#object/account__v/V4TZ000018NYA4I", "Livia Capuxim Baptista")</f>
        <v/>
      </c>
      <c r="C847" t="inlineStr">
        <is>
          <t>RJ0985406</t>
        </is>
      </c>
      <c r="D847" t="inlineStr">
        <is>
          <t>GER</t>
        </is>
      </c>
      <c r="E847" t="inlineStr">
        <is>
          <t>Rua Arizio Gomes da Costa, 186</t>
        </is>
      </c>
      <c r="F847" t="inlineStr">
        <is>
          <t>Jardim Flamboyant</t>
        </is>
      </c>
      <c r="G847" t="inlineStr">
        <is>
          <t>Cabo Frio</t>
        </is>
      </c>
      <c r="H847" t="inlineStr">
        <is>
          <t>RJ</t>
        </is>
      </c>
      <c r="I847" t="n">
        <v>5153</v>
      </c>
      <c r="J847" t="inlineStr">
        <is>
          <t>CAT 3</t>
        </is>
      </c>
      <c r="K847" t="inlineStr">
        <is>
          <t>Sim</t>
        </is>
      </c>
    </row>
    <row r="848">
      <c r="A848" s="1">
        <f>HYPERLINK("https://eurofarma-latam-crm.veevavault.com/#object/account__v/V4TZ00001914A1D", "Lívia de Moura")</f>
        <v/>
      </c>
      <c r="B848" s="1">
        <f>HYPERLINK("https://eurofarma-latam-crm.veevavault.com/#object/account__v/V4TZ00001914A1D", "Lívia Barroso Victor Bianchine de Moura")</f>
        <v/>
      </c>
      <c r="C848" t="inlineStr">
        <is>
          <t>RJ0920452</t>
        </is>
      </c>
      <c r="D848" t="inlineStr">
        <is>
          <t>GAS</t>
        </is>
      </c>
      <c r="E848" t="inlineStr">
        <is>
          <t>Rua Ator Paulo Gustavo, 229 - Sala 1715</t>
        </is>
      </c>
      <c r="F848" t="inlineStr">
        <is>
          <t>Icaraí</t>
        </is>
      </c>
      <c r="G848" t="inlineStr">
        <is>
          <t>Niterói</t>
        </is>
      </c>
      <c r="H848" t="inlineStr">
        <is>
          <t>RJ</t>
        </is>
      </c>
      <c r="I848" t="n">
        <v>5153</v>
      </c>
      <c r="J848" t="inlineStr">
        <is>
          <t>CAT 5</t>
        </is>
      </c>
      <c r="K848" t="inlineStr">
        <is>
          <t>N�o</t>
        </is>
      </c>
    </row>
    <row r="849">
      <c r="A849" s="1">
        <f>HYPERLINK("https://eurofarma-latam-crm.veevavault.com/#object/account__v/V4TZ00001914MXC", "Livia Gusmao")</f>
        <v/>
      </c>
      <c r="B849" s="1">
        <f>HYPERLINK("https://eurofarma-latam-crm.veevavault.com/#object/account__v/V4TZ00001914MXC", "Livia Fernandes Sampaio Gusmao")</f>
        <v/>
      </c>
      <c r="C849" t="inlineStr">
        <is>
          <t>RJ0840432</t>
        </is>
      </c>
      <c r="D849" t="inlineStr">
        <is>
          <t>CLG / SNC</t>
        </is>
      </c>
      <c r="E849" t="inlineStr">
        <is>
          <t>Rua Nóbrega, 127 - Sala 707</t>
        </is>
      </c>
      <c r="F849" t="inlineStr">
        <is>
          <t>Icaraí</t>
        </is>
      </c>
      <c r="G849" t="inlineStr">
        <is>
          <t>Niterói</t>
        </is>
      </c>
      <c r="H849" t="inlineStr">
        <is>
          <t>RJ</t>
        </is>
      </c>
      <c r="I849" t="n">
        <v>5153</v>
      </c>
      <c r="J849" t="inlineStr">
        <is>
          <t>CAT 4</t>
        </is>
      </c>
      <c r="K849" t="inlineStr">
        <is>
          <t>Sim</t>
        </is>
      </c>
    </row>
    <row r="850">
      <c r="A850" s="1">
        <f>HYPERLINK("https://eurofarma-latam-crm.veevavault.com/#object/account__v/V4TZ000018NXVR4", "Livia Quelhas")</f>
        <v/>
      </c>
      <c r="B850" s="1">
        <f>HYPERLINK("https://eurofarma-latam-crm.veevavault.com/#object/account__v/V4TZ000018NXVR4", "Livia Silva Quelhas")</f>
        <v/>
      </c>
      <c r="C850" t="inlineStr">
        <is>
          <t>RJ0909165</t>
        </is>
      </c>
      <c r="D850" t="inlineStr">
        <is>
          <t>GAS</t>
        </is>
      </c>
      <c r="E850" t="inlineStr">
        <is>
          <t>Rua Lauro Muller, 116 - Salas 1302 à 1304</t>
        </is>
      </c>
      <c r="F850" t="inlineStr">
        <is>
          <t>Botafogo</t>
        </is>
      </c>
      <c r="G850" t="inlineStr">
        <is>
          <t>Rio de Janeiro</t>
        </is>
      </c>
      <c r="H850" t="inlineStr">
        <is>
          <t>RJ</t>
        </is>
      </c>
      <c r="I850" t="n">
        <v>5153</v>
      </c>
      <c r="J850" t="inlineStr">
        <is>
          <t>CAT 4</t>
        </is>
      </c>
      <c r="K850" t="inlineStr">
        <is>
          <t>Sim</t>
        </is>
      </c>
    </row>
    <row r="851">
      <c r="A851" s="1">
        <f>HYPERLINK("https://eurofarma-latam-crm.veevavault.com/#object/account__v/V4TZ00001912ZXL", "Luis Eduardo de Almeida")</f>
        <v/>
      </c>
      <c r="B851" s="1">
        <f>HYPERLINK("https://eurofarma-latam-crm.veevavault.com/#object/account__v/V4TZ00001912ZXL", "Luis Eduardo Nunes de Almeida")</f>
        <v/>
      </c>
      <c r="C851" t="inlineStr">
        <is>
          <t>RJ0975354</t>
        </is>
      </c>
      <c r="D851" t="inlineStr">
        <is>
          <t>PSQ</t>
        </is>
      </c>
      <c r="E851" t="inlineStr">
        <is>
          <t>Rua Antônio de Freitas Toledo, 175</t>
        </is>
      </c>
      <c r="F851" t="inlineStr">
        <is>
          <t>Jardim Belém</t>
        </is>
      </c>
      <c r="G851" t="inlineStr">
        <is>
          <t>São Paulo</t>
        </is>
      </c>
      <c r="H851" t="inlineStr">
        <is>
          <t>SP</t>
        </is>
      </c>
      <c r="I851" t="n">
        <v>5153</v>
      </c>
      <c r="J851" t="inlineStr">
        <is>
          <t>CAT 2</t>
        </is>
      </c>
      <c r="K851" t="inlineStr">
        <is>
          <t>Sim</t>
        </is>
      </c>
    </row>
    <row r="852">
      <c r="A852" s="1">
        <f>HYPERLINK("https://eurofarma-latam-crm.veevavault.com/#object/account__v/V4TZ025E89CCXVN", "Luise Boas")</f>
        <v/>
      </c>
      <c r="B852" s="1">
        <f>HYPERLINK("https://eurofarma-latam-crm.veevavault.com/#object/account__v/V4TZ025E89CCXVN", "Luise do Amaral Vilas Boas")</f>
        <v/>
      </c>
      <c r="C852" t="inlineStr">
        <is>
          <t>RJ1110306</t>
        </is>
      </c>
      <c r="D852" t="inlineStr">
        <is>
          <t>PSQ</t>
        </is>
      </c>
      <c r="E852" t="inlineStr">
        <is>
          <t>Rua Lopes Trovão, 52 - Sala 803</t>
        </is>
      </c>
      <c r="F852" t="inlineStr">
        <is>
          <t>Icaraí</t>
        </is>
      </c>
      <c r="G852" t="inlineStr">
        <is>
          <t>Niterói</t>
        </is>
      </c>
      <c r="H852" t="inlineStr">
        <is>
          <t>RJ</t>
        </is>
      </c>
      <c r="I852" t="n">
        <v>5153</v>
      </c>
      <c r="J852" t="inlineStr"/>
      <c r="K852" t="inlineStr"/>
    </row>
    <row r="853">
      <c r="A853" s="1">
        <f>HYPERLINK("https://eurofarma-latam-crm.veevavault.com/#object/account__v/V4TZ000019166E6", "Luiz Alberto da Motta Filho")</f>
        <v/>
      </c>
      <c r="B853" s="1">
        <f>HYPERLINK("https://eurofarma-latam-crm.veevavault.com/#object/account__v/V4TZ000019166E6", "Luiz Alberto Jardim da Motta Filho")</f>
        <v/>
      </c>
      <c r="C853" t="inlineStr">
        <is>
          <t>RJ0585387</t>
        </is>
      </c>
      <c r="D853" t="inlineStr">
        <is>
          <t>ORT</t>
        </is>
      </c>
      <c r="E853" t="inlineStr">
        <is>
          <t>Largo da Conceição, 12</t>
        </is>
      </c>
      <c r="F853" t="inlineStr">
        <is>
          <t>Centro</t>
        </is>
      </c>
      <c r="G853" t="inlineStr">
        <is>
          <t>Niterói</t>
        </is>
      </c>
      <c r="H853" t="inlineStr">
        <is>
          <t>RJ</t>
        </is>
      </c>
      <c r="I853" t="n">
        <v>5153</v>
      </c>
      <c r="J853" t="inlineStr">
        <is>
          <t>CAT 5</t>
        </is>
      </c>
      <c r="K853" t="inlineStr">
        <is>
          <t>N�o</t>
        </is>
      </c>
    </row>
    <row r="854">
      <c r="A854" s="1">
        <f>HYPERLINK("https://eurofarma-latam-crm.veevavault.com/#object/account__v/V4TZ00001915F9R", "Luiz Antônio Bento")</f>
        <v/>
      </c>
      <c r="B854" s="1">
        <f>HYPERLINK("https://eurofarma-latam-crm.veevavault.com/#object/account__v/V4TZ00001915F9R", "Luiz Antônio Rodrigues Bento")</f>
        <v/>
      </c>
      <c r="C854" t="inlineStr">
        <is>
          <t>RJ0303419</t>
        </is>
      </c>
      <c r="D854" t="inlineStr">
        <is>
          <t>PSQ</t>
        </is>
      </c>
      <c r="E854" t="inlineStr">
        <is>
          <t>Rua Ator Paulo Gustavo, 160 - Sala 1214</t>
        </is>
      </c>
      <c r="F854" t="inlineStr">
        <is>
          <t>Icaraí</t>
        </is>
      </c>
      <c r="G854" t="inlineStr">
        <is>
          <t>Niterói</t>
        </is>
      </c>
      <c r="H854" t="inlineStr">
        <is>
          <t>RJ</t>
        </is>
      </c>
      <c r="I854" t="n">
        <v>5153</v>
      </c>
      <c r="J854" t="inlineStr">
        <is>
          <t>CAT 2</t>
        </is>
      </c>
      <c r="K854" t="inlineStr">
        <is>
          <t>Sim</t>
        </is>
      </c>
    </row>
    <row r="855">
      <c r="A855" s="1">
        <f>HYPERLINK("https://eurofarma-latam-crm.veevavault.com/#object/account__v/V4TZ00001913VMI", "Luiz Antonio Ferreira")</f>
        <v/>
      </c>
      <c r="B855" s="1">
        <f>HYPERLINK("https://eurofarma-latam-crm.veevavault.com/#object/account__v/V4TZ00001913VMI", "Luiz Antonio Guimaraes Ferreira")</f>
        <v/>
      </c>
      <c r="C855" t="inlineStr">
        <is>
          <t>RJ0024257</t>
        </is>
      </c>
      <c r="D855" t="inlineStr">
        <is>
          <t>CLG</t>
        </is>
      </c>
      <c r="E855" t="inlineStr">
        <is>
          <t>Rua Doutor Nilo Peçanha, 232</t>
        </is>
      </c>
      <c r="F855" t="inlineStr">
        <is>
          <t>Centro</t>
        </is>
      </c>
      <c r="G855" t="inlineStr">
        <is>
          <t>São Gonçalo</t>
        </is>
      </c>
      <c r="H855" t="inlineStr">
        <is>
          <t>RJ</t>
        </is>
      </c>
      <c r="I855" t="n">
        <v>5153</v>
      </c>
      <c r="J855" t="inlineStr">
        <is>
          <t>CAT 2</t>
        </is>
      </c>
      <c r="K855" t="inlineStr">
        <is>
          <t>Sim</t>
        </is>
      </c>
    </row>
    <row r="856">
      <c r="A856" s="1">
        <f>HYPERLINK("https://eurofarma-latam-crm.veevavault.com/#object/account__v/V4TZ00001914KAB", "Luiz Antonio Raposo")</f>
        <v/>
      </c>
      <c r="B856" s="1">
        <f>HYPERLINK("https://eurofarma-latam-crm.veevavault.com/#object/account__v/V4TZ00001914KAB", "Luiz Antonio de Andrade Raposo")</f>
        <v/>
      </c>
      <c r="C856" t="inlineStr">
        <is>
          <t>RJ0308055</t>
        </is>
      </c>
      <c r="D856" t="inlineStr">
        <is>
          <t>PSQ</t>
        </is>
      </c>
      <c r="E856" t="inlineStr">
        <is>
          <t>Rua Ator Paulo Gustavo, 229 - Sala 1803</t>
        </is>
      </c>
      <c r="F856" t="inlineStr">
        <is>
          <t>Icaraí</t>
        </is>
      </c>
      <c r="G856" t="inlineStr">
        <is>
          <t>Niterói</t>
        </is>
      </c>
      <c r="H856" t="inlineStr">
        <is>
          <t>RJ</t>
        </is>
      </c>
      <c r="I856" t="n">
        <v>5153</v>
      </c>
      <c r="J856" t="inlineStr">
        <is>
          <t>CAT 3</t>
        </is>
      </c>
      <c r="K856" t="inlineStr">
        <is>
          <t>Sim</t>
        </is>
      </c>
    </row>
    <row r="857">
      <c r="A857" s="1">
        <f>HYPERLINK("https://eurofarma-latam-crm.veevavault.com/#object/account__v/V4TZ000018NY2JS", "Luiz Armando Velloso")</f>
        <v/>
      </c>
      <c r="B857" s="1">
        <f>HYPERLINK("https://eurofarma-latam-crm.veevavault.com/#object/account__v/V4TZ000018NY2JS", "Luiz Armando Rodrigues Velloso")</f>
        <v/>
      </c>
      <c r="C857" t="inlineStr">
        <is>
          <t>RJ0637831</t>
        </is>
      </c>
      <c r="D857" t="inlineStr">
        <is>
          <t>GAS</t>
        </is>
      </c>
      <c r="E857" t="inlineStr">
        <is>
          <t>Rua Ator Paulo Gustavo, 217 - Sala 501 e 506</t>
        </is>
      </c>
      <c r="F857" t="inlineStr">
        <is>
          <t>Icaraí</t>
        </is>
      </c>
      <c r="G857" t="inlineStr">
        <is>
          <t>Niterói</t>
        </is>
      </c>
      <c r="H857" t="inlineStr">
        <is>
          <t>RJ</t>
        </is>
      </c>
      <c r="I857" t="n">
        <v>5153</v>
      </c>
      <c r="J857" t="inlineStr">
        <is>
          <t>CAT 4</t>
        </is>
      </c>
      <c r="K857" t="inlineStr">
        <is>
          <t>Sim</t>
        </is>
      </c>
    </row>
    <row r="858">
      <c r="A858" s="1">
        <f>HYPERLINK("https://eurofarma-latam-crm.veevavault.com/#object/account__v/V4TZ000018NYW87", "Luiz Augusto de Souza")</f>
        <v/>
      </c>
      <c r="B858" s="1">
        <f>HYPERLINK("https://eurofarma-latam-crm.veevavault.com/#object/account__v/V4TZ000018NYW87", "Luiz Augusto Coutinho de Souza")</f>
        <v/>
      </c>
      <c r="C858" t="inlineStr">
        <is>
          <t>RJ0431422</t>
        </is>
      </c>
      <c r="D858" t="inlineStr">
        <is>
          <t>URO</t>
        </is>
      </c>
      <c r="E858" t="inlineStr">
        <is>
          <t>Rua Doutor Nilo Peçanha, 346</t>
        </is>
      </c>
      <c r="F858" t="inlineStr">
        <is>
          <t>Estrela do Norte</t>
        </is>
      </c>
      <c r="G858" t="inlineStr">
        <is>
          <t>São Gonçalo</t>
        </is>
      </c>
      <c r="H858" t="inlineStr">
        <is>
          <t>RJ</t>
        </is>
      </c>
      <c r="I858" t="n">
        <v>5153</v>
      </c>
      <c r="J858" t="inlineStr">
        <is>
          <t>CAT 4</t>
        </is>
      </c>
      <c r="K858" t="inlineStr">
        <is>
          <t>Sim</t>
        </is>
      </c>
    </row>
    <row r="859">
      <c r="A859" s="1">
        <f>HYPERLINK("https://eurofarma-latam-crm.veevavault.com/#object/account__v/V4TZ00001914JYN", "Luiz Felipe de Freitas")</f>
        <v/>
      </c>
      <c r="B859" s="1">
        <f>HYPERLINK("https://eurofarma-latam-crm.veevavault.com/#object/account__v/V4TZ00001914JYN", "Luiz Felipe Dias de Freitas")</f>
        <v/>
      </c>
      <c r="C859" t="inlineStr">
        <is>
          <t>RJ0778796</t>
        </is>
      </c>
      <c r="D859" t="inlineStr">
        <is>
          <t>ORT</t>
        </is>
      </c>
      <c r="E859" t="inlineStr">
        <is>
          <t>Rua La Sale, 12</t>
        </is>
      </c>
      <c r="F859" t="inlineStr">
        <is>
          <t>Centro</t>
        </is>
      </c>
      <c r="G859" t="inlineStr">
        <is>
          <t>Niterói</t>
        </is>
      </c>
      <c r="H859" t="inlineStr">
        <is>
          <t>RJ</t>
        </is>
      </c>
      <c r="I859" t="n">
        <v>5153</v>
      </c>
      <c r="J859" t="inlineStr">
        <is>
          <t>CAT 5</t>
        </is>
      </c>
      <c r="K859" t="inlineStr">
        <is>
          <t>N�o</t>
        </is>
      </c>
    </row>
    <row r="860">
      <c r="A860" s="1">
        <f>HYPERLINK("https://eurofarma-latam-crm.veevavault.com/#object/account__v/V4TZ000018NYCJZ", "Luiz Felipe Pagotto")</f>
        <v/>
      </c>
      <c r="B860" s="1">
        <f>HYPERLINK("https://eurofarma-latam-crm.veevavault.com/#object/account__v/V4TZ000018NYCJZ", "Luiz Felipe Araujo da Costa Pagotto")</f>
        <v/>
      </c>
      <c r="C860" t="inlineStr">
        <is>
          <t>RJ0792390</t>
        </is>
      </c>
      <c r="D860" t="inlineStr">
        <is>
          <t>PSQ</t>
        </is>
      </c>
      <c r="E860" t="inlineStr">
        <is>
          <t>Rua Mem de Sá, 111 - sala 705</t>
        </is>
      </c>
      <c r="F860" t="inlineStr">
        <is>
          <t>Icaraí</t>
        </is>
      </c>
      <c r="G860" t="inlineStr">
        <is>
          <t>Niterói</t>
        </is>
      </c>
      <c r="H860" t="inlineStr">
        <is>
          <t>RJ</t>
        </is>
      </c>
      <c r="I860" t="n">
        <v>5153</v>
      </c>
      <c r="J860" t="inlineStr">
        <is>
          <t>CAT 2</t>
        </is>
      </c>
      <c r="K860" t="inlineStr">
        <is>
          <t>Sim</t>
        </is>
      </c>
    </row>
    <row r="861">
      <c r="A861" s="1">
        <f>HYPERLINK("https://eurofarma-latam-crm.veevavault.com/#object/account__v/V4TZ00001913A7N", "Luiz Francisco de Freitas")</f>
        <v/>
      </c>
      <c r="B861" s="1">
        <f>HYPERLINK("https://eurofarma-latam-crm.veevavault.com/#object/account__v/V4TZ00001913A7N", "Luiz Francisco Fraga de Freitas")</f>
        <v/>
      </c>
      <c r="C861" t="inlineStr">
        <is>
          <t>RJ0157291</t>
        </is>
      </c>
      <c r="D861" t="inlineStr">
        <is>
          <t>ORT</t>
        </is>
      </c>
      <c r="E861" t="inlineStr">
        <is>
          <t>Rua das Acácias, 948</t>
        </is>
      </c>
      <c r="F861" t="inlineStr">
        <is>
          <t>Centro</t>
        </is>
      </c>
      <c r="G861" t="inlineStr">
        <is>
          <t>Maricá</t>
        </is>
      </c>
      <c r="H861" t="inlineStr">
        <is>
          <t>RJ</t>
        </is>
      </c>
      <c r="I861" t="n">
        <v>5153</v>
      </c>
      <c r="J861" t="inlineStr">
        <is>
          <t>CAT 5</t>
        </is>
      </c>
      <c r="K861" t="inlineStr">
        <is>
          <t>N�o</t>
        </is>
      </c>
    </row>
    <row r="862">
      <c r="A862" s="1">
        <f>HYPERLINK("https://eurofarma-latam-crm.veevavault.com/#object/account__v/V4TZ000018NZ3V6", "Luiz Marcelo Barretto")</f>
        <v/>
      </c>
      <c r="B862" s="1">
        <f>HYPERLINK("https://eurofarma-latam-crm.veevavault.com/#object/account__v/V4TZ000018NZ3V6", "Luiz Marcelo Rocha Pinto Barretto")</f>
        <v/>
      </c>
      <c r="C862" t="inlineStr">
        <is>
          <t>RJ1082442</t>
        </is>
      </c>
      <c r="D862" t="inlineStr">
        <is>
          <t>PSQ</t>
        </is>
      </c>
      <c r="E862" t="inlineStr">
        <is>
          <t>Rua Ator Paulo Gustavo, 160</t>
        </is>
      </c>
      <c r="F862" t="inlineStr">
        <is>
          <t>Icaraí</t>
        </is>
      </c>
      <c r="G862" t="inlineStr">
        <is>
          <t>Niterói</t>
        </is>
      </c>
      <c r="H862" t="inlineStr">
        <is>
          <t>RJ</t>
        </is>
      </c>
      <c r="I862" t="n">
        <v>5153</v>
      </c>
      <c r="J862" t="inlineStr">
        <is>
          <t>CAT 2</t>
        </is>
      </c>
      <c r="K862" t="inlineStr">
        <is>
          <t>Sim</t>
        </is>
      </c>
    </row>
    <row r="863">
      <c r="A863" s="1">
        <f>HYPERLINK("https://eurofarma-latam-crm.veevavault.com/#object/account__v/V4TZ00001915816", "Luiz Penteado")</f>
        <v/>
      </c>
      <c r="B863" s="1">
        <f>HYPERLINK("https://eurofarma-latam-crm.veevavault.com/#object/account__v/V4TZ00001915816", "Luiz Otavio Sampaio Penteado")</f>
        <v/>
      </c>
      <c r="C863" t="inlineStr">
        <is>
          <t>RJ0458119</t>
        </is>
      </c>
      <c r="D863" t="inlineStr">
        <is>
          <t>ORT</t>
        </is>
      </c>
      <c r="E863" t="inlineStr">
        <is>
          <t>Boulevard Vinte e Oito de Setembro, 77</t>
        </is>
      </c>
      <c r="F863" t="inlineStr">
        <is>
          <t>Vila Isabel</t>
        </is>
      </c>
      <c r="G863" t="inlineStr">
        <is>
          <t>Rio de Janeiro</t>
        </is>
      </c>
      <c r="H863" t="inlineStr">
        <is>
          <t>RJ</t>
        </is>
      </c>
      <c r="I863" t="n">
        <v>5153</v>
      </c>
      <c r="J863" t="inlineStr">
        <is>
          <t>CAT 5</t>
        </is>
      </c>
      <c r="K863" t="inlineStr">
        <is>
          <t>Sim</t>
        </is>
      </c>
    </row>
    <row r="864">
      <c r="A864" s="1">
        <f>HYPERLINK("https://eurofarma-latam-crm.veevavault.com/#object/account__v/V4TZ00001915MLJ", "Luiz Quinellato")</f>
        <v/>
      </c>
      <c r="B864" s="1">
        <f>HYPERLINK("https://eurofarma-latam-crm.veevavault.com/#object/account__v/V4TZ00001915MLJ", "Luiz Pinheiro Quinellato")</f>
        <v/>
      </c>
      <c r="C864" t="inlineStr">
        <is>
          <t>RJ0249074</t>
        </is>
      </c>
      <c r="D864" t="inlineStr">
        <is>
          <t>GAS</t>
        </is>
      </c>
      <c r="E864" t="inlineStr">
        <is>
          <t>Rua Conde de Bonfim, 344 - Bl 01 Sala 409</t>
        </is>
      </c>
      <c r="F864" t="inlineStr">
        <is>
          <t>Tijuca</t>
        </is>
      </c>
      <c r="G864" t="inlineStr">
        <is>
          <t>Rio de Janeiro</t>
        </is>
      </c>
      <c r="H864" t="inlineStr">
        <is>
          <t>RJ</t>
        </is>
      </c>
      <c r="I864" t="n">
        <v>5153</v>
      </c>
      <c r="J864" t="inlineStr">
        <is>
          <t>CAT 4</t>
        </is>
      </c>
      <c r="K864" t="inlineStr">
        <is>
          <t>Sim</t>
        </is>
      </c>
    </row>
    <row r="865">
      <c r="A865" s="1">
        <f>HYPERLINK("https://eurofarma-latam-crm.veevavault.com/#object/account__v/V4TZ00001914ZKW", "Luiz Wander da Silva")</f>
        <v/>
      </c>
      <c r="B865" s="1">
        <f>HYPERLINK("https://eurofarma-latam-crm.veevavault.com/#object/account__v/V4TZ00001914ZKW", "Luiz Wander Nery Cardim da Silva")</f>
        <v/>
      </c>
      <c r="C865" t="inlineStr">
        <is>
          <t>RJ0955337</t>
        </is>
      </c>
      <c r="D865" t="inlineStr">
        <is>
          <t>PSQ</t>
        </is>
      </c>
      <c r="E865" t="inlineStr">
        <is>
          <t>Rua Ator Paulo Gustavo, 26 - Sala 710</t>
        </is>
      </c>
      <c r="F865" t="inlineStr">
        <is>
          <t>Icaraí</t>
        </is>
      </c>
      <c r="G865" t="inlineStr">
        <is>
          <t>Niterói</t>
        </is>
      </c>
      <c r="H865" t="inlineStr">
        <is>
          <t>RJ</t>
        </is>
      </c>
      <c r="I865" t="n">
        <v>5153</v>
      </c>
      <c r="J865" t="inlineStr">
        <is>
          <t>CAT 3</t>
        </is>
      </c>
      <c r="K865" t="inlineStr">
        <is>
          <t>Sim</t>
        </is>
      </c>
    </row>
    <row r="866">
      <c r="A866" s="1">
        <f>HYPERLINK("https://eurofarma-latam-crm.veevavault.com/#object/account__v/V4TZ00001912YGP", "Luzia Hadj")</f>
        <v/>
      </c>
      <c r="B866" s="1">
        <f>HYPERLINK("https://eurofarma-latam-crm.veevavault.com/#object/account__v/V4TZ00001912YGP", "Luzia Abrao El Hadj")</f>
        <v/>
      </c>
      <c r="C866" t="inlineStr">
        <is>
          <t>RJ0524693</t>
        </is>
      </c>
      <c r="D866" t="inlineStr">
        <is>
          <t>ORL</t>
        </is>
      </c>
      <c r="E866" t="inlineStr">
        <is>
          <t>Avenida Londres, 616</t>
        </is>
      </c>
      <c r="F866" t="inlineStr">
        <is>
          <t>Bonsucesso</t>
        </is>
      </c>
      <c r="G866" t="inlineStr">
        <is>
          <t>Rio de Janeiro</t>
        </is>
      </c>
      <c r="H866" t="inlineStr">
        <is>
          <t>RJ</t>
        </is>
      </c>
      <c r="I866" t="n">
        <v>5153</v>
      </c>
      <c r="J866" t="inlineStr">
        <is>
          <t>CAT 4</t>
        </is>
      </c>
      <c r="K866" t="inlineStr">
        <is>
          <t>Sim</t>
        </is>
      </c>
    </row>
    <row r="867">
      <c r="A867" s="1">
        <f>HYPERLINK("https://eurofarma-latam-crm.veevavault.com/#object/account__v/V4TZ00001914WAO", "Marcela de Moraes")</f>
        <v/>
      </c>
      <c r="B867" s="1">
        <f>HYPERLINK("https://eurofarma-latam-crm.veevavault.com/#object/account__v/V4TZ00001914WAO", "Marcela Nardi de Moraes")</f>
        <v/>
      </c>
      <c r="C867" t="inlineStr">
        <is>
          <t>RJ0877530</t>
        </is>
      </c>
      <c r="D867" t="inlineStr">
        <is>
          <t>CLG</t>
        </is>
      </c>
      <c r="E867" t="inlineStr">
        <is>
          <t>Rua Miguel de Frias, 51 - Sala 608</t>
        </is>
      </c>
      <c r="F867" t="inlineStr">
        <is>
          <t>Icaraí</t>
        </is>
      </c>
      <c r="G867" t="inlineStr">
        <is>
          <t>Niterói</t>
        </is>
      </c>
      <c r="H867" t="inlineStr">
        <is>
          <t>RJ</t>
        </is>
      </c>
      <c r="I867" t="n">
        <v>5153</v>
      </c>
      <c r="J867" t="inlineStr">
        <is>
          <t>CAT 4</t>
        </is>
      </c>
      <c r="K867" t="inlineStr">
        <is>
          <t>Sim</t>
        </is>
      </c>
    </row>
    <row r="868">
      <c r="A868" s="1">
        <f>HYPERLINK("https://eurofarma-latam-crm.veevavault.com/#object/account__v/V4TZ000018NXM31", "Marcela Mello")</f>
        <v/>
      </c>
      <c r="B868" s="1">
        <f>HYPERLINK("https://eurofarma-latam-crm.veevavault.com/#object/account__v/V4TZ000018NXM31", "Marcela Grativol Costa Pires de Mello")</f>
        <v/>
      </c>
      <c r="C868" t="inlineStr">
        <is>
          <t>RJ0632341</t>
        </is>
      </c>
      <c r="D868" t="inlineStr">
        <is>
          <t>ORL</t>
        </is>
      </c>
      <c r="E868" t="inlineStr">
        <is>
          <t>Rua Otávio Carneiro, 143 - Salas 1101 á 1103</t>
        </is>
      </c>
      <c r="F868" t="inlineStr">
        <is>
          <t>Icaraí</t>
        </is>
      </c>
      <c r="G868" t="inlineStr">
        <is>
          <t>Niterói</t>
        </is>
      </c>
      <c r="H868" t="inlineStr">
        <is>
          <t>RJ</t>
        </is>
      </c>
      <c r="I868" t="n">
        <v>5153</v>
      </c>
      <c r="J868" t="inlineStr"/>
      <c r="K868" t="inlineStr"/>
    </row>
    <row r="869">
      <c r="A869" s="1">
        <f>HYPERLINK("https://eurofarma-latam-crm.veevavault.com/#object/account__v/V4T00000000L080", "Marcella Miranda")</f>
        <v/>
      </c>
      <c r="B869" s="1">
        <f>HYPERLINK("https://eurofarma-latam-crm.veevavault.com/#object/account__v/V4T00000000L080", "Marcella Rezende Miranda")</f>
        <v/>
      </c>
      <c r="C869" t="inlineStr">
        <is>
          <t>RJ0965693</t>
        </is>
      </c>
      <c r="D869" t="inlineStr">
        <is>
          <t>GAS</t>
        </is>
      </c>
      <c r="E869" t="inlineStr">
        <is>
          <t>Rua Almirante Baltazar, 333 - Salas 711 á 831</t>
        </is>
      </c>
      <c r="F869" t="inlineStr">
        <is>
          <t>São Cristóvão</t>
        </is>
      </c>
      <c r="G869" t="inlineStr">
        <is>
          <t>Rio de Janeiro</t>
        </is>
      </c>
      <c r="H869" t="inlineStr">
        <is>
          <t>RJ</t>
        </is>
      </c>
      <c r="I869" t="n">
        <v>5153</v>
      </c>
      <c r="J869" t="inlineStr"/>
      <c r="K869" t="inlineStr"/>
    </row>
    <row r="870">
      <c r="A870" s="1">
        <f>HYPERLINK("https://eurofarma-latam-crm.veevavault.com/#object/account__v/V4TZ00001914MGL", "Marcelo Dias")</f>
        <v/>
      </c>
      <c r="B870" s="1">
        <f>HYPERLINK("https://eurofarma-latam-crm.veevavault.com/#object/account__v/V4TZ00001914MGL", "Marcelo Carvalho Bassani Dias")</f>
        <v/>
      </c>
      <c r="C870" t="inlineStr">
        <is>
          <t>RJ0736520</t>
        </is>
      </c>
      <c r="D870" t="inlineStr">
        <is>
          <t>ORT</t>
        </is>
      </c>
      <c r="E870" t="inlineStr">
        <is>
          <t>Rua Manoel de Abreu, 9 - Parte</t>
        </is>
      </c>
      <c r="F870" t="inlineStr">
        <is>
          <t>Centro</t>
        </is>
      </c>
      <c r="G870" t="inlineStr">
        <is>
          <t>Niterói</t>
        </is>
      </c>
      <c r="H870" t="inlineStr">
        <is>
          <t>RJ</t>
        </is>
      </c>
      <c r="I870" t="n">
        <v>5153</v>
      </c>
      <c r="J870" t="inlineStr">
        <is>
          <t>CAT 3</t>
        </is>
      </c>
      <c r="K870" t="inlineStr">
        <is>
          <t>Sim</t>
        </is>
      </c>
    </row>
    <row r="871">
      <c r="A871" s="1">
        <f>HYPERLINK("https://eurofarma-latam-crm.veevavault.com/#object/account__v/V4TZ00001913S6Q", "Marcelo Garibe")</f>
        <v/>
      </c>
      <c r="B871" s="1">
        <f>HYPERLINK("https://eurofarma-latam-crm.veevavault.com/#object/account__v/V4TZ00001913S6Q", "Marcelo Caminha Garibe")</f>
        <v/>
      </c>
      <c r="C871" t="inlineStr">
        <is>
          <t>RJ0591063</t>
        </is>
      </c>
      <c r="D871" t="inlineStr">
        <is>
          <t>PED</t>
        </is>
      </c>
      <c r="E871" t="inlineStr">
        <is>
          <t>Avenida Carlos Ermelindo Marins , S/N</t>
        </is>
      </c>
      <c r="F871" t="inlineStr">
        <is>
          <t>Jurujuba</t>
        </is>
      </c>
      <c r="G871" t="inlineStr">
        <is>
          <t>Niterói</t>
        </is>
      </c>
      <c r="H871" t="inlineStr">
        <is>
          <t>RJ</t>
        </is>
      </c>
      <c r="I871" t="n">
        <v>5153</v>
      </c>
      <c r="J871" t="inlineStr">
        <is>
          <t>CAT 4</t>
        </is>
      </c>
      <c r="K871" t="inlineStr">
        <is>
          <t>Sim</t>
        </is>
      </c>
    </row>
    <row r="872">
      <c r="A872" s="1">
        <f>HYPERLINK("https://eurofarma-latam-crm.veevavault.com/#object/account__v/V4TZ00001914KT5", "Marcelo Mathias")</f>
        <v/>
      </c>
      <c r="B872" s="1">
        <f>HYPERLINK("https://eurofarma-latam-crm.veevavault.com/#object/account__v/V4TZ00001914KT5", "Marcelo Bezerra Mathias")</f>
        <v/>
      </c>
      <c r="C872" t="inlineStr">
        <is>
          <t>RJ0484720</t>
        </is>
      </c>
      <c r="D872" t="inlineStr">
        <is>
          <t>ORT</t>
        </is>
      </c>
      <c r="E872" t="inlineStr">
        <is>
          <t>Rua General Pereira da Silva, 278</t>
        </is>
      </c>
      <c r="F872" t="inlineStr">
        <is>
          <t>Icaraí</t>
        </is>
      </c>
      <c r="G872" t="inlineStr">
        <is>
          <t>Niterói</t>
        </is>
      </c>
      <c r="H872" t="inlineStr">
        <is>
          <t>RJ</t>
        </is>
      </c>
      <c r="I872" t="n">
        <v>5153</v>
      </c>
      <c r="J872" t="inlineStr">
        <is>
          <t>CAT 3</t>
        </is>
      </c>
      <c r="K872" t="inlineStr">
        <is>
          <t>Sim</t>
        </is>
      </c>
    </row>
    <row r="873">
      <c r="A873" s="1">
        <f>HYPERLINK("https://eurofarma-latam-crm.veevavault.com/#object/account__v/V4TZ000018NXRYT", "Marcelo Otaviano")</f>
        <v/>
      </c>
      <c r="B873" s="1">
        <f>HYPERLINK("https://eurofarma-latam-crm.veevavault.com/#object/account__v/V4TZ000018NXRYT", "Marcelo de Souza Otaviano")</f>
        <v/>
      </c>
      <c r="C873" t="inlineStr">
        <is>
          <t>RJ0927716</t>
        </is>
      </c>
      <c r="D873" t="inlineStr">
        <is>
          <t>ORL</t>
        </is>
      </c>
      <c r="E873" t="inlineStr">
        <is>
          <t>Avenida Oito de Maio, 534</t>
        </is>
      </c>
      <c r="F873" t="inlineStr">
        <is>
          <t>Centro</t>
        </is>
      </c>
      <c r="G873" t="inlineStr">
        <is>
          <t>Silva Jardim</t>
        </is>
      </c>
      <c r="H873" t="inlineStr">
        <is>
          <t>RJ</t>
        </is>
      </c>
      <c r="I873" t="n">
        <v>5153</v>
      </c>
      <c r="J873" t="inlineStr">
        <is>
          <t>CAT 3</t>
        </is>
      </c>
      <c r="K873" t="inlineStr">
        <is>
          <t>Sim</t>
        </is>
      </c>
    </row>
    <row r="874">
      <c r="A874" s="1">
        <f>HYPERLINK("https://eurofarma-latam-crm.veevavault.com/#object/account__v/V4TZ00001914INP", "Marcelo Schott")</f>
        <v/>
      </c>
      <c r="B874" s="1">
        <f>HYPERLINK("https://eurofarma-latam-crm.veevavault.com/#object/account__v/V4TZ00001914INP", "Marcelo Viana Schott")</f>
        <v/>
      </c>
      <c r="C874" t="inlineStr">
        <is>
          <t>RJ0663972</t>
        </is>
      </c>
      <c r="D874" t="inlineStr">
        <is>
          <t>ORT</t>
        </is>
      </c>
      <c r="E874" t="inlineStr">
        <is>
          <t>Rua Doutor Francisco Portela, 2279</t>
        </is>
      </c>
      <c r="F874" t="inlineStr">
        <is>
          <t>Parada 40</t>
        </is>
      </c>
      <c r="G874" t="inlineStr">
        <is>
          <t>São Gonçalo</t>
        </is>
      </c>
      <c r="H874" t="inlineStr">
        <is>
          <t>RJ</t>
        </is>
      </c>
      <c r="I874" t="n">
        <v>5153</v>
      </c>
      <c r="J874" t="inlineStr"/>
      <c r="K874" t="inlineStr"/>
    </row>
    <row r="875">
      <c r="A875" s="1">
        <f>HYPERLINK("https://eurofarma-latam-crm.veevavault.com/#object/account__v/V4TZ000019135DR", "Marcia Cristina Ribas")</f>
        <v/>
      </c>
      <c r="B875" s="1">
        <f>HYPERLINK("https://eurofarma-latam-crm.veevavault.com/#object/account__v/V4TZ000019135DR", "Marcia Cristina Antunes Ribas")</f>
        <v/>
      </c>
      <c r="C875" t="inlineStr">
        <is>
          <t>RJ0566220</t>
        </is>
      </c>
      <c r="D875" t="inlineStr">
        <is>
          <t>CLG / SNC</t>
        </is>
      </c>
      <c r="E875" t="inlineStr">
        <is>
          <t>Rua Otávio Carneiro, 143 - Sala 1209</t>
        </is>
      </c>
      <c r="F875" t="inlineStr">
        <is>
          <t>Icaraí</t>
        </is>
      </c>
      <c r="G875" t="inlineStr">
        <is>
          <t>Niterói</t>
        </is>
      </c>
      <c r="H875" t="inlineStr">
        <is>
          <t>RJ</t>
        </is>
      </c>
      <c r="I875" t="n">
        <v>5153</v>
      </c>
      <c r="J875" t="inlineStr">
        <is>
          <t>CAT 3</t>
        </is>
      </c>
      <c r="K875" t="inlineStr">
        <is>
          <t>Sim</t>
        </is>
      </c>
    </row>
    <row r="876">
      <c r="A876" s="1">
        <f>HYPERLINK("https://eurofarma-latam-crm.veevavault.com/#object/account__v/V4TZ000018NZ723", "Marcia Leal")</f>
        <v/>
      </c>
      <c r="B876" s="1">
        <f>HYPERLINK("https://eurofarma-latam-crm.veevavault.com/#object/account__v/V4TZ000018NZ723", "Marcia Teixeira Magalhães Leal")</f>
        <v/>
      </c>
      <c r="C876" t="inlineStr">
        <is>
          <t>RJ0428928</t>
        </is>
      </c>
      <c r="D876" t="inlineStr">
        <is>
          <t>PED</t>
        </is>
      </c>
      <c r="E876" t="inlineStr">
        <is>
          <t>Avenida Professor João Brasil, S/N</t>
        </is>
      </c>
      <c r="F876" t="inlineStr">
        <is>
          <t>Fonseca</t>
        </is>
      </c>
      <c r="G876" t="inlineStr">
        <is>
          <t>Niterói</t>
        </is>
      </c>
      <c r="H876" t="inlineStr">
        <is>
          <t>RJ</t>
        </is>
      </c>
      <c r="I876" t="n">
        <v>5153</v>
      </c>
      <c r="J876" t="inlineStr">
        <is>
          <t>CAT 5</t>
        </is>
      </c>
      <c r="K876" t="inlineStr">
        <is>
          <t>Sim</t>
        </is>
      </c>
    </row>
    <row r="877">
      <c r="A877" s="1">
        <f>HYPERLINK("https://eurofarma-latam-crm.veevavault.com/#object/account__v/V4TZ00001915OPW", "Marcia Werneck")</f>
        <v/>
      </c>
      <c r="B877" s="1">
        <f>HYPERLINK("https://eurofarma-latam-crm.veevavault.com/#object/account__v/V4TZ00001915OPW", "Marcia Barroso Werneck")</f>
        <v/>
      </c>
      <c r="C877" t="inlineStr">
        <is>
          <t>RJ0633143</t>
        </is>
      </c>
      <c r="D877" t="inlineStr">
        <is>
          <t>PSQ</t>
        </is>
      </c>
      <c r="E877" t="inlineStr">
        <is>
          <t>Rua Ator Paulo Gustavo, 75</t>
        </is>
      </c>
      <c r="F877" t="inlineStr">
        <is>
          <t>Icaraí</t>
        </is>
      </c>
      <c r="G877" t="inlineStr">
        <is>
          <t>Niterói</t>
        </is>
      </c>
      <c r="H877" t="inlineStr">
        <is>
          <t>RJ</t>
        </is>
      </c>
      <c r="I877" t="n">
        <v>5153</v>
      </c>
      <c r="J877" t="inlineStr"/>
      <c r="K877" t="inlineStr"/>
    </row>
    <row r="878">
      <c r="A878" s="1">
        <f>HYPERLINK("https://eurofarma-latam-crm.veevavault.com/#object/account__v/V4TZ00001912XY4", "Marco Antonio Leite")</f>
        <v/>
      </c>
      <c r="B878" s="1">
        <f>HYPERLINK("https://eurofarma-latam-crm.veevavault.com/#object/account__v/V4TZ00001912XY4", "Marco Antonio Araujo Leite")</f>
        <v/>
      </c>
      <c r="C878" t="inlineStr">
        <is>
          <t>RJ0519440</t>
        </is>
      </c>
      <c r="D878" t="inlineStr">
        <is>
          <t>CLG / SNC</t>
        </is>
      </c>
      <c r="E878" t="inlineStr">
        <is>
          <t>Rua Doutor Tavares de Macedo, 95 - Sala 902</t>
        </is>
      </c>
      <c r="F878" t="inlineStr">
        <is>
          <t>Icaraí</t>
        </is>
      </c>
      <c r="G878" t="inlineStr">
        <is>
          <t>Niterói</t>
        </is>
      </c>
      <c r="H878" t="inlineStr">
        <is>
          <t>RJ</t>
        </is>
      </c>
      <c r="I878" t="n">
        <v>5153</v>
      </c>
      <c r="J878" t="inlineStr">
        <is>
          <t>CAT 4</t>
        </is>
      </c>
      <c r="K878" t="inlineStr">
        <is>
          <t>Sim</t>
        </is>
      </c>
    </row>
    <row r="879">
      <c r="A879" s="1">
        <f>HYPERLINK("https://eurofarma-latam-crm.veevavault.com/#object/account__v/V4TZ00001914JE2", "Marco Antônio Neves")</f>
        <v/>
      </c>
      <c r="B879" s="1">
        <f>HYPERLINK("https://eurofarma-latam-crm.veevavault.com/#object/account__v/V4TZ00001914JE2", "Marco Antônio Orsini Neves")</f>
        <v/>
      </c>
      <c r="C879" t="inlineStr">
        <is>
          <t>RJ0978027</t>
        </is>
      </c>
      <c r="D879" t="inlineStr">
        <is>
          <t>CLG / SNC</t>
        </is>
      </c>
      <c r="E879" t="inlineStr">
        <is>
          <t>Rua João de Almeida, 109</t>
        </is>
      </c>
      <c r="F879" t="inlineStr">
        <is>
          <t>Alcântara</t>
        </is>
      </c>
      <c r="G879" t="inlineStr">
        <is>
          <t>São Gonçalo</t>
        </is>
      </c>
      <c r="H879" t="inlineStr">
        <is>
          <t>RJ</t>
        </is>
      </c>
      <c r="I879" t="n">
        <v>5153</v>
      </c>
      <c r="J879" t="inlineStr">
        <is>
          <t>CAT 3</t>
        </is>
      </c>
      <c r="K879" t="inlineStr">
        <is>
          <t>Sim</t>
        </is>
      </c>
    </row>
    <row r="880">
      <c r="A880" s="1">
        <f>HYPERLINK("https://eurofarma-latam-crm.veevavault.com/#object/account__v/V4TZ00001913J0Y", "Marcos Brandao")</f>
        <v/>
      </c>
      <c r="B880" s="1">
        <f>HYPERLINK("https://eurofarma-latam-crm.veevavault.com/#object/account__v/V4TZ00001913J0Y", "Marcos Machado Brandao")</f>
        <v/>
      </c>
      <c r="C880" t="inlineStr">
        <is>
          <t>RJ0469560</t>
        </is>
      </c>
      <c r="D880" t="inlineStr">
        <is>
          <t>CLG</t>
        </is>
      </c>
      <c r="E880" t="inlineStr">
        <is>
          <t>Rua Ator Paulo Gustavo, 26 - Sala 701</t>
        </is>
      </c>
      <c r="F880" t="inlineStr">
        <is>
          <t>Icaraí</t>
        </is>
      </c>
      <c r="G880" t="inlineStr">
        <is>
          <t>Niterói</t>
        </is>
      </c>
      <c r="H880" t="inlineStr">
        <is>
          <t>RJ</t>
        </is>
      </c>
      <c r="I880" t="n">
        <v>5153</v>
      </c>
      <c r="J880" t="inlineStr">
        <is>
          <t>CAT 5</t>
        </is>
      </c>
      <c r="K880" t="inlineStr">
        <is>
          <t>Sim</t>
        </is>
      </c>
    </row>
    <row r="881">
      <c r="A881" s="1">
        <f>HYPERLINK("https://eurofarma-latam-crm.veevavault.com/#object/account__v/V4TZ00001915NR5", "Marcos César Castro")</f>
        <v/>
      </c>
      <c r="B881" s="1">
        <f>HYPERLINK("https://eurofarma-latam-crm.veevavault.com/#object/account__v/V4TZ00001915NR5", "Marcos César Santos de Castro")</f>
        <v/>
      </c>
      <c r="C881" t="inlineStr">
        <is>
          <t>RJ0781355</t>
        </is>
      </c>
      <c r="D881" t="inlineStr">
        <is>
          <t>ORL</t>
        </is>
      </c>
      <c r="E881" t="inlineStr">
        <is>
          <t>Rua Ator Paulo Gustavo, 229 - Sala 1121</t>
        </is>
      </c>
      <c r="F881" t="inlineStr">
        <is>
          <t>Icaraí</t>
        </is>
      </c>
      <c r="G881" t="inlineStr">
        <is>
          <t>Niterói</t>
        </is>
      </c>
      <c r="H881" t="inlineStr">
        <is>
          <t>RJ</t>
        </is>
      </c>
      <c r="I881" t="n">
        <v>5153</v>
      </c>
      <c r="J881" t="inlineStr"/>
      <c r="K881" t="inlineStr"/>
    </row>
    <row r="882">
      <c r="A882" s="1">
        <f>HYPERLINK("https://eurofarma-latam-crm.veevavault.com/#object/account__v/V4TZ000018NZ1VD", "Marcos Eduardo Milo")</f>
        <v/>
      </c>
      <c r="B882" s="1">
        <f>HYPERLINK("https://eurofarma-latam-crm.veevavault.com/#object/account__v/V4TZ000018NZ1VD", "Marcos Eduardo Abreu Milo")</f>
        <v/>
      </c>
      <c r="C882" t="inlineStr">
        <is>
          <t>RJ0736600</t>
        </is>
      </c>
      <c r="D882" t="inlineStr">
        <is>
          <t>PSQ</t>
        </is>
      </c>
      <c r="E882" t="inlineStr">
        <is>
          <t>Rua Mem de Sá, 19 - Sala 609</t>
        </is>
      </c>
      <c r="F882" t="inlineStr">
        <is>
          <t>Icaraí</t>
        </is>
      </c>
      <c r="G882" t="inlineStr">
        <is>
          <t>Niterói</t>
        </is>
      </c>
      <c r="H882" t="inlineStr">
        <is>
          <t>RJ</t>
        </is>
      </c>
      <c r="I882" t="n">
        <v>5153</v>
      </c>
      <c r="J882" t="inlineStr">
        <is>
          <t>CAT 1</t>
        </is>
      </c>
      <c r="K882" t="inlineStr">
        <is>
          <t>Sim</t>
        </is>
      </c>
    </row>
    <row r="883">
      <c r="A883" s="1">
        <f>HYPERLINK("https://eurofarma-latam-crm.veevavault.com/#object/account__v/V4TZ00001915VAK", "Marcos José Argolo")</f>
        <v/>
      </c>
      <c r="B883" s="1">
        <f>HYPERLINK("https://eurofarma-latam-crm.veevavault.com/#object/account__v/V4TZ00001915VAK", "Marcos José Relvas Argolo")</f>
        <v/>
      </c>
      <c r="C883" t="inlineStr">
        <is>
          <t>RJ0616040</t>
        </is>
      </c>
      <c r="D883" t="inlineStr">
        <is>
          <t>PSQ</t>
        </is>
      </c>
      <c r="E883" t="inlineStr">
        <is>
          <t>Rua Doutor Tavares de Macedo, 95 - Sala 1108</t>
        </is>
      </c>
      <c r="F883" t="inlineStr">
        <is>
          <t>Icaraí</t>
        </is>
      </c>
      <c r="G883" t="inlineStr">
        <is>
          <t>Niterói</t>
        </is>
      </c>
      <c r="H883" t="inlineStr">
        <is>
          <t>RJ</t>
        </is>
      </c>
      <c r="I883" t="n">
        <v>5153</v>
      </c>
      <c r="J883" t="inlineStr">
        <is>
          <t>CAT 4</t>
        </is>
      </c>
      <c r="K883" t="inlineStr">
        <is>
          <t>Sim</t>
        </is>
      </c>
    </row>
    <row r="884">
      <c r="A884" s="1">
        <f>HYPERLINK("https://eurofarma-latam-crm.veevavault.com/#object/account__v/V4TZ00001915U2P", "Marcos Moreira")</f>
        <v/>
      </c>
      <c r="B884" s="1">
        <f>HYPERLINK("https://eurofarma-latam-crm.veevavault.com/#object/account__v/V4TZ00001915U2P", "Marcos Muniz Moreira")</f>
        <v/>
      </c>
      <c r="C884" t="inlineStr">
        <is>
          <t>RJ0780154</t>
        </is>
      </c>
      <c r="D884" t="inlineStr">
        <is>
          <t>PSQ</t>
        </is>
      </c>
      <c r="E884" t="inlineStr">
        <is>
          <t>Avenida Quintino Bocaiúva, S/N</t>
        </is>
      </c>
      <c r="F884" t="inlineStr">
        <is>
          <t>São Francisco</t>
        </is>
      </c>
      <c r="G884" t="inlineStr">
        <is>
          <t>Niterói</t>
        </is>
      </c>
      <c r="H884" t="inlineStr">
        <is>
          <t>RJ</t>
        </is>
      </c>
      <c r="I884" t="n">
        <v>5153</v>
      </c>
      <c r="J884" t="inlineStr">
        <is>
          <t>CAT 2</t>
        </is>
      </c>
      <c r="K884" t="inlineStr">
        <is>
          <t>Sim</t>
        </is>
      </c>
    </row>
    <row r="885">
      <c r="A885" s="1">
        <f>HYPERLINK("https://eurofarma-latam-crm.veevavault.com/#object/account__v/V4TZ00001913YM8", "Marcos Raimundo de Freitas")</f>
        <v/>
      </c>
      <c r="B885" s="1">
        <f>HYPERLINK("https://eurofarma-latam-crm.veevavault.com/#object/account__v/V4TZ00001913YM8", "Marcos Raimundo Gomes de Freitas")</f>
        <v/>
      </c>
      <c r="C885" t="inlineStr">
        <is>
          <t>RJ0127686</t>
        </is>
      </c>
      <c r="D885" t="inlineStr">
        <is>
          <t>CLG / SNC</t>
        </is>
      </c>
      <c r="E885" t="inlineStr">
        <is>
          <t>Rua Miguel de Frias, 77 - Sala 1002</t>
        </is>
      </c>
      <c r="F885" t="inlineStr">
        <is>
          <t>Icaraí</t>
        </is>
      </c>
      <c r="G885" t="inlineStr">
        <is>
          <t>Niterói</t>
        </is>
      </c>
      <c r="H885" t="inlineStr">
        <is>
          <t>RJ</t>
        </is>
      </c>
      <c r="I885" t="n">
        <v>5153</v>
      </c>
      <c r="J885" t="inlineStr">
        <is>
          <t>CAT 3</t>
        </is>
      </c>
      <c r="K885" t="inlineStr">
        <is>
          <t>Sim</t>
        </is>
      </c>
    </row>
    <row r="886">
      <c r="A886" s="1">
        <f>HYPERLINK("https://eurofarma-latam-crm.veevavault.com/#object/account__v/V4TZ00001914EF9", "Marcos Vinicius de Oliveira")</f>
        <v/>
      </c>
      <c r="B886" s="1">
        <f>HYPERLINK("https://eurofarma-latam-crm.veevavault.com/#object/account__v/V4TZ00001914EF9", "Marcos Vinicius Pinto de Oliveira")</f>
        <v/>
      </c>
      <c r="C886" t="inlineStr">
        <is>
          <t>RJ0546507</t>
        </is>
      </c>
      <c r="D886" t="inlineStr">
        <is>
          <t>CLG</t>
        </is>
      </c>
      <c r="E886" t="inlineStr">
        <is>
          <t>Rua Manoel de Abreu, 9 - Parte</t>
        </is>
      </c>
      <c r="F886" t="inlineStr">
        <is>
          <t>Centro</t>
        </is>
      </c>
      <c r="G886" t="inlineStr">
        <is>
          <t>Niterói</t>
        </is>
      </c>
      <c r="H886" t="inlineStr">
        <is>
          <t>RJ</t>
        </is>
      </c>
      <c r="I886" t="n">
        <v>5153</v>
      </c>
      <c r="J886" t="inlineStr">
        <is>
          <t>CAT 2</t>
        </is>
      </c>
      <c r="K886" t="inlineStr">
        <is>
          <t>Sim</t>
        </is>
      </c>
    </row>
    <row r="887">
      <c r="A887" s="1">
        <f>HYPERLINK("https://eurofarma-latam-crm.veevavault.com/#object/account__v/V4TZ00001913QFV", "Marcus da Silva")</f>
        <v/>
      </c>
      <c r="B887" s="1">
        <f>HYPERLINK("https://eurofarma-latam-crm.veevavault.com/#object/account__v/V4TZ00001913QFV", "Marcus Tulius Teixeira da Silva")</f>
        <v/>
      </c>
      <c r="C887" t="inlineStr">
        <is>
          <t>RJ0629812</t>
        </is>
      </c>
      <c r="D887" t="inlineStr">
        <is>
          <t>CLG / SNC</t>
        </is>
      </c>
      <c r="E887" t="inlineStr">
        <is>
          <t>Rua Manoel de Abreu, 9 - Parte</t>
        </is>
      </c>
      <c r="F887" t="inlineStr">
        <is>
          <t>Centro</t>
        </is>
      </c>
      <c r="G887" t="inlineStr">
        <is>
          <t>Niterói</t>
        </is>
      </c>
      <c r="H887" t="inlineStr">
        <is>
          <t>RJ</t>
        </is>
      </c>
      <c r="I887" t="n">
        <v>5153</v>
      </c>
      <c r="J887" t="inlineStr">
        <is>
          <t>CAT 1</t>
        </is>
      </c>
      <c r="K887" t="inlineStr">
        <is>
          <t>Sim</t>
        </is>
      </c>
    </row>
    <row r="888">
      <c r="A888" s="1">
        <f>HYPERLINK("https://eurofarma-latam-crm.veevavault.com/#object/account__v/V4TZ000018NXQT1", "Margarida Coutinho")</f>
        <v/>
      </c>
      <c r="B888" s="1">
        <f>HYPERLINK("https://eurofarma-latam-crm.veevavault.com/#object/account__v/V4TZ000018NXQT1", "Margarida Tutungi Pereira de Abreu Coutinho")</f>
        <v/>
      </c>
      <c r="C888" t="inlineStr">
        <is>
          <t>RJ0664006</t>
        </is>
      </c>
      <c r="D888" t="inlineStr">
        <is>
          <t>GER</t>
        </is>
      </c>
      <c r="E888" t="inlineStr">
        <is>
          <t>Rua Doutor Celestino, 122 - Salas 1311/1312/1313</t>
        </is>
      </c>
      <c r="F888" t="inlineStr">
        <is>
          <t>Centro</t>
        </is>
      </c>
      <c r="G888" t="inlineStr">
        <is>
          <t>Niterói</t>
        </is>
      </c>
      <c r="H888" t="inlineStr">
        <is>
          <t>RJ</t>
        </is>
      </c>
      <c r="I888" t="n">
        <v>5153</v>
      </c>
      <c r="J888" t="inlineStr">
        <is>
          <t>CAT 3</t>
        </is>
      </c>
      <c r="K888" t="inlineStr">
        <is>
          <t>Sim</t>
        </is>
      </c>
    </row>
    <row r="889">
      <c r="A889" s="1">
        <f>HYPERLINK("https://eurofarma-latam-crm.veevavault.com/#object/account__v/V4TZ00001914YRH", "Maria Amélia Priuli")</f>
        <v/>
      </c>
      <c r="B889" s="1">
        <f>HYPERLINK("https://eurofarma-latam-crm.veevavault.com/#object/account__v/V4TZ00001914YRH", "Maria Amélia Nascimento Priuli")</f>
        <v/>
      </c>
      <c r="C889" t="inlineStr">
        <is>
          <t>RJ0255117</t>
        </is>
      </c>
      <c r="D889" t="inlineStr">
        <is>
          <t>ORL</t>
        </is>
      </c>
      <c r="E889" t="inlineStr">
        <is>
          <t>Rua Primeiro de Maio, 34</t>
        </is>
      </c>
      <c r="F889" t="inlineStr">
        <is>
          <t>Centro</t>
        </is>
      </c>
      <c r="G889" t="inlineStr">
        <is>
          <t>Tanguá</t>
        </is>
      </c>
      <c r="H889" t="inlineStr">
        <is>
          <t>RJ</t>
        </is>
      </c>
      <c r="I889" t="n">
        <v>5153</v>
      </c>
      <c r="J889" t="inlineStr">
        <is>
          <t>CAT 1</t>
        </is>
      </c>
      <c r="K889" t="inlineStr">
        <is>
          <t>Sim</t>
        </is>
      </c>
    </row>
    <row r="890">
      <c r="A890" s="1">
        <f>HYPERLINK("https://eurofarma-latam-crm.veevavault.com/#object/account__v/V4TZ000018NXNFK", "Maria Lúcia Hammerli")</f>
        <v/>
      </c>
      <c r="B890" s="1">
        <f>HYPERLINK("https://eurofarma-latam-crm.veevavault.com/#object/account__v/V4TZ000018NXNFK", "Maria Lúcia Diniz Hammerli")</f>
        <v/>
      </c>
      <c r="C890" t="inlineStr">
        <is>
          <t>RJ0281379</t>
        </is>
      </c>
      <c r="D890" t="inlineStr">
        <is>
          <t>CLG / SNC</t>
        </is>
      </c>
      <c r="E890" t="inlineStr">
        <is>
          <t>Rua Mariz e Barros, 176 - Sala 504</t>
        </is>
      </c>
      <c r="F890" t="inlineStr">
        <is>
          <t>Icaraí</t>
        </is>
      </c>
      <c r="G890" t="inlineStr">
        <is>
          <t>Niterói</t>
        </is>
      </c>
      <c r="H890" t="inlineStr">
        <is>
          <t>RJ</t>
        </is>
      </c>
      <c r="I890" t="n">
        <v>5153</v>
      </c>
      <c r="J890" t="inlineStr">
        <is>
          <t>CAT 3</t>
        </is>
      </c>
      <c r="K890" t="inlineStr">
        <is>
          <t>Sim</t>
        </is>
      </c>
    </row>
    <row r="891">
      <c r="A891" s="1">
        <f>HYPERLINK("https://eurofarma-latam-crm.veevavault.com/#object/account__v/V4TZ025E8BUCI3U", "Maria Luiza Iung")</f>
        <v/>
      </c>
      <c r="B891" s="1">
        <f>HYPERLINK("https://eurofarma-latam-crm.veevavault.com/#object/account__v/V4TZ025E8BUCI3U", "Maria Luiza Pires Martins Iung")</f>
        <v/>
      </c>
      <c r="C891" t="inlineStr">
        <is>
          <t>RJ1355902</t>
        </is>
      </c>
      <c r="D891" t="inlineStr">
        <is>
          <t>PSQ</t>
        </is>
      </c>
      <c r="E891" t="inlineStr">
        <is>
          <t>Rua Gavião Peixoto, 70 - Sala 907</t>
        </is>
      </c>
      <c r="F891" t="inlineStr">
        <is>
          <t>Icaraí</t>
        </is>
      </c>
      <c r="G891" t="inlineStr">
        <is>
          <t>Niterói</t>
        </is>
      </c>
      <c r="H891" t="inlineStr">
        <is>
          <t>RJ</t>
        </is>
      </c>
      <c r="I891" t="n">
        <v>5153</v>
      </c>
      <c r="J891" t="inlineStr"/>
      <c r="K891" t="inlineStr"/>
    </row>
    <row r="892">
      <c r="A892" s="1">
        <f>HYPERLINK("https://eurofarma-latam-crm.veevavault.com/#object/account__v/V4TZ000018NXJ1N", "Maria Rodrigues")</f>
        <v/>
      </c>
      <c r="B892" s="1">
        <f>HYPERLINK("https://eurofarma-latam-crm.veevavault.com/#object/account__v/V4TZ000018NXJ1N", "Maria Carolina Jazbik Rodrigues")</f>
        <v/>
      </c>
      <c r="C892" t="inlineStr">
        <is>
          <t>RJ0772712</t>
        </is>
      </c>
      <c r="D892" t="inlineStr">
        <is>
          <t>PSQ</t>
        </is>
      </c>
      <c r="E892" t="inlineStr">
        <is>
          <t>Rua Mem de Sá, 111/705</t>
        </is>
      </c>
      <c r="F892" t="inlineStr">
        <is>
          <t>Icaraí</t>
        </is>
      </c>
      <c r="G892" t="inlineStr">
        <is>
          <t>Niterói</t>
        </is>
      </c>
      <c r="H892" t="inlineStr">
        <is>
          <t>RJ</t>
        </is>
      </c>
      <c r="I892" t="n">
        <v>5153</v>
      </c>
      <c r="J892" t="inlineStr">
        <is>
          <t>CAT 1</t>
        </is>
      </c>
      <c r="K892" t="inlineStr">
        <is>
          <t>Sim</t>
        </is>
      </c>
    </row>
    <row r="893">
      <c r="A893" s="1">
        <f>HYPERLINK("https://eurofarma-latam-crm.veevavault.com/#object/account__v/V4TZ000018NXJZZ", "Maria Vianna")</f>
        <v/>
      </c>
      <c r="B893" s="1">
        <f>HYPERLINK("https://eurofarma-latam-crm.veevavault.com/#object/account__v/V4TZ000018NXJZZ", "Maria Clicie Vianna")</f>
        <v/>
      </c>
      <c r="C893" t="inlineStr">
        <is>
          <t>RJ0484520</t>
        </is>
      </c>
      <c r="D893" t="inlineStr">
        <is>
          <t>END</t>
        </is>
      </c>
      <c r="E893" t="inlineStr">
        <is>
          <t>Rua Gavião Peixoto, 124 - Sala 409</t>
        </is>
      </c>
      <c r="F893" t="inlineStr">
        <is>
          <t>Icaraí</t>
        </is>
      </c>
      <c r="G893" t="inlineStr">
        <is>
          <t>Niterói</t>
        </is>
      </c>
      <c r="H893" t="inlineStr">
        <is>
          <t>RJ</t>
        </is>
      </c>
      <c r="I893" t="n">
        <v>5153</v>
      </c>
      <c r="J893" t="inlineStr">
        <is>
          <t>CAT 2</t>
        </is>
      </c>
      <c r="K893" t="inlineStr">
        <is>
          <t>Sim</t>
        </is>
      </c>
    </row>
    <row r="894">
      <c r="A894" s="1">
        <f>HYPERLINK("https://eurofarma-latam-crm.veevavault.com/#object/account__v/V4TZ00001913KJG", "Marialva Bastos")</f>
        <v/>
      </c>
      <c r="B894" s="1">
        <f>HYPERLINK("https://eurofarma-latam-crm.veevavault.com/#object/account__v/V4TZ00001913KJG", "Marialva Guimarães Bastos")</f>
        <v/>
      </c>
      <c r="C894" t="inlineStr">
        <is>
          <t>RJ0608335</t>
        </is>
      </c>
      <c r="D894" t="inlineStr">
        <is>
          <t>GER</t>
        </is>
      </c>
      <c r="E894" t="inlineStr">
        <is>
          <t>Rua Gavião Peixoto, 183 - Sala 1001</t>
        </is>
      </c>
      <c r="F894" t="inlineStr">
        <is>
          <t>Icaraí</t>
        </is>
      </c>
      <c r="G894" t="inlineStr">
        <is>
          <t>Niterói</t>
        </is>
      </c>
      <c r="H894" t="inlineStr">
        <is>
          <t>RJ</t>
        </is>
      </c>
      <c r="I894" t="n">
        <v>5153</v>
      </c>
      <c r="J894" t="inlineStr">
        <is>
          <t>CAT 2</t>
        </is>
      </c>
      <c r="K894" t="inlineStr">
        <is>
          <t>Sim</t>
        </is>
      </c>
    </row>
    <row r="895">
      <c r="A895" s="1">
        <f>HYPERLINK("https://eurofarma-latam-crm.veevavault.com/#object/account__v/V4TZ000018NY1QN", "Mariana Pereira")</f>
        <v/>
      </c>
      <c r="B895" s="1">
        <f>HYPERLINK("https://eurofarma-latam-crm.veevavault.com/#object/account__v/V4TZ000018NY1QN", "Mariana Habibe Pereira")</f>
        <v/>
      </c>
      <c r="C895" t="inlineStr">
        <is>
          <t>RJ0882224</t>
        </is>
      </c>
      <c r="D895" t="inlineStr">
        <is>
          <t>CLG</t>
        </is>
      </c>
      <c r="E895" t="inlineStr">
        <is>
          <t>Rua Lopes Trovão, 318 - Sala 602 802 803 804 806 807 901 1202 1203</t>
        </is>
      </c>
      <c r="F895" t="inlineStr">
        <is>
          <t>Icaraí</t>
        </is>
      </c>
      <c r="G895" t="inlineStr">
        <is>
          <t>Niterói</t>
        </is>
      </c>
      <c r="H895" t="inlineStr">
        <is>
          <t>RJ</t>
        </is>
      </c>
      <c r="I895" t="n">
        <v>5153</v>
      </c>
      <c r="J895" t="inlineStr">
        <is>
          <t>CAT 4</t>
        </is>
      </c>
      <c r="K895" t="inlineStr">
        <is>
          <t>Sim</t>
        </is>
      </c>
    </row>
    <row r="896">
      <c r="A896" s="1">
        <f>HYPERLINK("https://eurofarma-latam-crm.veevavault.com/#object/account__v/V4TZ00001913548", "Mariana Saad")</f>
        <v/>
      </c>
      <c r="B896" s="1">
        <f>HYPERLINK("https://eurofarma-latam-crm.veevavault.com/#object/account__v/V4TZ00001913548", "Mariana Cypreste de Miranda Saad")</f>
        <v/>
      </c>
      <c r="C896" t="inlineStr">
        <is>
          <t>RJ0702323</t>
        </is>
      </c>
      <c r="D896" t="inlineStr">
        <is>
          <t>PED</t>
        </is>
      </c>
      <c r="E896" t="inlineStr">
        <is>
          <t>Rua Doutor Nilo Peçanha, 232</t>
        </is>
      </c>
      <c r="F896" t="inlineStr">
        <is>
          <t>Centro</t>
        </is>
      </c>
      <c r="G896" t="inlineStr">
        <is>
          <t>São Gonçalo</t>
        </is>
      </c>
      <c r="H896" t="inlineStr">
        <is>
          <t>RJ</t>
        </is>
      </c>
      <c r="I896" t="n">
        <v>5153</v>
      </c>
      <c r="J896" t="inlineStr">
        <is>
          <t>CAT 2</t>
        </is>
      </c>
      <c r="K896" t="inlineStr">
        <is>
          <t>Sim</t>
        </is>
      </c>
    </row>
    <row r="897">
      <c r="A897" s="1">
        <f>HYPERLINK("https://eurofarma-latam-crm.veevavault.com/#object/account__v/V4TZ00001913BIS", "Mariana Sassaki")</f>
        <v/>
      </c>
      <c r="B897" s="1">
        <f>HYPERLINK("https://eurofarma-latam-crm.veevavault.com/#object/account__v/V4TZ00001913BIS", "Mariana Silva Proença Sassaki")</f>
        <v/>
      </c>
      <c r="C897" t="inlineStr">
        <is>
          <t>RJ0922986</t>
        </is>
      </c>
      <c r="D897" t="inlineStr">
        <is>
          <t>CLG</t>
        </is>
      </c>
      <c r="E897" t="inlineStr">
        <is>
          <t>Rua Ator Paulo Gustavo, 26 - Sala 613</t>
        </is>
      </c>
      <c r="F897" t="inlineStr">
        <is>
          <t>Icaraí</t>
        </is>
      </c>
      <c r="G897" t="inlineStr">
        <is>
          <t>Niterói</t>
        </is>
      </c>
      <c r="H897" t="inlineStr">
        <is>
          <t>RJ</t>
        </is>
      </c>
      <c r="I897" t="n">
        <v>5153</v>
      </c>
      <c r="J897" t="inlineStr">
        <is>
          <t>CAT 5</t>
        </is>
      </c>
      <c r="K897" t="inlineStr">
        <is>
          <t>Sim</t>
        </is>
      </c>
    </row>
    <row r="898">
      <c r="A898" s="1">
        <f>HYPERLINK("https://eurofarma-latam-crm.veevavault.com/#object/account__v/V4TZ025E88FKUMJ", "Mariana Silva")</f>
        <v/>
      </c>
      <c r="B898" s="1">
        <f>HYPERLINK("https://eurofarma-latam-crm.veevavault.com/#object/account__v/V4TZ025E88FKUMJ", "Mariana Coutinho Corrêa da Silva")</f>
        <v/>
      </c>
      <c r="C898" t="inlineStr">
        <is>
          <t>RJ1331973</t>
        </is>
      </c>
      <c r="D898" t="inlineStr">
        <is>
          <t>CLG / PA</t>
        </is>
      </c>
      <c r="E898" t="inlineStr">
        <is>
          <t>Rua Doutor Alfredo Backer, 191 - Sobreloja</t>
        </is>
      </c>
      <c r="F898" t="inlineStr">
        <is>
          <t>Mutondo</t>
        </is>
      </c>
      <c r="G898" t="inlineStr">
        <is>
          <t>São Gonçalo</t>
        </is>
      </c>
      <c r="H898" t="inlineStr">
        <is>
          <t>RJ</t>
        </is>
      </c>
      <c r="I898" t="n">
        <v>5153</v>
      </c>
      <c r="J898" t="inlineStr"/>
      <c r="K898" t="inlineStr"/>
    </row>
    <row r="899">
      <c r="A899" s="1">
        <f>HYPERLINK("https://eurofarma-latam-crm.veevavault.com/#object/account__v/V4TZ00001915FAU", "Mariana Valente")</f>
        <v/>
      </c>
      <c r="B899" s="1">
        <f>HYPERLINK("https://eurofarma-latam-crm.veevavault.com/#object/account__v/V4TZ00001915FAU", "Mariana Pires de Mello Valente")</f>
        <v/>
      </c>
      <c r="C899" t="inlineStr">
        <is>
          <t>RJ0717029</t>
        </is>
      </c>
      <c r="D899" t="inlineStr">
        <is>
          <t>ORL</t>
        </is>
      </c>
      <c r="E899" t="inlineStr">
        <is>
          <t>Rua Otávio Carneiro, 143 - Salas 1101 á 1103</t>
        </is>
      </c>
      <c r="F899" t="inlineStr">
        <is>
          <t>Icaraí</t>
        </is>
      </c>
      <c r="G899" t="inlineStr">
        <is>
          <t>Niterói</t>
        </is>
      </c>
      <c r="H899" t="inlineStr">
        <is>
          <t>RJ</t>
        </is>
      </c>
      <c r="I899" t="n">
        <v>5153</v>
      </c>
      <c r="J899" t="inlineStr">
        <is>
          <t>CAT 5</t>
        </is>
      </c>
      <c r="K899" t="inlineStr">
        <is>
          <t>Sim</t>
        </is>
      </c>
    </row>
    <row r="900">
      <c r="A900" s="1">
        <f>HYPERLINK("https://eurofarma-latam-crm.veevavault.com/#object/account__v/V4TZ00001913VRH", "Mariana Weberszpil")</f>
        <v/>
      </c>
      <c r="B900" s="1">
        <f>HYPERLINK("https://eurofarma-latam-crm.veevavault.com/#object/account__v/V4TZ00001913VRH", "Mariana Correa Mendes Weberszpil")</f>
        <v/>
      </c>
      <c r="C900" t="inlineStr">
        <is>
          <t>RJ0869155</t>
        </is>
      </c>
      <c r="D900" t="inlineStr">
        <is>
          <t>GAS</t>
        </is>
      </c>
      <c r="E900" t="inlineStr">
        <is>
          <t>Rua Miguel de Frias, 77 - Sala 1411</t>
        </is>
      </c>
      <c r="F900" t="inlineStr">
        <is>
          <t>Icaraí</t>
        </is>
      </c>
      <c r="G900" t="inlineStr">
        <is>
          <t>Niterói</t>
        </is>
      </c>
      <c r="H900" t="inlineStr">
        <is>
          <t>RJ</t>
        </is>
      </c>
      <c r="I900" t="n">
        <v>5153</v>
      </c>
      <c r="J900" t="inlineStr">
        <is>
          <t>CAT 5</t>
        </is>
      </c>
      <c r="K900" t="inlineStr">
        <is>
          <t>Sim</t>
        </is>
      </c>
    </row>
    <row r="901">
      <c r="A901" s="1">
        <f>HYPERLINK("https://eurofarma-latam-crm.veevavault.com/#object/account__v/V4TZ00001913NWP", "Mariane Brandão")</f>
        <v/>
      </c>
      <c r="B901" s="1">
        <f>HYPERLINK("https://eurofarma-latam-crm.veevavault.com/#object/account__v/V4TZ00001913NWP", "Mariane dos Santos Zaccur Brandão")</f>
        <v/>
      </c>
      <c r="C901" t="inlineStr">
        <is>
          <t>RJ0638560</t>
        </is>
      </c>
      <c r="D901" t="inlineStr">
        <is>
          <t>END</t>
        </is>
      </c>
      <c r="E901" t="inlineStr">
        <is>
          <t>Rua Teixeira de Freitas, 30</t>
        </is>
      </c>
      <c r="F901" t="inlineStr">
        <is>
          <t>Fonseca</t>
        </is>
      </c>
      <c r="G901" t="inlineStr">
        <is>
          <t>Niterói</t>
        </is>
      </c>
      <c r="H901" t="inlineStr">
        <is>
          <t>RJ</t>
        </is>
      </c>
      <c r="I901" t="n">
        <v>5153</v>
      </c>
      <c r="J901" t="inlineStr">
        <is>
          <t>CAT 2</t>
        </is>
      </c>
      <c r="K901" t="inlineStr">
        <is>
          <t>Sim</t>
        </is>
      </c>
    </row>
    <row r="902">
      <c r="A902" s="1">
        <f>HYPERLINK("https://eurofarma-latam-crm.veevavault.com/#object/account__v/V4TZ00001914SPR", "Marianna Leite")</f>
        <v/>
      </c>
      <c r="B902" s="1">
        <f>HYPERLINK("https://eurofarma-latam-crm.veevavault.com/#object/account__v/V4TZ00001914SPR", "Marianna Ornellas Sampaio Leite")</f>
        <v/>
      </c>
      <c r="C902" t="inlineStr">
        <is>
          <t>RJ1169777</t>
        </is>
      </c>
      <c r="D902" t="inlineStr">
        <is>
          <t>PED</t>
        </is>
      </c>
      <c r="E902" t="inlineStr">
        <is>
          <t>Avenida Ernani do Amaral Peixoto, 282 - Loja Loja</t>
        </is>
      </c>
      <c r="F902" t="inlineStr">
        <is>
          <t>Centro</t>
        </is>
      </c>
      <c r="G902" t="inlineStr">
        <is>
          <t>Niterói</t>
        </is>
      </c>
      <c r="H902" t="inlineStr">
        <is>
          <t>RJ</t>
        </is>
      </c>
      <c r="I902" t="n">
        <v>5153</v>
      </c>
      <c r="J902" t="inlineStr">
        <is>
          <t>CAT 3</t>
        </is>
      </c>
      <c r="K902" t="inlineStr">
        <is>
          <t>Sim</t>
        </is>
      </c>
    </row>
    <row r="903">
      <c r="A903" s="1">
        <f>HYPERLINK("https://eurofarma-latam-crm.veevavault.com/#object/account__v/V4TZ04ASGLVMVE1", "Marina Damasceno")</f>
        <v/>
      </c>
      <c r="B903" s="1">
        <f>HYPERLINK("https://eurofarma-latam-crm.veevavault.com/#object/account__v/V4TZ04ASGLVMVE1", "Marina Nogueira Damasceno")</f>
        <v/>
      </c>
      <c r="C903" t="inlineStr">
        <is>
          <t>RJ1374181</t>
        </is>
      </c>
      <c r="D903" t="inlineStr">
        <is>
          <t>PSQ</t>
        </is>
      </c>
      <c r="E903" t="inlineStr">
        <is>
          <t>Rua Gavião Peixoto, 70 - Sala 907</t>
        </is>
      </c>
      <c r="F903" t="inlineStr">
        <is>
          <t>Icaraí</t>
        </is>
      </c>
      <c r="G903" t="inlineStr">
        <is>
          <t>Niterói</t>
        </is>
      </c>
      <c r="H903" t="inlineStr">
        <is>
          <t>RJ</t>
        </is>
      </c>
      <c r="I903" t="n">
        <v>5153</v>
      </c>
      <c r="J903" t="inlineStr"/>
      <c r="K903" t="inlineStr"/>
    </row>
    <row r="904">
      <c r="A904" s="1">
        <f>HYPERLINK("https://eurofarma-latam-crm.veevavault.com/#object/account__v/V4TZ000018NXSMV", "Matheus Pinheiro")</f>
        <v/>
      </c>
      <c r="B904" s="1">
        <f>HYPERLINK("https://eurofarma-latam-crm.veevavault.com/#object/account__v/V4TZ000018NXSMV", "Matheus Fuser Pinheiro")</f>
        <v/>
      </c>
      <c r="C904" t="inlineStr">
        <is>
          <t>RJ1088661</t>
        </is>
      </c>
      <c r="D904" t="inlineStr">
        <is>
          <t>ORT</t>
        </is>
      </c>
      <c r="E904" t="inlineStr">
        <is>
          <t>Rua Gavião Peixoto, 340</t>
        </is>
      </c>
      <c r="F904" t="inlineStr">
        <is>
          <t>Icaraí</t>
        </is>
      </c>
      <c r="G904" t="inlineStr">
        <is>
          <t>Niterói</t>
        </is>
      </c>
      <c r="H904" t="inlineStr">
        <is>
          <t>RJ</t>
        </is>
      </c>
      <c r="I904" t="n">
        <v>5153</v>
      </c>
      <c r="J904" t="inlineStr">
        <is>
          <t>CAT 2</t>
        </is>
      </c>
      <c r="K904" t="inlineStr">
        <is>
          <t>Sim</t>
        </is>
      </c>
    </row>
    <row r="905">
      <c r="A905" s="1">
        <f>HYPERLINK("https://eurofarma-latam-crm.veevavault.com/#object/account__v/V4TZ00001914QCO", "Matheus Queiroz")</f>
        <v/>
      </c>
      <c r="B905" s="1">
        <f>HYPERLINK("https://eurofarma-latam-crm.veevavault.com/#object/account__v/V4TZ00001914QCO", "Matheus de Aquino Queiroz")</f>
        <v/>
      </c>
      <c r="C905" t="inlineStr">
        <is>
          <t>RJ0941611</t>
        </is>
      </c>
      <c r="D905" t="inlineStr">
        <is>
          <t>PED</t>
        </is>
      </c>
      <c r="E905" t="inlineStr">
        <is>
          <t>Rua Miguel de Frias, 77 Sala 1716</t>
        </is>
      </c>
      <c r="F905" t="inlineStr">
        <is>
          <t>Icaraí</t>
        </is>
      </c>
      <c r="G905" t="inlineStr">
        <is>
          <t>Niterói</t>
        </is>
      </c>
      <c r="H905" t="inlineStr">
        <is>
          <t>RJ</t>
        </is>
      </c>
      <c r="I905" t="n">
        <v>5153</v>
      </c>
      <c r="J905" t="inlineStr">
        <is>
          <t>CAT 3</t>
        </is>
      </c>
      <c r="K905" t="inlineStr">
        <is>
          <t>Sim</t>
        </is>
      </c>
    </row>
    <row r="906">
      <c r="A906" s="1">
        <f>HYPERLINK("https://eurofarma-latam-crm.veevavault.com/#object/account__v/V4TZ000018NXMYI", "Mauricio Velloso Filho")</f>
        <v/>
      </c>
      <c r="B906" s="1">
        <f>HYPERLINK("https://eurofarma-latam-crm.veevavault.com/#object/account__v/V4TZ000018NXMYI", "Mauricio Pimenta Velloso Filho")</f>
        <v/>
      </c>
      <c r="C906" t="inlineStr">
        <is>
          <t>RJ0158764</t>
        </is>
      </c>
      <c r="D906" t="inlineStr">
        <is>
          <t>ORT</t>
        </is>
      </c>
      <c r="E906" t="inlineStr">
        <is>
          <t>Rua General Pereira da Silva, 312</t>
        </is>
      </c>
      <c r="F906" t="inlineStr">
        <is>
          <t>Icaraí</t>
        </is>
      </c>
      <c r="G906" t="inlineStr">
        <is>
          <t>Niterói</t>
        </is>
      </c>
      <c r="H906" t="inlineStr">
        <is>
          <t>RJ</t>
        </is>
      </c>
      <c r="I906" t="n">
        <v>5153</v>
      </c>
      <c r="J906" t="inlineStr">
        <is>
          <t>CAT 5</t>
        </is>
      </c>
      <c r="K906" t="inlineStr">
        <is>
          <t>Sim</t>
        </is>
      </c>
    </row>
    <row r="907">
      <c r="A907" s="1">
        <f>HYPERLINK("https://eurofarma-latam-crm.veevavault.com/#object/account__v/V4TZ000019149RL", "Mauro Vitor Mendlowicz")</f>
        <v/>
      </c>
      <c r="B907" s="1">
        <f>HYPERLINK("https://eurofarma-latam-crm.veevavault.com/#object/account__v/V4TZ000019149RL", "Mauro Vitor Mendlowicz")</f>
        <v/>
      </c>
      <c r="C907" t="inlineStr">
        <is>
          <t>RJ0404106</t>
        </is>
      </c>
      <c r="D907" t="inlineStr">
        <is>
          <t>PSQ</t>
        </is>
      </c>
      <c r="E907" t="inlineStr">
        <is>
          <t>Rua Ator Paulo Gustavo, 229 - Sala 515</t>
        </is>
      </c>
      <c r="F907" t="inlineStr">
        <is>
          <t>Icaraí</t>
        </is>
      </c>
      <c r="G907" t="inlineStr">
        <is>
          <t>Niterói</t>
        </is>
      </c>
      <c r="H907" t="inlineStr">
        <is>
          <t>RJ</t>
        </is>
      </c>
      <c r="I907" t="n">
        <v>5153</v>
      </c>
      <c r="J907" t="inlineStr">
        <is>
          <t>CAT 3</t>
        </is>
      </c>
      <c r="K907" t="inlineStr">
        <is>
          <t>Sim</t>
        </is>
      </c>
    </row>
    <row r="908">
      <c r="A908" s="1">
        <f>HYPERLINK("https://eurofarma-latam-crm.veevavault.com/#object/account__v/V4TZ000019136D3", "Max Velmovitsky")</f>
        <v/>
      </c>
      <c r="B908" s="1">
        <f>HYPERLINK("https://eurofarma-latam-crm.veevavault.com/#object/account__v/V4TZ000019136D3", "Max Velmovitsky")</f>
        <v/>
      </c>
      <c r="C908" t="inlineStr">
        <is>
          <t>RJ0434969</t>
        </is>
      </c>
      <c r="D908" t="inlineStr">
        <is>
          <t>URO</t>
        </is>
      </c>
      <c r="E908" t="inlineStr">
        <is>
          <t>Rua Presidente Pedreira, 26 - Parte</t>
        </is>
      </c>
      <c r="F908" t="inlineStr">
        <is>
          <t>Ingá</t>
        </is>
      </c>
      <c r="G908" t="inlineStr">
        <is>
          <t>Niterói</t>
        </is>
      </c>
      <c r="H908" t="inlineStr">
        <is>
          <t>RJ</t>
        </is>
      </c>
      <c r="I908" t="n">
        <v>5153</v>
      </c>
      <c r="J908" t="inlineStr">
        <is>
          <t>CAT 4</t>
        </is>
      </c>
      <c r="K908" t="inlineStr">
        <is>
          <t>Sim</t>
        </is>
      </c>
    </row>
    <row r="909">
      <c r="A909" s="1">
        <f>HYPERLINK("https://eurofarma-latam-crm.veevavault.com/#object/account__v/V4TZ000018NZ7WW", "Mayara Cristina Teles")</f>
        <v/>
      </c>
      <c r="B909" s="1">
        <f>HYPERLINK("https://eurofarma-latam-crm.veevavault.com/#object/account__v/V4TZ000018NZ7WW", "Mayara Cristina Martins Teles")</f>
        <v/>
      </c>
      <c r="C909" t="inlineStr">
        <is>
          <t>RJ0873616</t>
        </is>
      </c>
      <c r="D909" t="inlineStr">
        <is>
          <t>CLG / SNC</t>
        </is>
      </c>
      <c r="E909" t="inlineStr">
        <is>
          <t>Rua Manoel de Abreu, 9 - Parte</t>
        </is>
      </c>
      <c r="F909" t="inlineStr">
        <is>
          <t>Centro</t>
        </is>
      </c>
      <c r="G909" t="inlineStr">
        <is>
          <t>Niterói</t>
        </is>
      </c>
      <c r="H909" t="inlineStr">
        <is>
          <t>RJ</t>
        </is>
      </c>
      <c r="I909" t="n">
        <v>5153</v>
      </c>
      <c r="J909" t="inlineStr">
        <is>
          <t>CAT 3</t>
        </is>
      </c>
      <c r="K909" t="inlineStr">
        <is>
          <t>Sim</t>
        </is>
      </c>
    </row>
    <row r="910">
      <c r="A910" s="1">
        <f>HYPERLINK("https://eurofarma-latam-crm.veevavault.com/#object/account__v/V4TZ000018NXVBM", "Michele Menezes")</f>
        <v/>
      </c>
      <c r="B910" s="1">
        <f>HYPERLINK("https://eurofarma-latam-crm.veevavault.com/#object/account__v/V4TZ000018NXVBM", "Michele Pochettini Martins Menezes")</f>
        <v/>
      </c>
      <c r="C910" t="inlineStr">
        <is>
          <t>RJ0704652</t>
        </is>
      </c>
      <c r="D910" t="inlineStr">
        <is>
          <t>END</t>
        </is>
      </c>
      <c r="E910" t="inlineStr">
        <is>
          <t>Rua Mariz e Barros, 325</t>
        </is>
      </c>
      <c r="F910" t="inlineStr">
        <is>
          <t>Icaraí</t>
        </is>
      </c>
      <c r="G910" t="inlineStr">
        <is>
          <t>Niterói</t>
        </is>
      </c>
      <c r="H910" t="inlineStr">
        <is>
          <t>RJ</t>
        </is>
      </c>
      <c r="I910" t="n">
        <v>5153</v>
      </c>
      <c r="J910" t="inlineStr">
        <is>
          <t>CAT 3</t>
        </is>
      </c>
      <c r="K910" t="inlineStr">
        <is>
          <t>Sim</t>
        </is>
      </c>
    </row>
    <row r="911">
      <c r="A911" s="1">
        <f>HYPERLINK("https://eurofarma-latam-crm.veevavault.com/#object/account__v/V4TZ00001914UU0", "Naira Vanessa Gonzalez")</f>
        <v/>
      </c>
      <c r="B911" s="1">
        <f>HYPERLINK("https://eurofarma-latam-crm.veevavault.com/#object/account__v/V4TZ00001914UU0", "Naira Vanessa Anomal Gonzalez")</f>
        <v/>
      </c>
      <c r="C911" t="inlineStr">
        <is>
          <t>RJ0993964</t>
        </is>
      </c>
      <c r="D911" t="inlineStr">
        <is>
          <t>ORL</t>
        </is>
      </c>
      <c r="E911" t="inlineStr">
        <is>
          <t>Rua Gavião Peixoto, 70 - Sala 1702</t>
        </is>
      </c>
      <c r="F911" t="inlineStr">
        <is>
          <t>Icaraí</t>
        </is>
      </c>
      <c r="G911" t="inlineStr">
        <is>
          <t>Niterói</t>
        </is>
      </c>
      <c r="H911" t="inlineStr">
        <is>
          <t>RJ</t>
        </is>
      </c>
      <c r="I911" t="n">
        <v>5153</v>
      </c>
      <c r="J911" t="inlineStr"/>
      <c r="K911" t="inlineStr"/>
    </row>
    <row r="912">
      <c r="A912" s="1">
        <f>HYPERLINK("https://eurofarma-latam-crm.veevavault.com/#object/account__v/V4TZ000018NXK4G", "Nara Regina Quintanilha")</f>
        <v/>
      </c>
      <c r="B912" s="1">
        <f>HYPERLINK("https://eurofarma-latam-crm.veevavault.com/#object/account__v/V4TZ000018NXK4G", "Nara Regina de Oliveira Quintanilha")</f>
        <v/>
      </c>
      <c r="C912" t="inlineStr">
        <is>
          <t>RJ0548950</t>
        </is>
      </c>
      <c r="D912" t="inlineStr">
        <is>
          <t>CLG</t>
        </is>
      </c>
      <c r="E912" t="inlineStr">
        <is>
          <t>Rua Marquês de Paraná, 303</t>
        </is>
      </c>
      <c r="F912" t="inlineStr">
        <is>
          <t>Centro</t>
        </is>
      </c>
      <c r="G912" t="inlineStr">
        <is>
          <t>Niterói</t>
        </is>
      </c>
      <c r="H912" t="inlineStr">
        <is>
          <t>RJ</t>
        </is>
      </c>
      <c r="I912" t="n">
        <v>5153</v>
      </c>
      <c r="J912" t="inlineStr">
        <is>
          <t>CAT 4</t>
        </is>
      </c>
      <c r="K912" t="inlineStr">
        <is>
          <t>N�o</t>
        </is>
      </c>
    </row>
    <row r="913">
      <c r="A913" s="1">
        <f>HYPERLINK("https://eurofarma-latam-crm.veevavault.com/#object/account__v/V4TZ000019133AV", "Natalia Figueira")</f>
        <v/>
      </c>
      <c r="B913" s="1">
        <f>HYPERLINK("https://eurofarma-latam-crm.veevavault.com/#object/account__v/V4TZ000019133AV", "Natalia Nassif Figueira")</f>
        <v/>
      </c>
      <c r="C913" t="inlineStr">
        <is>
          <t>RJ0875813</t>
        </is>
      </c>
      <c r="D913" t="inlineStr">
        <is>
          <t>GAS</t>
        </is>
      </c>
      <c r="E913" t="inlineStr">
        <is>
          <t>Avenida Jansen de Melo, S/N</t>
        </is>
      </c>
      <c r="F913" t="inlineStr">
        <is>
          <t>Centro</t>
        </is>
      </c>
      <c r="G913" t="inlineStr">
        <is>
          <t>Niterói</t>
        </is>
      </c>
      <c r="H913" t="inlineStr">
        <is>
          <t>RJ</t>
        </is>
      </c>
      <c r="I913" t="n">
        <v>5153</v>
      </c>
      <c r="J913" t="inlineStr">
        <is>
          <t>CAT 4</t>
        </is>
      </c>
      <c r="K913" t="inlineStr">
        <is>
          <t>Sim</t>
        </is>
      </c>
    </row>
    <row r="914">
      <c r="A914" s="1">
        <f>HYPERLINK("https://eurofarma-latam-crm.veevavault.com/#object/account__v/V4TZ00001916D3J", "Neuza Andre")</f>
        <v/>
      </c>
      <c r="B914" s="1">
        <f>HYPERLINK("https://eurofarma-latam-crm.veevavault.com/#object/account__v/V4TZ00001916D3J", "Neuza Maria Pereira Diaz Andre")</f>
        <v/>
      </c>
      <c r="C914" t="inlineStr">
        <is>
          <t>RJ0235505,SP0100807</t>
        </is>
      </c>
      <c r="D914" t="inlineStr">
        <is>
          <t>PSQ</t>
        </is>
      </c>
      <c r="E914" t="inlineStr">
        <is>
          <t>Rua Ator Paulo Gustavo, 160</t>
        </is>
      </c>
      <c r="F914" t="inlineStr">
        <is>
          <t>Icaraí</t>
        </is>
      </c>
      <c r="G914" t="inlineStr">
        <is>
          <t>Niterói</t>
        </is>
      </c>
      <c r="H914" t="inlineStr">
        <is>
          <t>RJ</t>
        </is>
      </c>
      <c r="I914" t="n">
        <v>5153</v>
      </c>
      <c r="J914" t="inlineStr">
        <is>
          <t>CAT 2</t>
        </is>
      </c>
      <c r="K914" t="inlineStr">
        <is>
          <t>Sim</t>
        </is>
      </c>
    </row>
    <row r="915">
      <c r="A915" s="1">
        <f>HYPERLINK("https://eurofarma-latam-crm.veevavault.com/#object/account__v/V4TZ00001915P3D", "Ney Barreto")</f>
        <v/>
      </c>
      <c r="B915" s="1">
        <f>HYPERLINK("https://eurofarma-latam-crm.veevavault.com/#object/account__v/V4TZ00001915P3D", "Ney Dilson Magalhaes Barreto")</f>
        <v/>
      </c>
      <c r="C915" t="inlineStr">
        <is>
          <t>RJ0136975</t>
        </is>
      </c>
      <c r="D915" t="inlineStr">
        <is>
          <t>END</t>
        </is>
      </c>
      <c r="E915" t="inlineStr">
        <is>
          <t>Rua Coronel Moreira Cesar, 160 - Sala 1117</t>
        </is>
      </c>
      <c r="F915" t="inlineStr">
        <is>
          <t>Icaraí</t>
        </is>
      </c>
      <c r="G915" t="inlineStr">
        <is>
          <t>Niterói</t>
        </is>
      </c>
      <c r="H915" t="inlineStr">
        <is>
          <t>RJ</t>
        </is>
      </c>
      <c r="I915" t="n">
        <v>5153</v>
      </c>
      <c r="J915" t="inlineStr">
        <is>
          <t>CAT 4</t>
        </is>
      </c>
      <c r="K915" t="inlineStr">
        <is>
          <t>Sim</t>
        </is>
      </c>
    </row>
    <row r="916">
      <c r="A916" s="1">
        <f>HYPERLINK("https://eurofarma-latam-crm.veevavault.com/#object/account__v/V4TZ000018NY6XT", "Nilton dos Santos Filho")</f>
        <v/>
      </c>
      <c r="B916" s="1">
        <f>HYPERLINK("https://eurofarma-latam-crm.veevavault.com/#object/account__v/V4TZ000018NY6XT", "Nilton Modesto dos Santos Filho")</f>
        <v/>
      </c>
      <c r="C916" t="inlineStr">
        <is>
          <t>RJ0146459</t>
        </is>
      </c>
      <c r="D916" t="inlineStr">
        <is>
          <t>PED</t>
        </is>
      </c>
      <c r="E916" t="inlineStr">
        <is>
          <t>Rua Mem de Sá, 187 - Parte Icaraí Niterói</t>
        </is>
      </c>
      <c r="F916" t="inlineStr">
        <is>
          <t>Icaraí</t>
        </is>
      </c>
      <c r="G916" t="inlineStr">
        <is>
          <t>Niterói</t>
        </is>
      </c>
      <c r="H916" t="inlineStr">
        <is>
          <t>RJ</t>
        </is>
      </c>
      <c r="I916" t="n">
        <v>5153</v>
      </c>
      <c r="J916" t="inlineStr">
        <is>
          <t>CAT 5</t>
        </is>
      </c>
      <c r="K916" t="inlineStr">
        <is>
          <t>N�o</t>
        </is>
      </c>
    </row>
    <row r="917">
      <c r="A917" s="1">
        <f>HYPERLINK("https://eurofarma-latam-crm.veevavault.com/#object/account__v/V4TZ025E847H38D", "Olivia de Souza")</f>
        <v/>
      </c>
      <c r="B917" s="1">
        <f>HYPERLINK("https://eurofarma-latam-crm.veevavault.com/#object/account__v/V4TZ025E847H38D", "Olivia Gameiro de Souza")</f>
        <v/>
      </c>
      <c r="C917" t="inlineStr">
        <is>
          <t>RJ1173588</t>
        </is>
      </c>
      <c r="D917" t="inlineStr">
        <is>
          <t>NEU</t>
        </is>
      </c>
      <c r="E917" t="inlineStr">
        <is>
          <t>Rua Marquês de Paraná, 303</t>
        </is>
      </c>
      <c r="F917" t="inlineStr">
        <is>
          <t>Centro</t>
        </is>
      </c>
      <c r="G917" t="inlineStr">
        <is>
          <t>Niterói</t>
        </is>
      </c>
      <c r="H917" t="inlineStr">
        <is>
          <t>RJ</t>
        </is>
      </c>
      <c r="I917" t="n">
        <v>5153</v>
      </c>
      <c r="J917" t="inlineStr">
        <is>
          <t>CAT 4</t>
        </is>
      </c>
      <c r="K917" t="inlineStr">
        <is>
          <t>Sim</t>
        </is>
      </c>
    </row>
    <row r="918">
      <c r="A918" s="1">
        <f>HYPERLINK("https://eurofarma-latam-crm.veevavault.com/#object/account__v/V4TZ00001914KSS", "Pamella Mamede")</f>
        <v/>
      </c>
      <c r="B918" s="1">
        <f>HYPERLINK("https://eurofarma-latam-crm.veevavault.com/#object/account__v/V4TZ00001914KSS", "Pamella Demeciano Mamede")</f>
        <v/>
      </c>
      <c r="C918" t="inlineStr">
        <is>
          <t>RJ0992127</t>
        </is>
      </c>
      <c r="D918" t="inlineStr">
        <is>
          <t>PED</t>
        </is>
      </c>
      <c r="E918" t="inlineStr">
        <is>
          <t>Praça Cruz Vermelha, 23</t>
        </is>
      </c>
      <c r="F918" t="inlineStr">
        <is>
          <t>Centro</t>
        </is>
      </c>
      <c r="G918" t="inlineStr">
        <is>
          <t>Rio de Janeiro</t>
        </is>
      </c>
      <c r="H918" t="inlineStr">
        <is>
          <t>RJ</t>
        </is>
      </c>
      <c r="I918" t="n">
        <v>5153</v>
      </c>
      <c r="J918" t="inlineStr">
        <is>
          <t>CAT 5</t>
        </is>
      </c>
      <c r="K918" t="inlineStr">
        <is>
          <t>Sim</t>
        </is>
      </c>
    </row>
    <row r="919">
      <c r="A919" s="1">
        <f>HYPERLINK("https://eurofarma-latam-crm.veevavault.com/#object/account__v/V4TZ000018NY08B", "Patricia Ferreira")</f>
        <v/>
      </c>
      <c r="B919" s="1">
        <f>HYPERLINK("https://eurofarma-latam-crm.veevavault.com/#object/account__v/V4TZ000018NY08B", "Patricia Anne Ferreira")</f>
        <v/>
      </c>
      <c r="C919" t="inlineStr">
        <is>
          <t>RJ0252024,SC0037451</t>
        </is>
      </c>
      <c r="D919" t="inlineStr">
        <is>
          <t>CLG</t>
        </is>
      </c>
      <c r="E919" t="inlineStr">
        <is>
          <t>Rua João Veríssimo da Silva, 45</t>
        </is>
      </c>
      <c r="F919" t="inlineStr">
        <is>
          <t>Centro</t>
        </is>
      </c>
      <c r="G919" t="inlineStr">
        <is>
          <t>Penha</t>
        </is>
      </c>
      <c r="H919" t="inlineStr">
        <is>
          <t>SC</t>
        </is>
      </c>
      <c r="I919" t="n">
        <v>5153</v>
      </c>
      <c r="J919" t="inlineStr">
        <is>
          <t>CAT 4</t>
        </is>
      </c>
      <c r="K919" t="inlineStr">
        <is>
          <t>Sim</t>
        </is>
      </c>
    </row>
    <row r="920">
      <c r="A920" s="1">
        <f>HYPERLINK("https://eurofarma-latam-crm.veevavault.com/#object/account__v/V4TZ04ASGNJKMMX", "Paulina Boesel")</f>
        <v/>
      </c>
      <c r="B920" s="1">
        <f>HYPERLINK("https://eurofarma-latam-crm.veevavault.com/#object/account__v/V4TZ04ASGNJKMMX", "Paulina Schmidt Boesel")</f>
        <v/>
      </c>
      <c r="C920" t="inlineStr">
        <is>
          <t>RJ1374369</t>
        </is>
      </c>
      <c r="D920" t="inlineStr">
        <is>
          <t>PSQ</t>
        </is>
      </c>
      <c r="E920" t="inlineStr">
        <is>
          <t>Rua Marechal Jofre, 30</t>
        </is>
      </c>
      <c r="F920" t="inlineStr">
        <is>
          <t>Grajaú</t>
        </is>
      </c>
      <c r="G920" t="inlineStr">
        <is>
          <t>Rio de Janeiro</t>
        </is>
      </c>
      <c r="H920" t="inlineStr">
        <is>
          <t>RJ</t>
        </is>
      </c>
      <c r="I920" t="n">
        <v>5153</v>
      </c>
      <c r="J920" t="inlineStr">
        <is>
          <t>CAT 5</t>
        </is>
      </c>
      <c r="K920" t="inlineStr">
        <is>
          <t>Sim</t>
        </is>
      </c>
    </row>
    <row r="921">
      <c r="A921" s="1">
        <f>HYPERLINK("https://eurofarma-latam-crm.veevavault.com/#object/account__v/V4TZ000018NXSRL", "Paulo César de Carvalho")</f>
        <v/>
      </c>
      <c r="B921" s="1">
        <f>HYPERLINK("https://eurofarma-latam-crm.veevavault.com/#object/account__v/V4TZ000018NXSRL", "Paulo César Nanci de Carvalho")</f>
        <v/>
      </c>
      <c r="C921" t="inlineStr">
        <is>
          <t>RJ0025363</t>
        </is>
      </c>
      <c r="D921" t="inlineStr">
        <is>
          <t>URO</t>
        </is>
      </c>
      <c r="E921" t="inlineStr">
        <is>
          <t>Rua Recife, 229 - Sala 1001</t>
        </is>
      </c>
      <c r="F921" t="inlineStr">
        <is>
          <t>Ponta D'Areia</t>
        </is>
      </c>
      <c r="G921" t="inlineStr">
        <is>
          <t>Niterói</t>
        </is>
      </c>
      <c r="H921" t="inlineStr">
        <is>
          <t>RJ</t>
        </is>
      </c>
      <c r="I921" t="n">
        <v>5153</v>
      </c>
      <c r="J921" t="inlineStr">
        <is>
          <t>CAT 5</t>
        </is>
      </c>
      <c r="K921" t="inlineStr">
        <is>
          <t>Sim</t>
        </is>
      </c>
    </row>
    <row r="922">
      <c r="A922" s="1">
        <f>HYPERLINK("https://eurofarma-latam-crm.veevavault.com/#object/account__v/V4TZ000018NZ7BO", "Paulo de Mello")</f>
        <v/>
      </c>
      <c r="B922" s="1">
        <f>HYPERLINK("https://eurofarma-latam-crm.veevavault.com/#object/account__v/V4TZ000018NZ7BO", "Paulo Pires de Mello")</f>
        <v/>
      </c>
      <c r="C922" t="inlineStr">
        <is>
          <t>RJ0640646</t>
        </is>
      </c>
      <c r="D922" t="inlineStr">
        <is>
          <t>ORL</t>
        </is>
      </c>
      <c r="E922" t="inlineStr">
        <is>
          <t>Rua Otávio Carneiro, 143 - Salas 1101 á 1103</t>
        </is>
      </c>
      <c r="F922" t="inlineStr">
        <is>
          <t>Icaraí</t>
        </is>
      </c>
      <c r="G922" t="inlineStr">
        <is>
          <t>Niterói</t>
        </is>
      </c>
      <c r="H922" t="inlineStr">
        <is>
          <t>RJ</t>
        </is>
      </c>
      <c r="I922" t="n">
        <v>5153</v>
      </c>
      <c r="J922" t="inlineStr">
        <is>
          <t>CAT 5</t>
        </is>
      </c>
      <c r="K922" t="inlineStr">
        <is>
          <t>Sim</t>
        </is>
      </c>
    </row>
    <row r="923">
      <c r="A923" s="1">
        <f>HYPERLINK("https://eurofarma-latam-crm.veevavault.com/#object/account__v/V4TZ00001914I8N", "Paulo Monteiro")</f>
        <v/>
      </c>
      <c r="B923" s="1">
        <f>HYPERLINK("https://eurofarma-latam-crm.veevavault.com/#object/account__v/V4TZ00001914I8N", "Paulo Roberto Monteiro")</f>
        <v/>
      </c>
      <c r="C923" t="inlineStr">
        <is>
          <t>RJ0152738</t>
        </is>
      </c>
      <c r="D923" t="inlineStr">
        <is>
          <t>PSQ</t>
        </is>
      </c>
      <c r="E923" t="inlineStr">
        <is>
          <t>Rua Mariz e Barros, 176 - Sala 807</t>
        </is>
      </c>
      <c r="F923" t="inlineStr">
        <is>
          <t>Icaraí</t>
        </is>
      </c>
      <c r="G923" t="inlineStr">
        <is>
          <t>Niterói</t>
        </is>
      </c>
      <c r="H923" t="inlineStr">
        <is>
          <t>RJ</t>
        </is>
      </c>
      <c r="I923" t="n">
        <v>5153</v>
      </c>
      <c r="J923" t="inlineStr">
        <is>
          <t>CAT 1</t>
        </is>
      </c>
      <c r="K923" t="inlineStr">
        <is>
          <t>Sim</t>
        </is>
      </c>
    </row>
    <row r="924">
      <c r="A924" s="1">
        <f>HYPERLINK("https://eurofarma-latam-crm.veevavault.com/#object/account__v/V4TZ00001913R3R", "Paulo Roberto Chacar")</f>
        <v/>
      </c>
      <c r="B924" s="1">
        <f>HYPERLINK("https://eurofarma-latam-crm.veevavault.com/#object/account__v/V4TZ00001913R3R", "Paulo Roberto Visela Chacar")</f>
        <v/>
      </c>
      <c r="C924" t="inlineStr">
        <is>
          <t>RJ0547642</t>
        </is>
      </c>
      <c r="D924" t="inlineStr">
        <is>
          <t>PED</t>
        </is>
      </c>
      <c r="E924" t="inlineStr">
        <is>
          <t>Rua Miguel de Frias, 77 - Salas 1512 E 1516</t>
        </is>
      </c>
      <c r="F924" t="inlineStr">
        <is>
          <t>Icaraí</t>
        </is>
      </c>
      <c r="G924" t="inlineStr">
        <is>
          <t>Niterói</t>
        </is>
      </c>
      <c r="H924" t="inlineStr">
        <is>
          <t>RJ</t>
        </is>
      </c>
      <c r="I924" t="n">
        <v>5153</v>
      </c>
      <c r="J924" t="inlineStr">
        <is>
          <t>CAT 4</t>
        </is>
      </c>
      <c r="K924" t="inlineStr">
        <is>
          <t>Sim</t>
        </is>
      </c>
    </row>
    <row r="925">
      <c r="A925" s="1">
        <f>HYPERLINK("https://eurofarma-latam-crm.veevavault.com/#object/account__v/V4TZ00001913URG", "Pedro Bittencourt")</f>
        <v/>
      </c>
      <c r="B925" s="1">
        <f>HYPERLINK("https://eurofarma-latam-crm.veevavault.com/#object/account__v/V4TZ00001913URG", "Pedro Angelo Pinheiro Bittencourt")</f>
        <v/>
      </c>
      <c r="C925" t="inlineStr">
        <is>
          <t>RJ0484683</t>
        </is>
      </c>
      <c r="D925" t="inlineStr">
        <is>
          <t>PED</t>
        </is>
      </c>
      <c r="E925" t="inlineStr">
        <is>
          <t>Avenida Carlos Ermelindo Marins , S/N</t>
        </is>
      </c>
      <c r="F925" t="inlineStr">
        <is>
          <t>Jurujuba</t>
        </is>
      </c>
      <c r="G925" t="inlineStr">
        <is>
          <t>Niterói</t>
        </is>
      </c>
      <c r="H925" t="inlineStr">
        <is>
          <t>RJ</t>
        </is>
      </c>
      <c r="I925" t="n">
        <v>5153</v>
      </c>
      <c r="J925" t="inlineStr">
        <is>
          <t>CAT 5</t>
        </is>
      </c>
      <c r="K925" t="inlineStr">
        <is>
          <t>N�o</t>
        </is>
      </c>
    </row>
    <row r="926">
      <c r="A926" s="1">
        <f>HYPERLINK("https://eurofarma-latam-crm.veevavault.com/#object/account__v/V4TZ00001913LLY", "Pedro Henrique Rodrigues")</f>
        <v/>
      </c>
      <c r="B926" s="1">
        <f>HYPERLINK("https://eurofarma-latam-crm.veevavault.com/#object/account__v/V4TZ00001913LLY", "Pedro Henrique de Carvalho Rodrigues")</f>
        <v/>
      </c>
      <c r="C926" t="inlineStr">
        <is>
          <t>RJ0973610</t>
        </is>
      </c>
      <c r="D926" t="inlineStr">
        <is>
          <t>URO</t>
        </is>
      </c>
      <c r="E926" t="inlineStr">
        <is>
          <t>Rua Salvatori, 40 - Sala 1102 a 1108</t>
        </is>
      </c>
      <c r="F926" t="inlineStr">
        <is>
          <t>Centro</t>
        </is>
      </c>
      <c r="G926" t="inlineStr">
        <is>
          <t>São Gonçalo</t>
        </is>
      </c>
      <c r="H926" t="inlineStr">
        <is>
          <t>RJ</t>
        </is>
      </c>
      <c r="I926" t="n">
        <v>5153</v>
      </c>
      <c r="J926" t="inlineStr">
        <is>
          <t>CAT 5</t>
        </is>
      </c>
      <c r="K926" t="inlineStr">
        <is>
          <t>N�o</t>
        </is>
      </c>
    </row>
    <row r="927">
      <c r="A927" s="1">
        <f>HYPERLINK("https://eurofarma-latam-crm.veevavault.com/#object/account__v/V4TZ000019166QV", "Priscilla da Silva")</f>
        <v/>
      </c>
      <c r="B927" s="1">
        <f>HYPERLINK("https://eurofarma-latam-crm.veevavault.com/#object/account__v/V4TZ000019166QV", "Priscilla Machado Pires da Silva")</f>
        <v/>
      </c>
      <c r="C927" t="inlineStr">
        <is>
          <t>RJ0840360</t>
        </is>
      </c>
      <c r="D927" t="inlineStr">
        <is>
          <t>CLG / END</t>
        </is>
      </c>
      <c r="E927" t="inlineStr">
        <is>
          <t>Rua Vereador Abreu Lima, 60 - Sala 302</t>
        </is>
      </c>
      <c r="F927" t="inlineStr">
        <is>
          <t>Centro</t>
        </is>
      </c>
      <c r="G927" t="inlineStr">
        <is>
          <t>Macaé</t>
        </is>
      </c>
      <c r="H927" t="inlineStr">
        <is>
          <t>RJ</t>
        </is>
      </c>
      <c r="I927" t="n">
        <v>5153</v>
      </c>
      <c r="J927" t="inlineStr">
        <is>
          <t>CAT 3</t>
        </is>
      </c>
      <c r="K927" t="inlineStr">
        <is>
          <t>Sim</t>
        </is>
      </c>
    </row>
    <row r="928">
      <c r="A928" s="1">
        <f>HYPERLINK("https://eurofarma-latam-crm.veevavault.com/#object/account__v/V4TZ000018NXXB6", "Priscilla Ferraz")</f>
        <v/>
      </c>
      <c r="B928" s="1">
        <f>HYPERLINK("https://eurofarma-latam-crm.veevavault.com/#object/account__v/V4TZ000018NXXB6", "Priscilla Rodrigues Martins Ferraz")</f>
        <v/>
      </c>
      <c r="C928" t="inlineStr">
        <is>
          <t>RJ0812110</t>
        </is>
      </c>
      <c r="D928" t="inlineStr">
        <is>
          <t>END</t>
        </is>
      </c>
      <c r="E928" t="inlineStr">
        <is>
          <t>Rodovia Amaral Peixoto, S/N - KM 71 1 Andar</t>
        </is>
      </c>
      <c r="F928" t="inlineStr">
        <is>
          <t>Bacaxá (Bacaxá)</t>
        </is>
      </c>
      <c r="G928" t="inlineStr">
        <is>
          <t>Saquarema</t>
        </is>
      </c>
      <c r="H928" t="inlineStr">
        <is>
          <t>RJ</t>
        </is>
      </c>
      <c r="I928" t="n">
        <v>5153</v>
      </c>
      <c r="J928" t="inlineStr">
        <is>
          <t>CAT 3</t>
        </is>
      </c>
      <c r="K928" t="inlineStr">
        <is>
          <t>Sim</t>
        </is>
      </c>
    </row>
    <row r="929">
      <c r="A929" s="1">
        <f>HYPERLINK("https://eurofarma-latam-crm.veevavault.com/#object/account__v/V4TZ000018NXQ6H", "Priscilla Periard")</f>
        <v/>
      </c>
      <c r="B929" s="1">
        <f>HYPERLINK("https://eurofarma-latam-crm.veevavault.com/#object/account__v/V4TZ000018NXQ6H", "Priscilla Nobre de Carvalho Periard")</f>
        <v/>
      </c>
      <c r="C929" t="inlineStr">
        <is>
          <t>RJ0809225</t>
        </is>
      </c>
      <c r="D929" t="inlineStr">
        <is>
          <t>CLG</t>
        </is>
      </c>
      <c r="E929" t="inlineStr">
        <is>
          <t>Rua Manoel de Abreu, 9 - Parte</t>
        </is>
      </c>
      <c r="F929" t="inlineStr">
        <is>
          <t>Centro</t>
        </is>
      </c>
      <c r="G929" t="inlineStr">
        <is>
          <t>Niterói</t>
        </is>
      </c>
      <c r="H929" t="inlineStr">
        <is>
          <t>RJ</t>
        </is>
      </c>
      <c r="I929" t="n">
        <v>5153</v>
      </c>
      <c r="J929" t="inlineStr"/>
      <c r="K929" t="inlineStr"/>
    </row>
    <row r="930">
      <c r="A930" s="1">
        <f>HYPERLINK("https://eurofarma-latam-crm.veevavault.com/#object/account__v/V4TZ000018NYRZU", "Rafael Brandão")</f>
        <v/>
      </c>
      <c r="B930" s="1">
        <f>HYPERLINK("https://eurofarma-latam-crm.veevavault.com/#object/account__v/V4TZ000018NYRZU", "Rafael Zandonadi Brandão")</f>
        <v/>
      </c>
      <c r="C930" t="inlineStr">
        <is>
          <t>RJ0669261</t>
        </is>
      </c>
      <c r="D930" t="inlineStr">
        <is>
          <t>CLG / SNC</t>
        </is>
      </c>
      <c r="E930" t="inlineStr">
        <is>
          <t>Rua Doutor Borman, 43 - Sala 305</t>
        </is>
      </c>
      <c r="F930" t="inlineStr">
        <is>
          <t>Centro</t>
        </is>
      </c>
      <c r="G930" t="inlineStr">
        <is>
          <t>Niterói</t>
        </is>
      </c>
      <c r="H930" t="inlineStr">
        <is>
          <t>RJ</t>
        </is>
      </c>
      <c r="I930" t="n">
        <v>5153</v>
      </c>
      <c r="J930" t="inlineStr">
        <is>
          <t>CAT 1</t>
        </is>
      </c>
      <c r="K930" t="inlineStr">
        <is>
          <t>Sim</t>
        </is>
      </c>
    </row>
    <row r="931">
      <c r="A931" s="1">
        <f>HYPERLINK("https://eurofarma-latam-crm.veevavault.com/#object/account__v/V4TZ025E845WOWZ", "Rafael Quinellato")</f>
        <v/>
      </c>
      <c r="B931" s="1">
        <f>HYPERLINK("https://eurofarma-latam-crm.veevavault.com/#object/account__v/V4TZ025E845WOWZ", "Rafael Pires Quinellato")</f>
        <v/>
      </c>
      <c r="C931" t="inlineStr">
        <is>
          <t>RJ0833622</t>
        </is>
      </c>
      <c r="D931" t="inlineStr">
        <is>
          <t>GAS</t>
        </is>
      </c>
      <c r="E931" t="inlineStr">
        <is>
          <t>Rua Professor Rodolpho Paulo Rocco, 255</t>
        </is>
      </c>
      <c r="F931" t="inlineStr">
        <is>
          <t>Cidade Universitária</t>
        </is>
      </c>
      <c r="G931" t="inlineStr">
        <is>
          <t>Rio de Janeiro</t>
        </is>
      </c>
      <c r="H931" t="inlineStr">
        <is>
          <t>RJ</t>
        </is>
      </c>
      <c r="I931" t="n">
        <v>5153</v>
      </c>
      <c r="J931" t="inlineStr"/>
      <c r="K931" t="inlineStr"/>
    </row>
    <row r="932">
      <c r="A932" s="1">
        <f>HYPERLINK("https://eurofarma-latam-crm.veevavault.com/#object/account__v/V4TZ00001916G1N", "Raimundo de Brito Neto")</f>
        <v/>
      </c>
      <c r="B932" s="1">
        <f>HYPERLINK("https://eurofarma-latam-crm.veevavault.com/#object/account__v/V4TZ00001916G1N", "Raimundo Marcial de Brito Neto")</f>
        <v/>
      </c>
      <c r="C932" t="inlineStr">
        <is>
          <t>RJ1151703</t>
        </is>
      </c>
      <c r="D932" t="inlineStr">
        <is>
          <t>CLG / SNC</t>
        </is>
      </c>
      <c r="E932" t="inlineStr">
        <is>
          <t>Rua Otávio Carneiro, 143 - Sala 606</t>
        </is>
      </c>
      <c r="F932" t="inlineStr">
        <is>
          <t>Icaraí</t>
        </is>
      </c>
      <c r="G932" t="inlineStr">
        <is>
          <t>Niterói</t>
        </is>
      </c>
      <c r="H932" t="inlineStr">
        <is>
          <t>RJ</t>
        </is>
      </c>
      <c r="I932" t="n">
        <v>5153</v>
      </c>
      <c r="J932" t="inlineStr">
        <is>
          <t>CAT 2</t>
        </is>
      </c>
      <c r="K932" t="inlineStr">
        <is>
          <t>Sim</t>
        </is>
      </c>
    </row>
    <row r="933">
      <c r="A933" s="1">
        <f>HYPERLINK("https://eurofarma-latam-crm.veevavault.com/#object/account__v/V4TZ00001913ELD", "Raissa Batista")</f>
        <v/>
      </c>
      <c r="B933" s="1">
        <f>HYPERLINK("https://eurofarma-latam-crm.veevavault.com/#object/account__v/V4TZ00001913ELD", "Raissa Dantas Batista")</f>
        <v/>
      </c>
      <c r="C933" t="inlineStr">
        <is>
          <t>RJ0935204</t>
        </is>
      </c>
      <c r="D933" t="inlineStr">
        <is>
          <t>GAS</t>
        </is>
      </c>
      <c r="E933" t="inlineStr">
        <is>
          <t>Rua Ator Paulo Gustavo, 26 - Sala 1411</t>
        </is>
      </c>
      <c r="F933" t="inlineStr">
        <is>
          <t>Icaraí</t>
        </is>
      </c>
      <c r="G933" t="inlineStr">
        <is>
          <t>Niterói</t>
        </is>
      </c>
      <c r="H933" t="inlineStr">
        <is>
          <t>RJ</t>
        </is>
      </c>
      <c r="I933" t="n">
        <v>5153</v>
      </c>
      <c r="J933" t="inlineStr">
        <is>
          <t>CAT 5</t>
        </is>
      </c>
      <c r="K933" t="inlineStr">
        <is>
          <t>Sim</t>
        </is>
      </c>
    </row>
    <row r="934">
      <c r="A934" s="1">
        <f>HYPERLINK("https://eurofarma-latam-crm.veevavault.com/#object/account__v/V4TZ000018NXROD", "Raquel Nunes")</f>
        <v/>
      </c>
      <c r="B934" s="1">
        <f>HYPERLINK("https://eurofarma-latam-crm.veevavault.com/#object/account__v/V4TZ000018NXROD", "Raquel Coronato Nunes")</f>
        <v/>
      </c>
      <c r="C934" t="inlineStr">
        <is>
          <t>RJ0956112</t>
        </is>
      </c>
      <c r="D934" t="inlineStr">
        <is>
          <t>END</t>
        </is>
      </c>
      <c r="E934" t="inlineStr">
        <is>
          <t>Rua Coronel Serrado, 61</t>
        </is>
      </c>
      <c r="F934" t="inlineStr">
        <is>
          <t>Zé Garoto</t>
        </is>
      </c>
      <c r="G934" t="inlineStr">
        <is>
          <t>São Gonçalo</t>
        </is>
      </c>
      <c r="H934" t="inlineStr">
        <is>
          <t>RJ</t>
        </is>
      </c>
      <c r="I934" t="n">
        <v>5153</v>
      </c>
      <c r="J934" t="inlineStr">
        <is>
          <t>CAT 3</t>
        </is>
      </c>
      <c r="K934" t="inlineStr">
        <is>
          <t>Sim</t>
        </is>
      </c>
    </row>
    <row r="935">
      <c r="A935" s="1">
        <f>HYPERLINK("https://eurofarma-latam-crm.veevavault.com/#object/account__v/V4TZ000018NXH85", "Renata Barizon")</f>
        <v/>
      </c>
      <c r="B935" s="1">
        <f>HYPERLINK("https://eurofarma-latam-crm.veevavault.com/#object/account__v/V4TZ000018NXH85", "Renata Mattos Moura Barizon")</f>
        <v/>
      </c>
      <c r="C935" t="inlineStr">
        <is>
          <t>RJ0797022</t>
        </is>
      </c>
      <c r="D935" t="inlineStr">
        <is>
          <t>ORL</t>
        </is>
      </c>
      <c r="E935" t="inlineStr">
        <is>
          <t>Rua Gonçalves Ledo, 26</t>
        </is>
      </c>
      <c r="F935" t="inlineStr">
        <is>
          <t>Fonseca</t>
        </is>
      </c>
      <c r="G935" t="inlineStr">
        <is>
          <t>Niterói</t>
        </is>
      </c>
      <c r="H935" t="inlineStr">
        <is>
          <t>RJ</t>
        </is>
      </c>
      <c r="I935" t="n">
        <v>5153</v>
      </c>
      <c r="J935" t="inlineStr">
        <is>
          <t>CAT 4</t>
        </is>
      </c>
      <c r="K935" t="inlineStr">
        <is>
          <t>Sim</t>
        </is>
      </c>
    </row>
    <row r="936">
      <c r="A936" s="1">
        <f>HYPERLINK("https://eurofarma-latam-crm.veevavault.com/#object/account__v/V4TZ000018NXN53", "Renata Puppin")</f>
        <v/>
      </c>
      <c r="B936" s="1">
        <f>HYPERLINK("https://eurofarma-latam-crm.veevavault.com/#object/account__v/V4TZ000018NXN53", "Renata Salgado Espindola Puppin")</f>
        <v/>
      </c>
      <c r="C936" t="inlineStr">
        <is>
          <t>RJ0754323</t>
        </is>
      </c>
      <c r="D936" t="inlineStr">
        <is>
          <t>CLG</t>
        </is>
      </c>
      <c r="E936" t="inlineStr">
        <is>
          <t>Rua Yolanda Saad Abuzaid, 150 - Sala 617</t>
        </is>
      </c>
      <c r="F936" t="inlineStr">
        <is>
          <t>Alcântara</t>
        </is>
      </c>
      <c r="G936" t="inlineStr">
        <is>
          <t>São Gonçalo</t>
        </is>
      </c>
      <c r="H936" t="inlineStr">
        <is>
          <t>RJ</t>
        </is>
      </c>
      <c r="I936" t="n">
        <v>5153</v>
      </c>
      <c r="J936" t="inlineStr">
        <is>
          <t>CAT 4</t>
        </is>
      </c>
      <c r="K936" t="inlineStr">
        <is>
          <t>Sim</t>
        </is>
      </c>
    </row>
    <row r="937">
      <c r="A937" s="1">
        <f>HYPERLINK("https://eurofarma-latam-crm.veevavault.com/#object/account__v/V4TZ025E8DM1TWN", "Renata Sander")</f>
        <v/>
      </c>
      <c r="B937" s="1">
        <f>HYPERLINK("https://eurofarma-latam-crm.veevavault.com/#object/account__v/V4TZ025E8DM1TWN", "Renata Cury Sander")</f>
        <v/>
      </c>
      <c r="C937" t="inlineStr">
        <is>
          <t>RJ1331736</t>
        </is>
      </c>
      <c r="D937" t="inlineStr"/>
      <c r="E937" t="inlineStr">
        <is>
          <t>Rua Miguel de Frias, 77 - Salas 812 à 816</t>
        </is>
      </c>
      <c r="F937" t="inlineStr">
        <is>
          <t>Icaraí</t>
        </is>
      </c>
      <c r="G937" t="inlineStr">
        <is>
          <t>Niterói</t>
        </is>
      </c>
      <c r="H937" t="inlineStr">
        <is>
          <t>RJ</t>
        </is>
      </c>
      <c r="I937" t="n">
        <v>5153</v>
      </c>
      <c r="J937" t="inlineStr"/>
      <c r="K937" t="inlineStr"/>
    </row>
    <row r="938">
      <c r="A938" s="1">
        <f>HYPERLINK("https://eurofarma-latam-crm.veevavault.com/#object/account__v/V4TZ000018NYNX5", "Renato Elias")</f>
        <v/>
      </c>
      <c r="B938" s="1">
        <f>HYPERLINK("https://eurofarma-latam-crm.veevavault.com/#object/account__v/V4TZ000018NYNX5", "Renato Fernandes Elias")</f>
        <v/>
      </c>
      <c r="C938" t="inlineStr">
        <is>
          <t>RJ0656070</t>
        </is>
      </c>
      <c r="D938" t="inlineStr">
        <is>
          <t>PSQ</t>
        </is>
      </c>
      <c r="E938" t="inlineStr">
        <is>
          <t>Avenida Martinho Almeida, 222</t>
        </is>
      </c>
      <c r="F938" t="inlineStr">
        <is>
          <t>Mangueirinha</t>
        </is>
      </c>
      <c r="G938" t="inlineStr">
        <is>
          <t>Rio Bonito</t>
        </is>
      </c>
      <c r="H938" t="inlineStr">
        <is>
          <t>RJ</t>
        </is>
      </c>
      <c r="I938" t="n">
        <v>5153</v>
      </c>
      <c r="J938" t="inlineStr">
        <is>
          <t>CAT 1</t>
        </is>
      </c>
      <c r="K938" t="inlineStr">
        <is>
          <t>Sim</t>
        </is>
      </c>
    </row>
    <row r="939">
      <c r="A939" s="1">
        <f>HYPERLINK("https://eurofarma-latam-crm.veevavault.com/#object/account__v/V4TZ025E84WCLW1", "Ricardo Bretas")</f>
        <v/>
      </c>
      <c r="B939" s="1">
        <f>HYPERLINK("https://eurofarma-latam-crm.veevavault.com/#object/account__v/V4TZ025E84WCLW1", "Ricardo Alvim Bretas")</f>
        <v/>
      </c>
      <c r="C939" t="inlineStr">
        <is>
          <t>RJ0688398</t>
        </is>
      </c>
      <c r="D939" t="inlineStr">
        <is>
          <t>RMT</t>
        </is>
      </c>
      <c r="E939" t="inlineStr">
        <is>
          <t>Rua Manoel de Abreu, 9 - Parte</t>
        </is>
      </c>
      <c r="F939" t="inlineStr">
        <is>
          <t>Centro</t>
        </is>
      </c>
      <c r="G939" t="inlineStr">
        <is>
          <t>Niterói</t>
        </is>
      </c>
      <c r="H939" t="inlineStr">
        <is>
          <t>RJ</t>
        </is>
      </c>
      <c r="I939" t="n">
        <v>5153</v>
      </c>
      <c r="J939" t="inlineStr">
        <is>
          <t>CAT 3</t>
        </is>
      </c>
      <c r="K939" t="inlineStr">
        <is>
          <t>Sim</t>
        </is>
      </c>
    </row>
    <row r="940">
      <c r="A940" s="1">
        <f>HYPERLINK("https://eurofarma-latam-crm.veevavault.com/#object/account__v/V4TZ00001914IVQ", "Ricardo Cornelio")</f>
        <v/>
      </c>
      <c r="B940" s="1">
        <f>HYPERLINK("https://eurofarma-latam-crm.veevavault.com/#object/account__v/V4TZ00001914IVQ", "Ricardo Belloti Nacif Cornelio")</f>
        <v/>
      </c>
      <c r="C940" t="inlineStr">
        <is>
          <t>RJ0753734</t>
        </is>
      </c>
      <c r="D940" t="inlineStr">
        <is>
          <t>PED</t>
        </is>
      </c>
      <c r="E940" t="inlineStr">
        <is>
          <t>Avenida das Américas, 3500 - Blc 07 Sal 614</t>
        </is>
      </c>
      <c r="F940" t="inlineStr">
        <is>
          <t>Barra da Tijuca</t>
        </is>
      </c>
      <c r="G940" t="inlineStr">
        <is>
          <t>Rio de Janeiro</t>
        </is>
      </c>
      <c r="H940" t="inlineStr">
        <is>
          <t>RJ</t>
        </is>
      </c>
      <c r="I940" t="n">
        <v>5153</v>
      </c>
      <c r="J940" t="inlineStr">
        <is>
          <t>CAT 5</t>
        </is>
      </c>
      <c r="K940" t="inlineStr">
        <is>
          <t>Sim</t>
        </is>
      </c>
    </row>
    <row r="941">
      <c r="A941" s="1">
        <f>HYPERLINK("https://eurofarma-latam-crm.veevavault.com/#object/account__v/V4TZ000018NYRYC", "Ricardo Francisco Ebecken")</f>
        <v/>
      </c>
      <c r="B941" s="1">
        <f>HYPERLINK("https://eurofarma-latam-crm.veevavault.com/#object/account__v/V4TZ000018NYRYC", "Ricardo Francisco Favilla Ebecken")</f>
        <v/>
      </c>
      <c r="C941" t="inlineStr">
        <is>
          <t>RJ0024725</t>
        </is>
      </c>
      <c r="D941" t="inlineStr">
        <is>
          <t>GAS</t>
        </is>
      </c>
      <c r="E941" t="inlineStr">
        <is>
          <t>Rua Manoel de Abreu, 9 - Parte</t>
        </is>
      </c>
      <c r="F941" t="inlineStr">
        <is>
          <t>Centro</t>
        </is>
      </c>
      <c r="G941" t="inlineStr">
        <is>
          <t>Niterói</t>
        </is>
      </c>
      <c r="H941" t="inlineStr">
        <is>
          <t>RJ</t>
        </is>
      </c>
      <c r="I941" t="n">
        <v>5153</v>
      </c>
      <c r="J941" t="inlineStr">
        <is>
          <t>CAT 5</t>
        </is>
      </c>
      <c r="K941" t="inlineStr">
        <is>
          <t>N�o</t>
        </is>
      </c>
    </row>
    <row r="942">
      <c r="A942" s="1">
        <f>HYPERLINK("https://eurofarma-latam-crm.veevavault.com/#object/account__v/V4TZ025E8EYEG3J", "Ricardo Pimentel Filho")</f>
        <v/>
      </c>
      <c r="B942" s="1">
        <f>HYPERLINK("https://eurofarma-latam-crm.veevavault.com/#object/account__v/V4TZ025E8EYEG3J", "Ricardo Kale Pimentel Filho")</f>
        <v/>
      </c>
      <c r="C942" t="inlineStr">
        <is>
          <t>RJ1008196</t>
        </is>
      </c>
      <c r="D942" t="inlineStr">
        <is>
          <t>CLG</t>
        </is>
      </c>
      <c r="E942" t="inlineStr">
        <is>
          <t>Rua Manoel de Abreu, 9 - Parte</t>
        </is>
      </c>
      <c r="F942" t="inlineStr">
        <is>
          <t>Centro</t>
        </is>
      </c>
      <c r="G942" t="inlineStr">
        <is>
          <t>Niterói</t>
        </is>
      </c>
      <c r="H942" t="inlineStr">
        <is>
          <t>RJ</t>
        </is>
      </c>
      <c r="I942" t="n">
        <v>5153</v>
      </c>
      <c r="J942" t="inlineStr"/>
      <c r="K942" t="inlineStr"/>
    </row>
    <row r="943">
      <c r="A943" s="1">
        <f>HYPERLINK("https://eurofarma-latam-crm.veevavault.com/#object/account__v/V4TZ00001913RGM", "Ricardo Souza")</f>
        <v/>
      </c>
      <c r="B943" s="1">
        <f>HYPERLINK("https://eurofarma-latam-crm.veevavault.com/#object/account__v/V4TZ00001913RGM", "Ricardo Azevedo de Souza")</f>
        <v/>
      </c>
      <c r="C943" t="inlineStr">
        <is>
          <t>RJ0717320</t>
        </is>
      </c>
      <c r="D943" t="inlineStr">
        <is>
          <t>ORT</t>
        </is>
      </c>
      <c r="E943" t="inlineStr">
        <is>
          <t>Rua César Xará, 781 - Bloco 01</t>
        </is>
      </c>
      <c r="F943" t="inlineStr">
        <is>
          <t>Quissamã</t>
        </is>
      </c>
      <c r="G943" t="inlineStr">
        <is>
          <t>Itaboraí</t>
        </is>
      </c>
      <c r="H943" t="inlineStr">
        <is>
          <t>RJ</t>
        </is>
      </c>
      <c r="I943" t="n">
        <v>5153</v>
      </c>
      <c r="J943" t="inlineStr">
        <is>
          <t>CAT 3</t>
        </is>
      </c>
      <c r="K943" t="inlineStr">
        <is>
          <t>Sim</t>
        </is>
      </c>
    </row>
    <row r="944">
      <c r="A944" s="1">
        <f>HYPERLINK("https://eurofarma-latam-crm.veevavault.com/#object/account__v/V4TZ00001914E3X", "Roberta Carvalho")</f>
        <v/>
      </c>
      <c r="B944" s="1">
        <f>HYPERLINK("https://eurofarma-latam-crm.veevavault.com/#object/account__v/V4TZ00001914E3X", "Roberta Feijo Carvalho")</f>
        <v/>
      </c>
      <c r="C944" t="inlineStr">
        <is>
          <t>RJ0828033</t>
        </is>
      </c>
      <c r="D944" t="inlineStr">
        <is>
          <t>PED</t>
        </is>
      </c>
      <c r="E944" t="inlineStr">
        <is>
          <t>Rua José Serpa Ferraz, 54</t>
        </is>
      </c>
      <c r="F944" t="inlineStr">
        <is>
          <t>Centro</t>
        </is>
      </c>
      <c r="G944" t="inlineStr">
        <is>
          <t>Itaboraí</t>
        </is>
      </c>
      <c r="H944" t="inlineStr">
        <is>
          <t>RJ</t>
        </is>
      </c>
      <c r="I944" t="n">
        <v>5153</v>
      </c>
      <c r="J944" t="inlineStr">
        <is>
          <t>CAT 5</t>
        </is>
      </c>
      <c r="K944" t="inlineStr">
        <is>
          <t>Sim</t>
        </is>
      </c>
    </row>
    <row r="945">
      <c r="A945" s="1">
        <f>HYPERLINK("https://eurofarma-latam-crm.veevavault.com/#object/account__v/V4TZ00001914MAP", "Robson Luiz Vaz")</f>
        <v/>
      </c>
      <c r="B945" s="1">
        <f>HYPERLINK("https://eurofarma-latam-crm.veevavault.com/#object/account__v/V4TZ00001914MAP", "Robson Luiz de Araujo Vaz")</f>
        <v/>
      </c>
      <c r="C945" t="inlineStr">
        <is>
          <t>RJ0607169</t>
        </is>
      </c>
      <c r="D945" t="inlineStr">
        <is>
          <t>ORT</t>
        </is>
      </c>
      <c r="E945" t="inlineStr">
        <is>
          <t>Rua Gavião Peixoto, 124 - Sala 907</t>
        </is>
      </c>
      <c r="F945" t="inlineStr">
        <is>
          <t>Icaraí</t>
        </is>
      </c>
      <c r="G945" t="inlineStr">
        <is>
          <t>Niterói</t>
        </is>
      </c>
      <c r="H945" t="inlineStr">
        <is>
          <t>RJ</t>
        </is>
      </c>
      <c r="I945" t="n">
        <v>5153</v>
      </c>
      <c r="J945" t="inlineStr">
        <is>
          <t>CAT 4</t>
        </is>
      </c>
      <c r="K945" t="inlineStr">
        <is>
          <t>Sim</t>
        </is>
      </c>
    </row>
    <row r="946">
      <c r="A946" s="1">
        <f>HYPERLINK("https://eurofarma-latam-crm.veevavault.com/#object/account__v/V4TZ00001916AQR", "Rodrigo de Toledo")</f>
        <v/>
      </c>
      <c r="B946" s="1">
        <f>HYPERLINK("https://eurofarma-latam-crm.veevavault.com/#object/account__v/V4TZ00001916AQR", "Rodrigo Faria de Toledo")</f>
        <v/>
      </c>
      <c r="C946" t="inlineStr">
        <is>
          <t>RJ0685674</t>
        </is>
      </c>
      <c r="D946" t="inlineStr">
        <is>
          <t>PSQ</t>
        </is>
      </c>
      <c r="E946" t="inlineStr">
        <is>
          <t>Avenida das Américas, 3500 - Bloco 3 Salas 209 a 212</t>
        </is>
      </c>
      <c r="F946" t="inlineStr">
        <is>
          <t>Barra da Tijuca</t>
        </is>
      </c>
      <c r="G946" t="inlineStr">
        <is>
          <t>Rio de Janeiro</t>
        </is>
      </c>
      <c r="H946" t="inlineStr">
        <is>
          <t>RJ</t>
        </is>
      </c>
      <c r="I946" t="n">
        <v>5153</v>
      </c>
      <c r="J946" t="inlineStr">
        <is>
          <t>CAT 1</t>
        </is>
      </c>
      <c r="K946" t="inlineStr">
        <is>
          <t>Sim</t>
        </is>
      </c>
    </row>
    <row r="947">
      <c r="A947" s="1">
        <f>HYPERLINK("https://eurofarma-latam-crm.veevavault.com/#object/account__v/V4TZ000019149H0", "Rodrigo Peixoto")</f>
        <v/>
      </c>
      <c r="B947" s="1">
        <f>HYPERLINK("https://eurofarma-latam-crm.veevavault.com/#object/account__v/V4TZ000019149H0", "Rodrigo da Cunha Peixoto")</f>
        <v/>
      </c>
      <c r="C947" t="inlineStr">
        <is>
          <t>RJ0965677</t>
        </is>
      </c>
      <c r="D947" t="inlineStr">
        <is>
          <t>CLG</t>
        </is>
      </c>
      <c r="E947" t="inlineStr">
        <is>
          <t>Rua Manoel de Abreu, 9 - Parte</t>
        </is>
      </c>
      <c r="F947" t="inlineStr">
        <is>
          <t>Centro</t>
        </is>
      </c>
      <c r="G947" t="inlineStr">
        <is>
          <t>Niterói</t>
        </is>
      </c>
      <c r="H947" t="inlineStr">
        <is>
          <t>RJ</t>
        </is>
      </c>
      <c r="I947" t="n">
        <v>5153</v>
      </c>
      <c r="J947" t="inlineStr">
        <is>
          <t>CAT 4</t>
        </is>
      </c>
      <c r="K947" t="inlineStr">
        <is>
          <t>Sim</t>
        </is>
      </c>
    </row>
    <row r="948">
      <c r="A948" s="1">
        <f>HYPERLINK("https://eurofarma-latam-crm.veevavault.com/#object/account__v/V4TZ000019147TE", "Rodrigo Rodriguez")</f>
        <v/>
      </c>
      <c r="B948" s="1">
        <f>HYPERLINK("https://eurofarma-latam-crm.veevavault.com/#object/account__v/V4TZ000019147TE", "Rodrigo Dezerto Rodriguez")</f>
        <v/>
      </c>
      <c r="C948" t="inlineStr">
        <is>
          <t>RJ0640301</t>
        </is>
      </c>
      <c r="D948" t="inlineStr">
        <is>
          <t>CLG</t>
        </is>
      </c>
      <c r="E948" t="inlineStr">
        <is>
          <t>Rua Professor Hernani Melo, 103</t>
        </is>
      </c>
      <c r="F948" t="inlineStr">
        <is>
          <t>São Domingos</t>
        </is>
      </c>
      <c r="G948" t="inlineStr">
        <is>
          <t>Niterói</t>
        </is>
      </c>
      <c r="H948" t="inlineStr">
        <is>
          <t>RJ</t>
        </is>
      </c>
      <c r="I948" t="n">
        <v>5153</v>
      </c>
      <c r="J948" t="inlineStr">
        <is>
          <t>CAT 3</t>
        </is>
      </c>
      <c r="K948" t="inlineStr">
        <is>
          <t>Sim</t>
        </is>
      </c>
    </row>
    <row r="949">
      <c r="A949" s="1">
        <f>HYPERLINK("https://eurofarma-latam-crm.veevavault.com/#object/account__v/V4TZ000019132W2", "Rodrigo Silveira")</f>
        <v/>
      </c>
      <c r="B949" s="1">
        <f>HYPERLINK("https://eurofarma-latam-crm.veevavault.com/#object/account__v/V4TZ000019132W2", "Rodrigo Queiroz Silveira")</f>
        <v/>
      </c>
      <c r="C949" t="inlineStr">
        <is>
          <t>RJ1123351,SP0254327</t>
        </is>
      </c>
      <c r="D949" t="inlineStr">
        <is>
          <t>CLG / SNC</t>
        </is>
      </c>
      <c r="E949" t="inlineStr">
        <is>
          <t>Rua Tupi, 535</t>
        </is>
      </c>
      <c r="F949" t="inlineStr">
        <is>
          <t>Santa Cecília</t>
        </is>
      </c>
      <c r="G949" t="inlineStr">
        <is>
          <t>São Paulo</t>
        </is>
      </c>
      <c r="H949" t="inlineStr">
        <is>
          <t>SP</t>
        </is>
      </c>
      <c r="I949" t="n">
        <v>5153</v>
      </c>
      <c r="J949" t="inlineStr">
        <is>
          <t>CAT 2</t>
        </is>
      </c>
      <c r="K949" t="inlineStr">
        <is>
          <t>Sim</t>
        </is>
      </c>
    </row>
    <row r="950">
      <c r="A950" s="1">
        <f>HYPERLINK("https://eurofarma-latam-crm.veevavault.com/#object/account__v/V4TZ0000191306W", "Rosalvo Moura Neto")</f>
        <v/>
      </c>
      <c r="B950" s="1">
        <f>HYPERLINK("https://eurofarma-latam-crm.veevavault.com/#object/account__v/V4TZ0000191306W", "Rosalvo Moura Neto")</f>
        <v/>
      </c>
      <c r="C950" t="inlineStr">
        <is>
          <t>RJ0640654</t>
        </is>
      </c>
      <c r="D950" t="inlineStr">
        <is>
          <t>ORL</t>
        </is>
      </c>
      <c r="E950" t="inlineStr">
        <is>
          <t>Rua Coronel Moreira Cesar, 229 - Sala 1601 1611</t>
        </is>
      </c>
      <c r="F950" t="inlineStr">
        <is>
          <t>Icaraí</t>
        </is>
      </c>
      <c r="G950" t="inlineStr">
        <is>
          <t>Niterói</t>
        </is>
      </c>
      <c r="H950" t="inlineStr">
        <is>
          <t>RJ</t>
        </is>
      </c>
      <c r="I950" t="n">
        <v>5153</v>
      </c>
      <c r="J950" t="inlineStr">
        <is>
          <t>CAT 3</t>
        </is>
      </c>
      <c r="K950" t="inlineStr">
        <is>
          <t>Sim</t>
        </is>
      </c>
    </row>
    <row r="951">
      <c r="A951" s="1">
        <f>HYPERLINK("https://eurofarma-latam-crm.veevavault.com/#object/account__v/V4TZ000018NYRCY", "Rosana Carvalho")</f>
        <v/>
      </c>
      <c r="B951" s="1">
        <f>HYPERLINK("https://eurofarma-latam-crm.veevavault.com/#object/account__v/V4TZ000018NYRCY", "Rosana Maria Benevides Carvalho")</f>
        <v/>
      </c>
      <c r="C951" t="inlineStr">
        <is>
          <t>RJ0413772</t>
        </is>
      </c>
      <c r="D951" t="inlineStr">
        <is>
          <t>CLG</t>
        </is>
      </c>
      <c r="E951" t="inlineStr">
        <is>
          <t>Rua Ator Paulo Gustavo, 229 - Sala 1219</t>
        </is>
      </c>
      <c r="F951" t="inlineStr">
        <is>
          <t>Icaraí</t>
        </is>
      </c>
      <c r="G951" t="inlineStr">
        <is>
          <t>Niterói</t>
        </is>
      </c>
      <c r="H951" t="inlineStr">
        <is>
          <t>RJ</t>
        </is>
      </c>
      <c r="I951" t="n">
        <v>5153</v>
      </c>
      <c r="J951" t="inlineStr">
        <is>
          <t>CAT 3</t>
        </is>
      </c>
      <c r="K951" t="inlineStr">
        <is>
          <t>Sim</t>
        </is>
      </c>
    </row>
    <row r="952">
      <c r="A952" s="1">
        <f>HYPERLINK("https://eurofarma-latam-crm.veevavault.com/#object/account__v/V4TZ00001913AN7", "Rubens da Cruz Filho")</f>
        <v/>
      </c>
      <c r="B952" s="1">
        <f>HYPERLINK("https://eurofarma-latam-crm.veevavault.com/#object/account__v/V4TZ00001913AN7", "Rubens Antunes da Cruz Filho")</f>
        <v/>
      </c>
      <c r="C952" t="inlineStr">
        <is>
          <t>RJ0448670</t>
        </is>
      </c>
      <c r="D952" t="inlineStr">
        <is>
          <t>END</t>
        </is>
      </c>
      <c r="E952" t="inlineStr">
        <is>
          <t>Rua Marquês de Paraná, 303</t>
        </is>
      </c>
      <c r="F952" t="inlineStr">
        <is>
          <t>Centro</t>
        </is>
      </c>
      <c r="G952" t="inlineStr">
        <is>
          <t>Niterói</t>
        </is>
      </c>
      <c r="H952" t="inlineStr">
        <is>
          <t>RJ</t>
        </is>
      </c>
      <c r="I952" t="n">
        <v>5153</v>
      </c>
      <c r="J952" t="inlineStr"/>
      <c r="K952" t="inlineStr"/>
    </row>
    <row r="953">
      <c r="A953" s="1">
        <f>HYPERLINK("https://eurofarma-latam-crm.veevavault.com/#object/account__v/V4TZ00001913FUN", "Rui de Carvalho")</f>
        <v/>
      </c>
      <c r="B953" s="1">
        <f>HYPERLINK("https://eurofarma-latam-crm.veevavault.com/#object/account__v/V4TZ00001913FUN", "Rui Goulart de Carvalho")</f>
        <v/>
      </c>
      <c r="C953" t="inlineStr">
        <is>
          <t>RJ0220805</t>
        </is>
      </c>
      <c r="D953" t="inlineStr">
        <is>
          <t>PSQ</t>
        </is>
      </c>
      <c r="E953" t="inlineStr">
        <is>
          <t>Rua Coronel Moreira Cesar, 229 - Sala 1315</t>
        </is>
      </c>
      <c r="F953" t="inlineStr">
        <is>
          <t>Icaraí</t>
        </is>
      </c>
      <c r="G953" t="inlineStr">
        <is>
          <t>Niterói</t>
        </is>
      </c>
      <c r="H953" t="inlineStr">
        <is>
          <t>RJ</t>
        </is>
      </c>
      <c r="I953" t="n">
        <v>5153</v>
      </c>
      <c r="J953" t="inlineStr">
        <is>
          <t>CAT 1</t>
        </is>
      </c>
      <c r="K953" t="inlineStr">
        <is>
          <t>Sim</t>
        </is>
      </c>
    </row>
    <row r="954">
      <c r="A954" s="1">
        <f>HYPERLINK("https://eurofarma-latam-crm.veevavault.com/#object/account__v/V4TZ000019137LW", "Ruy Cutrim Junior")</f>
        <v/>
      </c>
      <c r="B954" s="1">
        <f>HYPERLINK("https://eurofarma-latam-crm.veevavault.com/#object/account__v/V4TZ000019137LW", "Ruy Justo Carneiro Cutrim Junior")</f>
        <v/>
      </c>
      <c r="C954" t="inlineStr">
        <is>
          <t>RJ0410851</t>
        </is>
      </c>
      <c r="D954" t="inlineStr">
        <is>
          <t>PSQ</t>
        </is>
      </c>
      <c r="E954" t="inlineStr">
        <is>
          <t>Rua Gavião Peixoto, 124 - Sala 1411 Espaço Multi do Aprender</t>
        </is>
      </c>
      <c r="F954" t="inlineStr">
        <is>
          <t>Icaraí</t>
        </is>
      </c>
      <c r="G954" t="inlineStr">
        <is>
          <t>Niterói</t>
        </is>
      </c>
      <c r="H954" t="inlineStr">
        <is>
          <t>RJ</t>
        </is>
      </c>
      <c r="I954" t="n">
        <v>5153</v>
      </c>
      <c r="J954" t="inlineStr">
        <is>
          <t>CAT 3</t>
        </is>
      </c>
      <c r="K954" t="inlineStr">
        <is>
          <t>Sim</t>
        </is>
      </c>
    </row>
    <row r="955">
      <c r="A955" s="1">
        <f>HYPERLINK("https://eurofarma-latam-crm.veevavault.com/#object/account__v/V4TZ00001913KS6", "Sabrina de Oliveira")</f>
        <v/>
      </c>
      <c r="B955" s="1">
        <f>HYPERLINK("https://eurofarma-latam-crm.veevavault.com/#object/account__v/V4TZ00001913KS6", "Sabrina Chevitarese de Oliveira")</f>
        <v/>
      </c>
      <c r="C955" t="inlineStr">
        <is>
          <t>RJ1084615</t>
        </is>
      </c>
      <c r="D955" t="inlineStr"/>
      <c r="E955" t="inlineStr">
        <is>
          <t>Avenida Perimetral Prudente de Morais, 918</t>
        </is>
      </c>
      <c r="F955" t="inlineStr">
        <is>
          <t>Vila Itamarati</t>
        </is>
      </c>
      <c r="G955" t="inlineStr">
        <is>
          <t>Duque de Caxias</t>
        </is>
      </c>
      <c r="H955" t="inlineStr">
        <is>
          <t>RJ</t>
        </is>
      </c>
      <c r="I955" t="n">
        <v>5153</v>
      </c>
      <c r="J955" t="inlineStr"/>
      <c r="K955" t="inlineStr"/>
    </row>
    <row r="956">
      <c r="A956" s="1">
        <f>HYPERLINK("https://eurofarma-latam-crm.veevavault.com/#object/account__v/V4TZ000018NY8H1", "Sergio Albertino")</f>
        <v/>
      </c>
      <c r="B956" s="1">
        <f>HYPERLINK("https://eurofarma-latam-crm.veevavault.com/#object/account__v/V4TZ000018NY8H1", "Sergio Albertino")</f>
        <v/>
      </c>
      <c r="C956" t="inlineStr">
        <is>
          <t>RJ0026240</t>
        </is>
      </c>
      <c r="D956" t="inlineStr">
        <is>
          <t>ORL</t>
        </is>
      </c>
      <c r="E956" t="inlineStr">
        <is>
          <t>Rua Mem de Sá, 186</t>
        </is>
      </c>
      <c r="F956" t="inlineStr">
        <is>
          <t>Icaraí</t>
        </is>
      </c>
      <c r="G956" t="inlineStr">
        <is>
          <t>Niterói</t>
        </is>
      </c>
      <c r="H956" t="inlineStr">
        <is>
          <t>RJ</t>
        </is>
      </c>
      <c r="I956" t="n">
        <v>5153</v>
      </c>
      <c r="J956" t="inlineStr">
        <is>
          <t>CAT 4</t>
        </is>
      </c>
      <c r="K956" t="inlineStr">
        <is>
          <t>Sim</t>
        </is>
      </c>
    </row>
    <row r="957">
      <c r="A957" s="1">
        <f>HYPERLINK("https://eurofarma-latam-crm.veevavault.com/#object/account__v/V4TZ00001915X8N", "Sergio Luiz Manhães")</f>
        <v/>
      </c>
      <c r="B957" s="1">
        <f>HYPERLINK("https://eurofarma-latam-crm.veevavault.com/#object/account__v/V4TZ00001915X8N", "Sergio Luiz Carvalho Manhães")</f>
        <v/>
      </c>
      <c r="C957" t="inlineStr">
        <is>
          <t>RJ0251289</t>
        </is>
      </c>
      <c r="D957" t="inlineStr">
        <is>
          <t>CLG</t>
        </is>
      </c>
      <c r="E957" t="inlineStr">
        <is>
          <t>Rua Ator Paulo Gustavo, 229 - Sala 1312</t>
        </is>
      </c>
      <c r="F957" t="inlineStr">
        <is>
          <t>Icaraí</t>
        </is>
      </c>
      <c r="G957" t="inlineStr">
        <is>
          <t>Niterói</t>
        </is>
      </c>
      <c r="H957" t="inlineStr">
        <is>
          <t>RJ</t>
        </is>
      </c>
      <c r="I957" t="n">
        <v>5153</v>
      </c>
      <c r="J957" t="inlineStr">
        <is>
          <t>CAT 2</t>
        </is>
      </c>
      <c r="K957" t="inlineStr">
        <is>
          <t>Sim</t>
        </is>
      </c>
    </row>
    <row r="958">
      <c r="A958" s="1">
        <f>HYPERLINK("https://eurofarma-latam-crm.veevavault.com/#object/account__v/V4TZ00001913F0W", "Sergio Roberto Ouriques")</f>
        <v/>
      </c>
      <c r="B958" s="1">
        <f>HYPERLINK("https://eurofarma-latam-crm.veevavault.com/#object/account__v/V4TZ00001913F0W", "Sergio Roberto da Silva Ouriques")</f>
        <v/>
      </c>
      <c r="C958" t="inlineStr">
        <is>
          <t>RJ0026262</t>
        </is>
      </c>
      <c r="D958" t="inlineStr">
        <is>
          <t>CLG</t>
        </is>
      </c>
      <c r="E958" t="inlineStr">
        <is>
          <t>Rua Gavião Peixoto, 70 - Sala 707</t>
        </is>
      </c>
      <c r="F958" t="inlineStr">
        <is>
          <t>Icaraí</t>
        </is>
      </c>
      <c r="G958" t="inlineStr">
        <is>
          <t>Niterói</t>
        </is>
      </c>
      <c r="H958" t="inlineStr">
        <is>
          <t>RJ</t>
        </is>
      </c>
      <c r="I958" t="n">
        <v>5153</v>
      </c>
      <c r="J958" t="inlineStr">
        <is>
          <t>CAT 3</t>
        </is>
      </c>
      <c r="K958" t="inlineStr">
        <is>
          <t>Sim</t>
        </is>
      </c>
    </row>
    <row r="959">
      <c r="A959" s="1">
        <f>HYPERLINK("https://eurofarma-latam-crm.veevavault.com/#object/account__v/V4TZ000018NXU14", "Shirley Cury")</f>
        <v/>
      </c>
      <c r="B959" s="1">
        <f>HYPERLINK("https://eurofarma-latam-crm.veevavault.com/#object/account__v/V4TZ000018NXU14", "Shirley Cury")</f>
        <v/>
      </c>
      <c r="C959" t="inlineStr">
        <is>
          <t>RJ0434662</t>
        </is>
      </c>
      <c r="D959" t="inlineStr">
        <is>
          <t>GER</t>
        </is>
      </c>
      <c r="E959" t="inlineStr">
        <is>
          <t>Avenida Sete de Setembro, 235</t>
        </is>
      </c>
      <c r="F959" t="inlineStr">
        <is>
          <t>Icaraí</t>
        </is>
      </c>
      <c r="G959" t="inlineStr">
        <is>
          <t>Niterói</t>
        </is>
      </c>
      <c r="H959" t="inlineStr">
        <is>
          <t>RJ</t>
        </is>
      </c>
      <c r="I959" t="n">
        <v>5153</v>
      </c>
      <c r="J959" t="inlineStr"/>
      <c r="K959" t="inlineStr"/>
    </row>
    <row r="960">
      <c r="A960" s="1">
        <f>HYPERLINK("https://eurofarma-latam-crm.veevavault.com/#object/account__v/V4TZ00001915SX6", "Simone Rodrigues")</f>
        <v/>
      </c>
      <c r="B960" s="1">
        <f>HYPERLINK("https://eurofarma-latam-crm.veevavault.com/#object/account__v/V4TZ00001915SX6", "Simone Robalinho Senra Peçanha Pina Rodrigues")</f>
        <v/>
      </c>
      <c r="C960" t="inlineStr">
        <is>
          <t>RJ0476666</t>
        </is>
      </c>
      <c r="D960" t="inlineStr">
        <is>
          <t>ORL</t>
        </is>
      </c>
      <c r="E960" t="inlineStr">
        <is>
          <t>Rua da Conceição, 100</t>
        </is>
      </c>
      <c r="F960" t="inlineStr">
        <is>
          <t>Centro</t>
        </is>
      </c>
      <c r="G960" t="inlineStr">
        <is>
          <t>Niterói</t>
        </is>
      </c>
      <c r="H960" t="inlineStr">
        <is>
          <t>RJ</t>
        </is>
      </c>
      <c r="I960" t="n">
        <v>5153</v>
      </c>
      <c r="J960" t="inlineStr">
        <is>
          <t>CAT 2</t>
        </is>
      </c>
      <c r="K960" t="inlineStr">
        <is>
          <t>Sim</t>
        </is>
      </c>
    </row>
    <row r="961">
      <c r="A961" s="1">
        <f>HYPERLINK("https://eurofarma-latam-crm.veevavault.com/#object/account__v/V4TZ00001915NYJ", "Suely Gomes")</f>
        <v/>
      </c>
      <c r="B961" s="1">
        <f>HYPERLINK("https://eurofarma-latam-crm.veevavault.com/#object/account__v/V4TZ00001915NYJ", "Suely Pinho Gomes")</f>
        <v/>
      </c>
      <c r="C961" t="inlineStr">
        <is>
          <t>RJ0362066</t>
        </is>
      </c>
      <c r="D961" t="inlineStr">
        <is>
          <t>ORL</t>
        </is>
      </c>
      <c r="E961" t="inlineStr">
        <is>
          <t>Rua Manoel Pacheco de Carvalho, 327</t>
        </is>
      </c>
      <c r="F961" t="inlineStr">
        <is>
          <t>Piratininga</t>
        </is>
      </c>
      <c r="G961" t="inlineStr">
        <is>
          <t>Niterói</t>
        </is>
      </c>
      <c r="H961" t="inlineStr">
        <is>
          <t>RJ</t>
        </is>
      </c>
      <c r="I961" t="n">
        <v>5153</v>
      </c>
      <c r="J961" t="inlineStr">
        <is>
          <t>CAT 5</t>
        </is>
      </c>
      <c r="K961" t="inlineStr">
        <is>
          <t>Sim</t>
        </is>
      </c>
    </row>
    <row r="962">
      <c r="A962" s="1">
        <f>HYPERLINK("https://eurofarma-latam-crm.veevavault.com/#object/account__v/V4TZ025E88NIUXG", "Taylane Cypriano")</f>
        <v/>
      </c>
      <c r="B962" s="1">
        <f>HYPERLINK("https://eurofarma-latam-crm.veevavault.com/#object/account__v/V4TZ025E88NIUXG", "Taylane Ferreira Cypriano")</f>
        <v/>
      </c>
      <c r="C962" t="inlineStr">
        <is>
          <t>RJ1162624</t>
        </is>
      </c>
      <c r="D962" t="inlineStr">
        <is>
          <t>CLG / END</t>
        </is>
      </c>
      <c r="E962" t="inlineStr">
        <is>
          <t>Rua Moncorvo Filho, 67</t>
        </is>
      </c>
      <c r="F962" t="inlineStr">
        <is>
          <t>Centro</t>
        </is>
      </c>
      <c r="G962" t="inlineStr">
        <is>
          <t>Rio de Janeiro</t>
        </is>
      </c>
      <c r="H962" t="inlineStr">
        <is>
          <t>RJ</t>
        </is>
      </c>
      <c r="I962" t="n">
        <v>5153</v>
      </c>
      <c r="J962" t="inlineStr"/>
      <c r="K962" t="inlineStr"/>
    </row>
    <row r="963">
      <c r="A963" s="1">
        <f>HYPERLINK("https://eurofarma-latam-crm.veevavault.com/#object/account__v/V4TZ00001915LV6", "Taylor da Silva Junior")</f>
        <v/>
      </c>
      <c r="B963" s="1">
        <f>HYPERLINK("https://eurofarma-latam-crm.veevavault.com/#object/account__v/V4TZ00001915LV6", "Taylor Reis da Silva Junior")</f>
        <v/>
      </c>
      <c r="C963" t="inlineStr">
        <is>
          <t>RJ0621803</t>
        </is>
      </c>
      <c r="D963" t="inlineStr">
        <is>
          <t>PSQ</t>
        </is>
      </c>
      <c r="E963" t="inlineStr">
        <is>
          <t>Rua Santa Clara, 102</t>
        </is>
      </c>
      <c r="F963" t="inlineStr">
        <is>
          <t>Ponta D'Areia</t>
        </is>
      </c>
      <c r="G963" t="inlineStr">
        <is>
          <t>Niterói</t>
        </is>
      </c>
      <c r="H963" t="inlineStr">
        <is>
          <t>RJ</t>
        </is>
      </c>
      <c r="I963" t="n">
        <v>5153</v>
      </c>
      <c r="J963" t="inlineStr">
        <is>
          <t>CAT 1</t>
        </is>
      </c>
      <c r="K963" t="inlineStr">
        <is>
          <t>Sim</t>
        </is>
      </c>
    </row>
    <row r="964">
      <c r="A964" s="1">
        <f>HYPERLINK("https://eurofarma-latam-crm.veevavault.com/#object/account__v/V4TZ000018NXOIN", "Terezinha Martire")</f>
        <v/>
      </c>
      <c r="B964" s="1">
        <f>HYPERLINK("https://eurofarma-latam-crm.veevavault.com/#object/account__v/V4TZ000018NXOIN", "Terezinha Martire")</f>
        <v/>
      </c>
      <c r="C964" t="inlineStr">
        <is>
          <t>RJ0385877</t>
        </is>
      </c>
      <c r="D964" t="inlineStr">
        <is>
          <t>ORL</t>
        </is>
      </c>
      <c r="E964" t="inlineStr">
        <is>
          <t>Rua Mariz e Barros, 775</t>
        </is>
      </c>
      <c r="F964" t="inlineStr">
        <is>
          <t>Maracanã</t>
        </is>
      </c>
      <c r="G964" t="inlineStr">
        <is>
          <t>Rio de Janeiro</t>
        </is>
      </c>
      <c r="H964" t="inlineStr">
        <is>
          <t>RJ</t>
        </is>
      </c>
      <c r="I964" t="n">
        <v>5153</v>
      </c>
      <c r="J964" t="inlineStr">
        <is>
          <t>CAT 4</t>
        </is>
      </c>
      <c r="K964" t="inlineStr">
        <is>
          <t>Sim</t>
        </is>
      </c>
    </row>
    <row r="965">
      <c r="A965" s="1">
        <f>HYPERLINK("https://eurofarma-latam-crm.veevavault.com/#object/account__v/V4TZ000018NYQ22", "Thaís Paradelas")</f>
        <v/>
      </c>
      <c r="B965" s="1">
        <f>HYPERLINK("https://eurofarma-latam-crm.veevavault.com/#object/account__v/V4TZ000018NYQ22", "Thaís Dias Vieira Paradelas")</f>
        <v/>
      </c>
      <c r="C965" t="inlineStr">
        <is>
          <t>RJ1065513</t>
        </is>
      </c>
      <c r="D965" t="inlineStr">
        <is>
          <t>GAS</t>
        </is>
      </c>
      <c r="E965" t="inlineStr">
        <is>
          <t>Rua Miguel de Frias, 150 - Sala 406 à 409</t>
        </is>
      </c>
      <c r="F965" t="inlineStr">
        <is>
          <t>Icaraí</t>
        </is>
      </c>
      <c r="G965" t="inlineStr">
        <is>
          <t>Niterói</t>
        </is>
      </c>
      <c r="H965" t="inlineStr">
        <is>
          <t>RJ</t>
        </is>
      </c>
      <c r="I965" t="n">
        <v>5153</v>
      </c>
      <c r="J965" t="inlineStr"/>
      <c r="K965" t="inlineStr"/>
    </row>
    <row r="966">
      <c r="A966" s="1">
        <f>HYPERLINK("https://eurofarma-latam-crm.veevavault.com/#object/account__v/V4TZ000018NXWQQ", "Thays Jurgio")</f>
        <v/>
      </c>
      <c r="B966" s="1">
        <f>HYPERLINK("https://eurofarma-latam-crm.veevavault.com/#object/account__v/V4TZ000018NXWQQ", "Thays Cristina Machado Jurgio")</f>
        <v/>
      </c>
      <c r="C966" t="inlineStr">
        <is>
          <t>RJ0797456</t>
        </is>
      </c>
      <c r="D966" t="inlineStr">
        <is>
          <t>CLG</t>
        </is>
      </c>
      <c r="E966" t="inlineStr">
        <is>
          <t>Rua Barão de Itapagipe, 225</t>
        </is>
      </c>
      <c r="F966" t="inlineStr">
        <is>
          <t>Rio Comprido</t>
        </is>
      </c>
      <c r="G966" t="inlineStr">
        <is>
          <t>Rio de Janeiro</t>
        </is>
      </c>
      <c r="H966" t="inlineStr">
        <is>
          <t>RJ</t>
        </is>
      </c>
      <c r="I966" t="n">
        <v>5153</v>
      </c>
      <c r="J966" t="inlineStr">
        <is>
          <t>CAT 5</t>
        </is>
      </c>
      <c r="K966" t="inlineStr">
        <is>
          <t>Sim</t>
        </is>
      </c>
    </row>
    <row r="967">
      <c r="A967" s="1">
        <f>HYPERLINK("https://eurofarma-latam-crm.veevavault.com/#object/account__v/V4TZ000018NY9U6", "Theo de Barros")</f>
        <v/>
      </c>
      <c r="B967" s="1">
        <f>HYPERLINK("https://eurofarma-latam-crm.veevavault.com/#object/account__v/V4TZ000018NY9U6", "Theo Suckow de Barros")</f>
        <v/>
      </c>
      <c r="C967" t="inlineStr">
        <is>
          <t>RJ0398897</t>
        </is>
      </c>
      <c r="D967" t="inlineStr">
        <is>
          <t>CLG</t>
        </is>
      </c>
      <c r="E967" t="inlineStr">
        <is>
          <t>Avenida Almirante Ary Parreiras, 668 - Vital Brazil</t>
        </is>
      </c>
      <c r="F967" t="inlineStr">
        <is>
          <t>Icaraí</t>
        </is>
      </c>
      <c r="G967" t="inlineStr">
        <is>
          <t>Niterói</t>
        </is>
      </c>
      <c r="H967" t="inlineStr">
        <is>
          <t>RJ</t>
        </is>
      </c>
      <c r="I967" t="n">
        <v>5153</v>
      </c>
      <c r="J967" t="inlineStr">
        <is>
          <t>CAT 3</t>
        </is>
      </c>
      <c r="K967" t="inlineStr">
        <is>
          <t>Sim</t>
        </is>
      </c>
    </row>
    <row r="968">
      <c r="A968" s="1">
        <f>HYPERLINK("https://eurofarma-latam-crm.veevavault.com/#object/account__v/V4TZ00001915L9Z", "Tito de Carvalho")</f>
        <v/>
      </c>
      <c r="B968" s="1">
        <f>HYPERLINK("https://eurofarma-latam-crm.veevavault.com/#object/account__v/V4TZ00001915L9Z", "Tito Naegele de Carvalho")</f>
        <v/>
      </c>
      <c r="C968" t="inlineStr">
        <is>
          <t>RJ0350695</t>
        </is>
      </c>
      <c r="D968" t="inlineStr">
        <is>
          <t>ORT</t>
        </is>
      </c>
      <c r="E968" t="inlineStr">
        <is>
          <t>Rua Mariz e Barros, 283</t>
        </is>
      </c>
      <c r="F968" t="inlineStr">
        <is>
          <t>Icaraí</t>
        </is>
      </c>
      <c r="G968" t="inlineStr">
        <is>
          <t>Niterói</t>
        </is>
      </c>
      <c r="H968" t="inlineStr">
        <is>
          <t>RJ</t>
        </is>
      </c>
      <c r="I968" t="n">
        <v>5153</v>
      </c>
      <c r="J968" t="inlineStr">
        <is>
          <t>CAT 4</t>
        </is>
      </c>
      <c r="K968" t="inlineStr">
        <is>
          <t>Sim</t>
        </is>
      </c>
    </row>
    <row r="969">
      <c r="A969" s="1">
        <f>HYPERLINK("https://eurofarma-latam-crm.veevavault.com/#object/account__v/V4TZ000018NY3LB", "Valter Jose Muller")</f>
        <v/>
      </c>
      <c r="B969" s="1">
        <f>HYPERLINK("https://eurofarma-latam-crm.veevavault.com/#object/account__v/V4TZ000018NY3LB", "Valter Jose Fernandes Muller")</f>
        <v/>
      </c>
      <c r="C969" t="inlineStr">
        <is>
          <t>PA0001513,RJ0302101</t>
        </is>
      </c>
      <c r="D969" t="inlineStr">
        <is>
          <t>URO</t>
        </is>
      </c>
      <c r="E969" t="inlineStr">
        <is>
          <t>Rua Coronel Moreira Cesar, 26 - Sala 804</t>
        </is>
      </c>
      <c r="F969" t="inlineStr">
        <is>
          <t>Icaraí</t>
        </is>
      </c>
      <c r="G969" t="inlineStr">
        <is>
          <t>Niterói</t>
        </is>
      </c>
      <c r="H969" t="inlineStr">
        <is>
          <t>RJ</t>
        </is>
      </c>
      <c r="I969" t="n">
        <v>5153</v>
      </c>
      <c r="J969" t="inlineStr">
        <is>
          <t>CAT 4</t>
        </is>
      </c>
      <c r="K969" t="inlineStr">
        <is>
          <t>Sim</t>
        </is>
      </c>
    </row>
    <row r="970">
      <c r="A970" s="1">
        <f>HYPERLINK("https://eurofarma-latam-crm.veevavault.com/#object/account__v/V4TZ00001913HJQ", "Veronica Miranda")</f>
        <v/>
      </c>
      <c r="B970" s="1">
        <f>HYPERLINK("https://eurofarma-latam-crm.veevavault.com/#object/account__v/V4TZ00001913HJQ", "Veronica Pereira Dias Miranda")</f>
        <v/>
      </c>
      <c r="C970" t="inlineStr">
        <is>
          <t>RJ0740810</t>
        </is>
      </c>
      <c r="D970" t="inlineStr">
        <is>
          <t>GAS</t>
        </is>
      </c>
      <c r="E970" t="inlineStr">
        <is>
          <t>Rua Doutor Feliciano Sodré, 78 - Sala 1611 e 1612</t>
        </is>
      </c>
      <c r="F970" t="inlineStr">
        <is>
          <t>Centro</t>
        </is>
      </c>
      <c r="G970" t="inlineStr">
        <is>
          <t>São Gonçalo</t>
        </is>
      </c>
      <c r="H970" t="inlineStr">
        <is>
          <t>RJ</t>
        </is>
      </c>
      <c r="I970" t="n">
        <v>5153</v>
      </c>
      <c r="J970" t="inlineStr">
        <is>
          <t>CAT 4</t>
        </is>
      </c>
      <c r="K970" t="inlineStr">
        <is>
          <t>Sim</t>
        </is>
      </c>
    </row>
    <row r="971">
      <c r="A971" s="1">
        <f>HYPERLINK("https://eurofarma-latam-crm.veevavault.com/#object/account__v/V4TZ00001912ZH6", "Veronica Rodrigues")</f>
        <v/>
      </c>
      <c r="B971" s="1">
        <f>HYPERLINK("https://eurofarma-latam-crm.veevavault.com/#object/account__v/V4TZ00001912ZH6", "Veronica Veiga Rodrigues")</f>
        <v/>
      </c>
      <c r="C971" t="inlineStr">
        <is>
          <t>RJ0469614</t>
        </is>
      </c>
      <c r="D971" t="inlineStr">
        <is>
          <t>PED</t>
        </is>
      </c>
      <c r="E971" t="inlineStr">
        <is>
          <t>Parque Vital Brasil, S/N</t>
        </is>
      </c>
      <c r="F971" t="inlineStr">
        <is>
          <t>Vital Brazil</t>
        </is>
      </c>
      <c r="G971" t="inlineStr">
        <is>
          <t>Niterói</t>
        </is>
      </c>
      <c r="H971" t="inlineStr">
        <is>
          <t>RJ</t>
        </is>
      </c>
      <c r="I971" t="n">
        <v>5153</v>
      </c>
      <c r="J971" t="inlineStr">
        <is>
          <t>CAT 4</t>
        </is>
      </c>
      <c r="K971" t="inlineStr">
        <is>
          <t>Sim</t>
        </is>
      </c>
    </row>
    <row r="972">
      <c r="A972" s="1">
        <f>HYPERLINK("https://eurofarma-latam-crm.veevavault.com/#object/account__v/V4TZ000018NZ4D1", "Vinicius Couri")</f>
        <v/>
      </c>
      <c r="B972" s="1">
        <f>HYPERLINK("https://eurofarma-latam-crm.veevavault.com/#object/account__v/V4TZ000018NZ4D1", "Vinicius Silva Couri")</f>
        <v/>
      </c>
      <c r="C972" t="inlineStr">
        <is>
          <t>RJ0599892</t>
        </is>
      </c>
      <c r="D972" t="inlineStr">
        <is>
          <t>ORT</t>
        </is>
      </c>
      <c r="E972" t="inlineStr">
        <is>
          <t>Rua Marquês de Paraná, 191</t>
        </is>
      </c>
      <c r="F972" t="inlineStr">
        <is>
          <t>Centro</t>
        </is>
      </c>
      <c r="G972" t="inlineStr">
        <is>
          <t>Niterói</t>
        </is>
      </c>
      <c r="H972" t="inlineStr">
        <is>
          <t>RJ</t>
        </is>
      </c>
      <c r="I972" t="n">
        <v>5153</v>
      </c>
      <c r="J972" t="inlineStr">
        <is>
          <t>CAT 5</t>
        </is>
      </c>
      <c r="K972" t="inlineStr">
        <is>
          <t>Sim</t>
        </is>
      </c>
    </row>
    <row r="973">
      <c r="A973" s="1">
        <f>HYPERLINK("https://eurofarma-latam-crm.veevavault.com/#object/account__v/V4TZ000018NYTCT", "Vinicius Soares")</f>
        <v/>
      </c>
      <c r="B973" s="1">
        <f>HYPERLINK("https://eurofarma-latam-crm.veevavault.com/#object/account__v/V4TZ000018NYTCT", "Vinicius Gambazza Gomes Soares")</f>
        <v/>
      </c>
      <c r="C973" t="inlineStr">
        <is>
          <t>RJ0888397</t>
        </is>
      </c>
      <c r="D973" t="inlineStr">
        <is>
          <t>ORT</t>
        </is>
      </c>
      <c r="E973" t="inlineStr">
        <is>
          <t>Rua Mariz e Barros, 283</t>
        </is>
      </c>
      <c r="F973" t="inlineStr">
        <is>
          <t>Icaraí</t>
        </is>
      </c>
      <c r="G973" t="inlineStr">
        <is>
          <t>Niterói</t>
        </is>
      </c>
      <c r="H973" t="inlineStr">
        <is>
          <t>RJ</t>
        </is>
      </c>
      <c r="I973" t="n">
        <v>5153</v>
      </c>
      <c r="J973" t="inlineStr">
        <is>
          <t>CAT 4</t>
        </is>
      </c>
      <c r="K973" t="inlineStr">
        <is>
          <t>Sim</t>
        </is>
      </c>
    </row>
    <row r="974">
      <c r="A974" s="1">
        <f>HYPERLINK("https://eurofarma-latam-crm.veevavault.com/#object/account__v/V4TZ00001914JUE", "Vivian Pessoa")</f>
        <v/>
      </c>
      <c r="B974" s="1">
        <f>HYPERLINK("https://eurofarma-latam-crm.veevavault.com/#object/account__v/V4TZ00001914JUE", "Vivian Nunes Kern Pessoa")</f>
        <v/>
      </c>
      <c r="C974" t="inlineStr">
        <is>
          <t>RJ0797871</t>
        </is>
      </c>
      <c r="D974" t="inlineStr">
        <is>
          <t>CLG</t>
        </is>
      </c>
      <c r="E974" t="inlineStr">
        <is>
          <t>Rua Marquês de Paraná, 303</t>
        </is>
      </c>
      <c r="F974" t="inlineStr">
        <is>
          <t>Centro</t>
        </is>
      </c>
      <c r="G974" t="inlineStr">
        <is>
          <t>Niterói</t>
        </is>
      </c>
      <c r="H974" t="inlineStr">
        <is>
          <t>RJ</t>
        </is>
      </c>
      <c r="I974" t="n">
        <v>5153</v>
      </c>
      <c r="J974" t="inlineStr">
        <is>
          <t>CAT 4</t>
        </is>
      </c>
      <c r="K974" t="inlineStr">
        <is>
          <t>Sim</t>
        </is>
      </c>
    </row>
    <row r="975">
      <c r="A975" s="1">
        <f>HYPERLINK("https://eurofarma-latam-crm.veevavault.com/#object/account__v/V4TZ000018NXTXF", "Wander Souza Junior")</f>
        <v/>
      </c>
      <c r="B975" s="1">
        <f>HYPERLINK("https://eurofarma-latam-crm.veevavault.com/#object/account__v/V4TZ000018NXTXF", "Wander Trindade Souza Junior")</f>
        <v/>
      </c>
      <c r="C975" t="inlineStr">
        <is>
          <t>RJ0930725</t>
        </is>
      </c>
      <c r="D975" t="inlineStr">
        <is>
          <t>PSQ</t>
        </is>
      </c>
      <c r="E975" t="inlineStr">
        <is>
          <t>Rua Teixeira de Freitas, 30</t>
        </is>
      </c>
      <c r="F975" t="inlineStr">
        <is>
          <t>Fonseca</t>
        </is>
      </c>
      <c r="G975" t="inlineStr">
        <is>
          <t>Niterói</t>
        </is>
      </c>
      <c r="H975" t="inlineStr">
        <is>
          <t>RJ</t>
        </is>
      </c>
      <c r="I975" t="n">
        <v>5153</v>
      </c>
      <c r="J975" t="inlineStr">
        <is>
          <t>CAT 1</t>
        </is>
      </c>
      <c r="K975" t="inlineStr">
        <is>
          <t>Sim</t>
        </is>
      </c>
    </row>
    <row r="976">
      <c r="A976" s="1">
        <f>HYPERLINK("https://eurofarma-latam-crm.veevavault.com/#object/account__v/V4TZ0000191425E", "Willian Alberto Ribeiro")</f>
        <v/>
      </c>
      <c r="B976" s="1">
        <f>HYPERLINK("https://eurofarma-latam-crm.veevavault.com/#object/account__v/V4TZ0000191425E", "Willian Alberto do Amaral Ribeiro")</f>
        <v/>
      </c>
      <c r="C976" t="inlineStr">
        <is>
          <t>RJ0304850</t>
        </is>
      </c>
      <c r="D976" t="inlineStr">
        <is>
          <t>CLG</t>
        </is>
      </c>
      <c r="E976" t="inlineStr">
        <is>
          <t>Rua Otávio Carneiro, 100 - Sala 605</t>
        </is>
      </c>
      <c r="F976" t="inlineStr">
        <is>
          <t>Icaraí</t>
        </is>
      </c>
      <c r="G976" t="inlineStr">
        <is>
          <t>Niterói</t>
        </is>
      </c>
      <c r="H976" t="inlineStr">
        <is>
          <t>RJ</t>
        </is>
      </c>
      <c r="I976" t="n">
        <v>5153</v>
      </c>
      <c r="J976" t="inlineStr">
        <is>
          <t>CAT 1</t>
        </is>
      </c>
      <c r="K976" t="inlineStr">
        <is>
          <t>Sim</t>
        </is>
      </c>
    </row>
    <row r="977">
      <c r="A977" s="1">
        <f>HYPERLINK("https://eurofarma-latam-crm.veevavault.com/#object/account__v/V4TZ000018NYVO0", "Wolney Figueiredo")</f>
        <v/>
      </c>
      <c r="B977" s="1">
        <f>HYPERLINK("https://eurofarma-latam-crm.veevavault.com/#object/account__v/V4TZ000018NYVO0", "Wolney de Castro Figueiredo")</f>
        <v/>
      </c>
      <c r="C977" t="inlineStr">
        <is>
          <t>RJ0144160</t>
        </is>
      </c>
      <c r="D977" t="inlineStr">
        <is>
          <t>CLG / END</t>
        </is>
      </c>
      <c r="E977" t="inlineStr">
        <is>
          <t>Rua Marquês de Paraná, 303</t>
        </is>
      </c>
      <c r="F977" t="inlineStr">
        <is>
          <t>Centro</t>
        </is>
      </c>
      <c r="G977" t="inlineStr">
        <is>
          <t>Niterói</t>
        </is>
      </c>
      <c r="H977" t="inlineStr">
        <is>
          <t>RJ</t>
        </is>
      </c>
      <c r="I977" t="n">
        <v>5153</v>
      </c>
      <c r="J977" t="inlineStr">
        <is>
          <t>CAT 5</t>
        </is>
      </c>
      <c r="K977" t="inlineStr">
        <is>
          <t>Sim</t>
        </is>
      </c>
    </row>
    <row r="978">
      <c r="A978" s="1">
        <f>HYPERLINK("https://eurofarma-latam-crm.veevavault.com/#object/account__v/V4TZ000018NYCJA", "Yara Soares")</f>
        <v/>
      </c>
      <c r="B978" s="1">
        <f>HYPERLINK("https://eurofarma-latam-crm.veevavault.com/#object/account__v/V4TZ000018NYCJA", "Yara Coimbra Moreira de Macedo Soares")</f>
        <v/>
      </c>
      <c r="C978" t="inlineStr">
        <is>
          <t>RJ0550733</t>
        </is>
      </c>
      <c r="D978" t="inlineStr">
        <is>
          <t>PED</t>
        </is>
      </c>
      <c r="E978" t="inlineStr">
        <is>
          <t>Rua Ator Paulo Gustavo, 229 - Sala 1818</t>
        </is>
      </c>
      <c r="F978" t="inlineStr">
        <is>
          <t>Icaraí</t>
        </is>
      </c>
      <c r="G978" t="inlineStr">
        <is>
          <t>Niterói</t>
        </is>
      </c>
      <c r="H978" t="inlineStr">
        <is>
          <t>RJ</t>
        </is>
      </c>
      <c r="I978" t="n">
        <v>5153</v>
      </c>
      <c r="J978" t="inlineStr">
        <is>
          <t>CAT 4</t>
        </is>
      </c>
      <c r="K978" t="inlineStr">
        <is>
          <t>Sim</t>
        </is>
      </c>
    </row>
    <row r="979">
      <c r="A979" s="1">
        <f>HYPERLINK("https://eurofarma-latam-crm.veevavault.com/#object/account__v/V4TZ025E891GF10", "Yorane Acevedo")</f>
        <v/>
      </c>
      <c r="B979" s="1">
        <f>HYPERLINK("https://eurofarma-latam-crm.veevavault.com/#object/account__v/V4TZ025E891GF10", "Yorane Del Valle Gonzalez Acevedo")</f>
        <v/>
      </c>
      <c r="C979" t="inlineStr">
        <is>
          <t>RJ1340000</t>
        </is>
      </c>
      <c r="D979" t="inlineStr">
        <is>
          <t>PED</t>
        </is>
      </c>
      <c r="E979" t="inlineStr">
        <is>
          <t>Rua Mem de Sá, 186</t>
        </is>
      </c>
      <c r="F979" t="inlineStr">
        <is>
          <t>Icaraí</t>
        </is>
      </c>
      <c r="G979" t="inlineStr">
        <is>
          <t>Niterói</t>
        </is>
      </c>
      <c r="H979" t="inlineStr">
        <is>
          <t>RJ</t>
        </is>
      </c>
      <c r="I979" t="n">
        <v>5153</v>
      </c>
      <c r="J979" t="inlineStr">
        <is>
          <t>CAT 3</t>
        </is>
      </c>
      <c r="K979" t="inlineStr">
        <is>
          <t>Sim</t>
        </is>
      </c>
    </row>
    <row r="980">
      <c r="A980" s="1">
        <f>HYPERLINK("https://eurofarma-latam-crm.veevavault.com/#object/account__v/V4TZ000019152VY", "Adriana Magalhães")</f>
        <v/>
      </c>
      <c r="B980" s="1">
        <f>HYPERLINK("https://eurofarma-latam-crm.veevavault.com/#object/account__v/V4TZ000019152VY", "Adriana Morais Soutinho da Cruz Magalhães")</f>
        <v/>
      </c>
      <c r="C980" t="inlineStr">
        <is>
          <t>RJ0667617</t>
        </is>
      </c>
      <c r="D980" t="inlineStr">
        <is>
          <t>PED</t>
        </is>
      </c>
      <c r="E980" t="inlineStr">
        <is>
          <t>Estrada Francisco da Cruz Nunes, 6501 - Sala 368</t>
        </is>
      </c>
      <c r="F980" t="inlineStr">
        <is>
          <t>Itaipu</t>
        </is>
      </c>
      <c r="G980" t="inlineStr">
        <is>
          <t>Niterói</t>
        </is>
      </c>
      <c r="H980" t="inlineStr">
        <is>
          <t>RJ</t>
        </is>
      </c>
      <c r="I980" t="n">
        <v>5613</v>
      </c>
      <c r="J980" t="inlineStr">
        <is>
          <t>CAT 5</t>
        </is>
      </c>
      <c r="K980" t="inlineStr">
        <is>
          <t>Sim</t>
        </is>
      </c>
    </row>
    <row r="981">
      <c r="A981" s="1">
        <f>HYPERLINK("https://eurofarma-latam-crm.veevavault.com/#object/account__v/V4TZ000018NYP0U", "Adriane Cavalcante")</f>
        <v/>
      </c>
      <c r="B981" s="1">
        <f>HYPERLINK("https://eurofarma-latam-crm.veevavault.com/#object/account__v/V4TZ000018NYP0U", "Adriane Magalhães Alves Cavalcante")</f>
        <v/>
      </c>
      <c r="C981" t="inlineStr">
        <is>
          <t>BA0028080,RJ0622206</t>
        </is>
      </c>
      <c r="D981" t="inlineStr">
        <is>
          <t>PED</t>
        </is>
      </c>
      <c r="E981" t="inlineStr">
        <is>
          <t>Estrada do Conde, 1111</t>
        </is>
      </c>
      <c r="F981" t="inlineStr">
        <is>
          <t>Pauline</t>
        </is>
      </c>
      <c r="G981" t="inlineStr">
        <is>
          <t>Belford Roxo</t>
        </is>
      </c>
      <c r="H981" t="inlineStr">
        <is>
          <t>RJ</t>
        </is>
      </c>
      <c r="I981" t="n">
        <v>5613</v>
      </c>
      <c r="J981" t="inlineStr">
        <is>
          <t>CAT 5</t>
        </is>
      </c>
      <c r="K981" t="inlineStr">
        <is>
          <t>Sim</t>
        </is>
      </c>
    </row>
    <row r="982">
      <c r="A982" s="1">
        <f>HYPERLINK("https://eurofarma-latam-crm.veevavault.com/#object/account__v/V4TZ00001914GQT", "Adriane Neves")</f>
        <v/>
      </c>
      <c r="B982" s="1">
        <f>HYPERLINK("https://eurofarma-latam-crm.veevavault.com/#object/account__v/V4TZ00001914GQT", "Adriane Ribeiro Rocha Neves")</f>
        <v/>
      </c>
      <c r="C982" t="inlineStr">
        <is>
          <t>RJ0620580</t>
        </is>
      </c>
      <c r="D982" t="inlineStr">
        <is>
          <t>ORL</t>
        </is>
      </c>
      <c r="E982" t="inlineStr">
        <is>
          <t>Rua Recife, 325 - Sala 408</t>
        </is>
      </c>
      <c r="F982" t="inlineStr">
        <is>
          <t>Ponta D'Areia</t>
        </is>
      </c>
      <c r="G982" t="inlineStr">
        <is>
          <t>Niterói</t>
        </is>
      </c>
      <c r="H982" t="inlineStr">
        <is>
          <t>RJ</t>
        </is>
      </c>
      <c r="I982" t="n">
        <v>5613</v>
      </c>
      <c r="J982" t="inlineStr">
        <is>
          <t>CAT 4</t>
        </is>
      </c>
      <c r="K982" t="inlineStr">
        <is>
          <t>Sim</t>
        </is>
      </c>
    </row>
    <row r="983">
      <c r="A983" s="1">
        <f>HYPERLINK("https://eurofarma-latam-crm.veevavault.com/#object/account__v/V4TZ000018NXVL8", "Afonso Vieira Junior")</f>
        <v/>
      </c>
      <c r="B983" s="1">
        <f>HYPERLINK("https://eurofarma-latam-crm.veevavault.com/#object/account__v/V4TZ000018NXVL8", "Afonso Alves Vieira Junior")</f>
        <v/>
      </c>
      <c r="C983" t="inlineStr">
        <is>
          <t>RJ0556173</t>
        </is>
      </c>
      <c r="D983" t="inlineStr">
        <is>
          <t>PSQ</t>
        </is>
      </c>
      <c r="E983" t="inlineStr">
        <is>
          <t>Parque Vital Brasil, S/N</t>
        </is>
      </c>
      <c r="F983" t="inlineStr">
        <is>
          <t>Vital Brazil</t>
        </is>
      </c>
      <c r="G983" t="inlineStr">
        <is>
          <t>Niterói</t>
        </is>
      </c>
      <c r="H983" t="inlineStr">
        <is>
          <t>RJ</t>
        </is>
      </c>
      <c r="I983" t="n">
        <v>5613</v>
      </c>
      <c r="J983" t="inlineStr">
        <is>
          <t>CAT 2</t>
        </is>
      </c>
      <c r="K983" t="inlineStr">
        <is>
          <t>Sim</t>
        </is>
      </c>
    </row>
    <row r="984">
      <c r="A984" s="1">
        <f>HYPERLINK("https://eurofarma-latam-crm.veevavault.com/#object/account__v/V4TZ000018NYVAV", "Alessandra de Andrade")</f>
        <v/>
      </c>
      <c r="B984" s="1">
        <f>HYPERLINK("https://eurofarma-latam-crm.veevavault.com/#object/account__v/V4TZ000018NYVAV", "Alessandra Aparecida Souza de Andrade")</f>
        <v/>
      </c>
      <c r="C984" t="inlineStr">
        <is>
          <t>RJ1063707</t>
        </is>
      </c>
      <c r="D984" t="inlineStr">
        <is>
          <t>PSQ</t>
        </is>
      </c>
      <c r="E984" t="inlineStr">
        <is>
          <t>Rua Reverendo Armando Ferreira, S/N</t>
        </is>
      </c>
      <c r="F984" t="inlineStr">
        <is>
          <t>Largo da Batalha</t>
        </is>
      </c>
      <c r="G984" t="inlineStr">
        <is>
          <t>Niterói</t>
        </is>
      </c>
      <c r="H984" t="inlineStr">
        <is>
          <t>RJ</t>
        </is>
      </c>
      <c r="I984" t="n">
        <v>5613</v>
      </c>
      <c r="J984" t="inlineStr">
        <is>
          <t>CAT 3</t>
        </is>
      </c>
      <c r="K984" t="inlineStr">
        <is>
          <t>Sim</t>
        </is>
      </c>
    </row>
    <row r="985">
      <c r="A985" s="1">
        <f>HYPERLINK("https://eurofarma-latam-crm.veevavault.com/#object/account__v/V4TZ000018NXRCL", "Alexandre Silveira")</f>
        <v/>
      </c>
      <c r="B985" s="1">
        <f>HYPERLINK("https://eurofarma-latam-crm.veevavault.com/#object/account__v/V4TZ000018NXRCL", "Alexandre Silveira")</f>
        <v/>
      </c>
      <c r="C985" t="inlineStr">
        <is>
          <t>RJ0643548</t>
        </is>
      </c>
      <c r="D985" t="inlineStr">
        <is>
          <t>ORT</t>
        </is>
      </c>
      <c r="E985" t="inlineStr">
        <is>
          <t>Rua Doutor Nilo Peçanha, 442 - Parte</t>
        </is>
      </c>
      <c r="F985" t="inlineStr">
        <is>
          <t>Estrela do Norte</t>
        </is>
      </c>
      <c r="G985" t="inlineStr">
        <is>
          <t>São Gonçalo</t>
        </is>
      </c>
      <c r="H985" t="inlineStr">
        <is>
          <t>RJ</t>
        </is>
      </c>
      <c r="I985" t="n">
        <v>5613</v>
      </c>
      <c r="J985" t="inlineStr">
        <is>
          <t>CAT 5</t>
        </is>
      </c>
      <c r="K985" t="inlineStr">
        <is>
          <t>Sim</t>
        </is>
      </c>
    </row>
    <row r="986">
      <c r="A986" s="1">
        <f>HYPERLINK("https://eurofarma-latam-crm.veevavault.com/#object/account__v/V4TZ025E8CD77TT", "Alice Elizeu")</f>
        <v/>
      </c>
      <c r="B986" s="1">
        <f>HYPERLINK("https://eurofarma-latam-crm.veevavault.com/#object/account__v/V4TZ025E8CD77TT", "Alice Araujo Elizeu")</f>
        <v/>
      </c>
      <c r="C986" t="inlineStr">
        <is>
          <t>RJ1356780</t>
        </is>
      </c>
      <c r="D986" t="inlineStr">
        <is>
          <t>CLG / PA</t>
        </is>
      </c>
      <c r="E986" t="inlineStr">
        <is>
          <t>Rua Domício da Gama, 433</t>
        </is>
      </c>
      <c r="F986" t="inlineStr">
        <is>
          <t>Araçatiba</t>
        </is>
      </c>
      <c r="G986" t="inlineStr">
        <is>
          <t>Maricá</t>
        </is>
      </c>
      <c r="H986" t="inlineStr">
        <is>
          <t>RJ</t>
        </is>
      </c>
      <c r="I986" t="n">
        <v>5613</v>
      </c>
      <c r="J986" t="inlineStr">
        <is>
          <t>CAT 4</t>
        </is>
      </c>
      <c r="K986" t="inlineStr">
        <is>
          <t>N�o</t>
        </is>
      </c>
    </row>
    <row r="987">
      <c r="A987" s="1">
        <f>HYPERLINK("https://eurofarma-latam-crm.veevavault.com/#object/account__v/V4TZ00001912YMA", "Aline Cristina Peixoto")</f>
        <v/>
      </c>
      <c r="B987" s="1">
        <f>HYPERLINK("https://eurofarma-latam-crm.veevavault.com/#object/account__v/V4TZ00001912YMA", "Aline Cristina de Moraes Marques Peixoto")</f>
        <v/>
      </c>
      <c r="C987" t="inlineStr">
        <is>
          <t>RJ0650331</t>
        </is>
      </c>
      <c r="D987" t="inlineStr">
        <is>
          <t>PED</t>
        </is>
      </c>
      <c r="E987" t="inlineStr">
        <is>
          <t>Avenida Roberto Silveira, 43 - 3 Andar</t>
        </is>
      </c>
      <c r="F987" t="inlineStr">
        <is>
          <t>Centro</t>
        </is>
      </c>
      <c r="G987" t="inlineStr">
        <is>
          <t>Maricá</t>
        </is>
      </c>
      <c r="H987" t="inlineStr">
        <is>
          <t>RJ</t>
        </is>
      </c>
      <c r="I987" t="n">
        <v>5613</v>
      </c>
      <c r="J987" t="inlineStr">
        <is>
          <t>CAT 5</t>
        </is>
      </c>
      <c r="K987" t="inlineStr">
        <is>
          <t>N�o</t>
        </is>
      </c>
    </row>
    <row r="988">
      <c r="A988" s="1">
        <f>HYPERLINK("https://eurofarma-latam-crm.veevavault.com/#object/account__v/V4TZ025E8BE1G5M", "Aline da Cruz Scofano")</f>
        <v/>
      </c>
      <c r="B988" s="1">
        <f>HYPERLINK("https://eurofarma-latam-crm.veevavault.com/#object/account__v/V4TZ025E8BE1G5M", "Aline Silva da Cruz Scofano")</f>
        <v/>
      </c>
      <c r="C988" t="inlineStr">
        <is>
          <t>RJ1355023</t>
        </is>
      </c>
      <c r="D988" t="inlineStr">
        <is>
          <t>CLG / PA</t>
        </is>
      </c>
      <c r="E988" t="inlineStr">
        <is>
          <t>Rua Irineu Ferreira Pinto, S/N</t>
        </is>
      </c>
      <c r="F988" t="inlineStr">
        <is>
          <t>Ponta Grossa</t>
        </is>
      </c>
      <c r="G988" t="inlineStr">
        <is>
          <t>Maricá</t>
        </is>
      </c>
      <c r="H988" t="inlineStr">
        <is>
          <t>RJ</t>
        </is>
      </c>
      <c r="I988" t="n">
        <v>5613</v>
      </c>
      <c r="J988" t="inlineStr"/>
      <c r="K988" t="inlineStr"/>
    </row>
    <row r="989">
      <c r="A989" s="1">
        <f>HYPERLINK("https://eurofarma-latam-crm.veevavault.com/#object/account__v/V4TZ000019157KF", "Aline de Lacerda")</f>
        <v/>
      </c>
      <c r="B989" s="1">
        <f>HYPERLINK("https://eurofarma-latam-crm.veevavault.com/#object/account__v/V4TZ000019157KF", "Aline Amorim de Lacerda")</f>
        <v/>
      </c>
      <c r="C989" t="inlineStr">
        <is>
          <t>RJ0892599</t>
        </is>
      </c>
      <c r="D989" t="inlineStr">
        <is>
          <t>END</t>
        </is>
      </c>
      <c r="E989" t="inlineStr">
        <is>
          <t>Rua Doutor Luiz Palmier, 726</t>
        </is>
      </c>
      <c r="F989" t="inlineStr">
        <is>
          <t>Barreto</t>
        </is>
      </c>
      <c r="G989" t="inlineStr">
        <is>
          <t>Niterói</t>
        </is>
      </c>
      <c r="H989" t="inlineStr">
        <is>
          <t>RJ</t>
        </is>
      </c>
      <c r="I989" t="n">
        <v>5613</v>
      </c>
      <c r="J989" t="inlineStr">
        <is>
          <t>CAT 3</t>
        </is>
      </c>
      <c r="K989" t="inlineStr">
        <is>
          <t>Sim</t>
        </is>
      </c>
    </row>
    <row r="990">
      <c r="A990" s="1">
        <f>HYPERLINK("https://eurofarma-latam-crm.veevavault.com/#object/account__v/V4TZ000018NY2FJ", "Aline Perdigao")</f>
        <v/>
      </c>
      <c r="B990" s="1">
        <f>HYPERLINK("https://eurofarma-latam-crm.veevavault.com/#object/account__v/V4TZ000018NY2FJ", "Aline da Silva Perdigao")</f>
        <v/>
      </c>
      <c r="C990" t="inlineStr">
        <is>
          <t>RJ0560708</t>
        </is>
      </c>
      <c r="D990" t="inlineStr">
        <is>
          <t>CLG / SNC</t>
        </is>
      </c>
      <c r="E990" t="inlineStr">
        <is>
          <t>Rua Visconde do Uruguai, 535</t>
        </is>
      </c>
      <c r="F990" t="inlineStr">
        <is>
          <t>Centro</t>
        </is>
      </c>
      <c r="G990" t="inlineStr">
        <is>
          <t>Niterói</t>
        </is>
      </c>
      <c r="H990" t="inlineStr">
        <is>
          <t>RJ</t>
        </is>
      </c>
      <c r="I990" t="n">
        <v>5613</v>
      </c>
      <c r="J990" t="inlineStr">
        <is>
          <t>CAT 4</t>
        </is>
      </c>
      <c r="K990" t="inlineStr">
        <is>
          <t>Sim</t>
        </is>
      </c>
    </row>
    <row r="991">
      <c r="A991" s="1">
        <f>HYPERLINK("https://eurofarma-latam-crm.veevavault.com/#object/account__v/V4TZ025E8FEMSLD", "Amanda Marins")</f>
        <v/>
      </c>
      <c r="B991" s="1">
        <f>HYPERLINK("https://eurofarma-latam-crm.veevavault.com/#object/account__v/V4TZ025E8FEMSLD", "Amanda Souza Marins")</f>
        <v/>
      </c>
      <c r="C991" t="inlineStr">
        <is>
          <t>RJ1379559</t>
        </is>
      </c>
      <c r="D991" t="inlineStr">
        <is>
          <t>CLG</t>
        </is>
      </c>
      <c r="E991" t="inlineStr">
        <is>
          <t>Rua Setenta e Cinco, S/N</t>
        </is>
      </c>
      <c r="F991" t="inlineStr">
        <is>
          <t>Araçatiba</t>
        </is>
      </c>
      <c r="G991" t="inlineStr">
        <is>
          <t>Maricá</t>
        </is>
      </c>
      <c r="H991" t="inlineStr">
        <is>
          <t>RJ</t>
        </is>
      </c>
      <c r="I991" t="n">
        <v>5613</v>
      </c>
      <c r="J991" t="inlineStr"/>
      <c r="K991" t="inlineStr"/>
    </row>
    <row r="992">
      <c r="A992" s="1">
        <f>HYPERLINK("https://eurofarma-latam-crm.veevavault.com/#object/account__v/V4TZ04ASGLRMI94", "Amanda Neves")</f>
        <v/>
      </c>
      <c r="B992" s="1">
        <f>HYPERLINK("https://eurofarma-latam-crm.veevavault.com/#object/account__v/V4TZ04ASGLRMI94", "Amanda Maira De Melo Neves")</f>
        <v/>
      </c>
      <c r="C992" t="inlineStr">
        <is>
          <t>RJ1356909</t>
        </is>
      </c>
      <c r="D992" t="inlineStr">
        <is>
          <t>CLG / END</t>
        </is>
      </c>
      <c r="E992" t="inlineStr">
        <is>
          <t>Avenida Padre Antônio da Costa Carvalho, S/N</t>
        </is>
      </c>
      <c r="F992" t="inlineStr">
        <is>
          <t>Ribeira</t>
        </is>
      </c>
      <c r="G992" t="inlineStr">
        <is>
          <t>Cachoeiras de Macacu</t>
        </is>
      </c>
      <c r="H992" t="inlineStr">
        <is>
          <t>RJ</t>
        </is>
      </c>
      <c r="I992" t="n">
        <v>5613</v>
      </c>
      <c r="J992" t="inlineStr">
        <is>
          <t>CAT 5</t>
        </is>
      </c>
      <c r="K992" t="inlineStr">
        <is>
          <t>Sim</t>
        </is>
      </c>
    </row>
    <row r="993">
      <c r="A993" s="1">
        <f>HYPERLINK("https://eurofarma-latam-crm.veevavault.com/#object/account__v/V4T00000000W095", "Amanda Souza")</f>
        <v/>
      </c>
      <c r="B993" s="1">
        <f>HYPERLINK("https://eurofarma-latam-crm.veevavault.com/#object/account__v/V4T00000000W095", "Amanda Cruz Thompson De Souza")</f>
        <v/>
      </c>
      <c r="C993" t="inlineStr">
        <is>
          <t>RJ1365757</t>
        </is>
      </c>
      <c r="D993" t="inlineStr">
        <is>
          <t>CLG / PA</t>
        </is>
      </c>
      <c r="E993" t="inlineStr">
        <is>
          <t>Estrada Francisco da Cruz Nunes, S/N</t>
        </is>
      </c>
      <c r="F993" t="inlineStr">
        <is>
          <t>Piratininga</t>
        </is>
      </c>
      <c r="G993" t="inlineStr">
        <is>
          <t>Niterói</t>
        </is>
      </c>
      <c r="H993" t="inlineStr">
        <is>
          <t>RJ</t>
        </is>
      </c>
      <c r="I993" t="n">
        <v>5613</v>
      </c>
      <c r="J993" t="inlineStr"/>
      <c r="K993" t="inlineStr"/>
    </row>
    <row r="994">
      <c r="A994" s="1">
        <f>HYPERLINK("https://eurofarma-latam-crm.veevavault.com/#object/account__v/V4TZ025E89C7R2M", "Ana Alencar")</f>
        <v/>
      </c>
      <c r="B994" s="1">
        <f>HYPERLINK("https://eurofarma-latam-crm.veevavault.com/#object/account__v/V4TZ025E89C7R2M", "Ana Luiza Kozlowsky de Alencar")</f>
        <v/>
      </c>
      <c r="C994" t="inlineStr">
        <is>
          <t>RJ1337670</t>
        </is>
      </c>
      <c r="D994" t="inlineStr">
        <is>
          <t>CLG</t>
        </is>
      </c>
      <c r="E994" t="inlineStr">
        <is>
          <t>Rua Ataíde Parreiras, 266</t>
        </is>
      </c>
      <c r="F994" t="inlineStr">
        <is>
          <t>Fátima</t>
        </is>
      </c>
      <c r="G994" t="inlineStr">
        <is>
          <t>Niterói</t>
        </is>
      </c>
      <c r="H994" t="inlineStr">
        <is>
          <t>RJ</t>
        </is>
      </c>
      <c r="I994" t="n">
        <v>5613</v>
      </c>
      <c r="J994" t="inlineStr">
        <is>
          <t>CAT 5</t>
        </is>
      </c>
      <c r="K994" t="inlineStr">
        <is>
          <t>N�o</t>
        </is>
      </c>
    </row>
    <row r="995">
      <c r="A995" s="1">
        <f>HYPERLINK("https://eurofarma-latam-crm.veevavault.com/#object/account__v/V4TZ000018NXWQD", "Ana Christina de Carvalho Escrivaes")</f>
        <v/>
      </c>
      <c r="B995" s="1">
        <f>HYPERLINK("https://eurofarma-latam-crm.veevavault.com/#object/account__v/V4TZ000018NXWQD", "Ana Christina Nunes de Carvalho Escrivaes")</f>
        <v/>
      </c>
      <c r="C995" t="inlineStr">
        <is>
          <t>RJ0617216</t>
        </is>
      </c>
      <c r="D995" t="inlineStr">
        <is>
          <t>PED</t>
        </is>
      </c>
      <c r="E995" t="inlineStr">
        <is>
          <t>Avenida Roberto Silveira, 43 - 3 Andar</t>
        </is>
      </c>
      <c r="F995" t="inlineStr">
        <is>
          <t>Centro</t>
        </is>
      </c>
      <c r="G995" t="inlineStr">
        <is>
          <t>Maricá</t>
        </is>
      </c>
      <c r="H995" t="inlineStr">
        <is>
          <t>RJ</t>
        </is>
      </c>
      <c r="I995" t="n">
        <v>5613</v>
      </c>
      <c r="J995" t="inlineStr">
        <is>
          <t>CAT 5</t>
        </is>
      </c>
      <c r="K995" t="inlineStr">
        <is>
          <t>N�o</t>
        </is>
      </c>
    </row>
    <row r="996">
      <c r="A996" s="1">
        <f>HYPERLINK("https://eurofarma-latam-crm.veevavault.com/#object/account__v/V4TZ000018NZ96I", "Ana Cristina Lessa")</f>
        <v/>
      </c>
      <c r="B996" s="1">
        <f>HYPERLINK("https://eurofarma-latam-crm.veevavault.com/#object/account__v/V4TZ000018NZ96I", "Ana Cristina Machado Lessa")</f>
        <v/>
      </c>
      <c r="C996" t="inlineStr">
        <is>
          <t>RJ0650374</t>
        </is>
      </c>
      <c r="D996" t="inlineStr">
        <is>
          <t>GAS</t>
        </is>
      </c>
      <c r="E996" t="inlineStr">
        <is>
          <t>Rua Doutor Milton de Souza Pacheco, 6</t>
        </is>
      </c>
      <c r="F996" t="inlineStr">
        <is>
          <t>Centro</t>
        </is>
      </c>
      <c r="G996" t="inlineStr">
        <is>
          <t>Maricá</t>
        </is>
      </c>
      <c r="H996" t="inlineStr">
        <is>
          <t>RJ</t>
        </is>
      </c>
      <c r="I996" t="n">
        <v>5613</v>
      </c>
      <c r="J996" t="inlineStr">
        <is>
          <t>CAT 3</t>
        </is>
      </c>
      <c r="K996" t="inlineStr">
        <is>
          <t>Sim</t>
        </is>
      </c>
    </row>
    <row r="997">
      <c r="A997" s="1">
        <f>HYPERLINK("https://eurofarma-latam-crm.veevavault.com/#object/account__v/V4TZ000018NZ2SE", "Ana Luiza Valente")</f>
        <v/>
      </c>
      <c r="B997" s="1">
        <f>HYPERLINK("https://eurofarma-latam-crm.veevavault.com/#object/account__v/V4TZ000018NZ2SE", "Ana Luiza de Mattos Filgueiras Valente")</f>
        <v/>
      </c>
      <c r="C997" t="inlineStr">
        <is>
          <t>RJ0820547</t>
        </is>
      </c>
      <c r="D997" t="inlineStr">
        <is>
          <t>ORL</t>
        </is>
      </c>
      <c r="E997" t="inlineStr">
        <is>
          <t>Avenida Ernani do Amaral Peixoto, 282 - Loja Loja</t>
        </is>
      </c>
      <c r="F997" t="inlineStr">
        <is>
          <t>Centro</t>
        </is>
      </c>
      <c r="G997" t="inlineStr">
        <is>
          <t>Niterói</t>
        </is>
      </c>
      <c r="H997" t="inlineStr">
        <is>
          <t>RJ</t>
        </is>
      </c>
      <c r="I997" t="n">
        <v>5613</v>
      </c>
      <c r="J997" t="inlineStr">
        <is>
          <t>CAT 4</t>
        </is>
      </c>
      <c r="K997" t="inlineStr">
        <is>
          <t>N�o</t>
        </is>
      </c>
    </row>
    <row r="998">
      <c r="A998" s="1">
        <f>HYPERLINK("https://eurofarma-latam-crm.veevavault.com/#object/account__v/V4TZ000019132UH", "Ana Paula Braga")</f>
        <v/>
      </c>
      <c r="B998" s="1">
        <f>HYPERLINK("https://eurofarma-latam-crm.veevavault.com/#object/account__v/V4TZ000019132UH", "Ana Paula Ferreira Braga")</f>
        <v/>
      </c>
      <c r="C998" t="inlineStr">
        <is>
          <t>RJ0731340</t>
        </is>
      </c>
      <c r="D998" t="inlineStr">
        <is>
          <t>END</t>
        </is>
      </c>
      <c r="E998" t="inlineStr">
        <is>
          <t>Rua Lopes Trovão, 318 - 1203</t>
        </is>
      </c>
      <c r="F998" t="inlineStr">
        <is>
          <t>Icaraí</t>
        </is>
      </c>
      <c r="G998" t="inlineStr">
        <is>
          <t>Niterói</t>
        </is>
      </c>
      <c r="H998" t="inlineStr">
        <is>
          <t>RJ</t>
        </is>
      </c>
      <c r="I998" t="n">
        <v>5613</v>
      </c>
      <c r="J998" t="inlineStr">
        <is>
          <t>CAT 3</t>
        </is>
      </c>
      <c r="K998" t="inlineStr">
        <is>
          <t>Sim</t>
        </is>
      </c>
    </row>
    <row r="999">
      <c r="A999" s="1">
        <f>HYPERLINK("https://eurofarma-latam-crm.veevavault.com/#object/account__v/V4TZ000018NXZMI", "Ana Paula Franca")</f>
        <v/>
      </c>
      <c r="B999" s="1">
        <f>HYPERLINK("https://eurofarma-latam-crm.veevavault.com/#object/account__v/V4TZ000018NXZMI", "Ana Paula Fragoso Franca")</f>
        <v/>
      </c>
      <c r="C999" t="inlineStr">
        <is>
          <t>RJ0495860</t>
        </is>
      </c>
      <c r="D999" t="inlineStr">
        <is>
          <t>END</t>
        </is>
      </c>
      <c r="E999" t="inlineStr">
        <is>
          <t>Rua Alberto Torres, 1631 - Loja 1</t>
        </is>
      </c>
      <c r="F999" t="inlineStr">
        <is>
          <t>Neves (Neves)</t>
        </is>
      </c>
      <c r="G999" t="inlineStr">
        <is>
          <t>São Gonçalo</t>
        </is>
      </c>
      <c r="H999" t="inlineStr">
        <is>
          <t>RJ</t>
        </is>
      </c>
      <c r="I999" t="n">
        <v>5613</v>
      </c>
      <c r="J999" t="inlineStr">
        <is>
          <t>CAT 3</t>
        </is>
      </c>
      <c r="K999" t="inlineStr">
        <is>
          <t>Sim</t>
        </is>
      </c>
    </row>
    <row r="1000">
      <c r="A1000" s="1">
        <f>HYPERLINK("https://eurofarma-latam-crm.veevavault.com/#object/account__v/V4TZ00001915FAM", "Anderson José Gomes")</f>
        <v/>
      </c>
      <c r="B1000" s="1">
        <f>HYPERLINK("https://eurofarma-latam-crm.veevavault.com/#object/account__v/V4TZ00001915FAM", "Anderson José de Souza Gomes")</f>
        <v/>
      </c>
      <c r="C1000" t="inlineStr">
        <is>
          <t>RJ0610639</t>
        </is>
      </c>
      <c r="D1000" t="inlineStr">
        <is>
          <t>URO</t>
        </is>
      </c>
      <c r="E1000" t="inlineStr">
        <is>
          <t>Avenida Doutor Eugênio Borges, S/N</t>
        </is>
      </c>
      <c r="F1000" t="inlineStr">
        <is>
          <t>Arsenal</t>
        </is>
      </c>
      <c r="G1000" t="inlineStr">
        <is>
          <t>São Gonçalo</t>
        </is>
      </c>
      <c r="H1000" t="inlineStr">
        <is>
          <t>RJ</t>
        </is>
      </c>
      <c r="I1000" t="n">
        <v>5613</v>
      </c>
      <c r="J1000" t="inlineStr">
        <is>
          <t>CAT 4</t>
        </is>
      </c>
      <c r="K1000" t="inlineStr">
        <is>
          <t>Sim</t>
        </is>
      </c>
    </row>
    <row r="1001">
      <c r="A1001" s="1">
        <f>HYPERLINK("https://eurofarma-latam-crm.veevavault.com/#object/account__v/V4TZ0000191480M", "Andre Farah")</f>
        <v/>
      </c>
      <c r="B1001" s="1">
        <f>HYPERLINK("https://eurofarma-latam-crm.veevavault.com/#object/account__v/V4TZ0000191480M", "Andre Luiz Telles Farah")</f>
        <v/>
      </c>
      <c r="C1001" t="inlineStr">
        <is>
          <t>RJ0951277</t>
        </is>
      </c>
      <c r="D1001" t="inlineStr">
        <is>
          <t>CLG / PA</t>
        </is>
      </c>
      <c r="E1001" t="inlineStr">
        <is>
          <t>Rua Ary Spíndola, S/N</t>
        </is>
      </c>
      <c r="F1001" t="inlineStr">
        <is>
          <t>Centro</t>
        </is>
      </c>
      <c r="G1001" t="inlineStr">
        <is>
          <t>Maricá</t>
        </is>
      </c>
      <c r="H1001" t="inlineStr">
        <is>
          <t>RJ</t>
        </is>
      </c>
      <c r="I1001" t="n">
        <v>5613</v>
      </c>
      <c r="J1001" t="inlineStr">
        <is>
          <t>CAT 5</t>
        </is>
      </c>
      <c r="K1001" t="inlineStr">
        <is>
          <t>Sim</t>
        </is>
      </c>
    </row>
    <row r="1002">
      <c r="A1002" s="1">
        <f>HYPERLINK("https://eurofarma-latam-crm.veevavault.com/#object/account__v/V4TZ025E8F8L4PV", "Andreia Soares")</f>
        <v/>
      </c>
      <c r="B1002" s="1">
        <f>HYPERLINK("https://eurofarma-latam-crm.veevavault.com/#object/account__v/V4TZ025E8F8L4PV", "Andreia de Carvalho Lima Soares")</f>
        <v/>
      </c>
      <c r="C1002" t="inlineStr">
        <is>
          <t>RJ1386661</t>
        </is>
      </c>
      <c r="D1002" t="inlineStr">
        <is>
          <t>PED</t>
        </is>
      </c>
      <c r="E1002" t="inlineStr">
        <is>
          <t>Rua Domício da Gama, 433</t>
        </is>
      </c>
      <c r="F1002" t="inlineStr">
        <is>
          <t>Araçatiba</t>
        </is>
      </c>
      <c r="G1002" t="inlineStr">
        <is>
          <t>Maricá</t>
        </is>
      </c>
      <c r="H1002" t="inlineStr">
        <is>
          <t>RJ</t>
        </is>
      </c>
      <c r="I1002" t="n">
        <v>5613</v>
      </c>
      <c r="J1002" t="inlineStr">
        <is>
          <t>CAT 5</t>
        </is>
      </c>
      <c r="K1002" t="inlineStr">
        <is>
          <t>N�o</t>
        </is>
      </c>
    </row>
    <row r="1003">
      <c r="A1003" s="1">
        <f>HYPERLINK("https://eurofarma-latam-crm.veevavault.com/#object/account__v/V4TZ04ASGN1K4SU", "Andria Valeria da Silva")</f>
        <v/>
      </c>
      <c r="B1003" s="1">
        <f>HYPERLINK("https://eurofarma-latam-crm.veevavault.com/#object/account__v/V4TZ04ASGN1K4SU", "Andria Valeria Vicente da Silva")</f>
        <v/>
      </c>
      <c r="C1003" t="inlineStr">
        <is>
          <t>RJ1382692</t>
        </is>
      </c>
      <c r="D1003" t="inlineStr">
        <is>
          <t>CLG / END</t>
        </is>
      </c>
      <c r="E1003" t="inlineStr">
        <is>
          <t>Rua 18, 1 - Lot Jardim Ouro Mar</t>
        </is>
      </c>
      <c r="F1003" t="inlineStr">
        <is>
          <t>São José do Imbassaí</t>
        </is>
      </c>
      <c r="G1003" t="inlineStr">
        <is>
          <t>Maricá</t>
        </is>
      </c>
      <c r="H1003" t="inlineStr">
        <is>
          <t>RJ</t>
        </is>
      </c>
      <c r="I1003" t="n">
        <v>5613</v>
      </c>
      <c r="J1003" t="inlineStr">
        <is>
          <t>CAT 5</t>
        </is>
      </c>
      <c r="K1003" t="inlineStr">
        <is>
          <t>Sim</t>
        </is>
      </c>
    </row>
    <row r="1004">
      <c r="A1004" s="1">
        <f>HYPERLINK("https://eurofarma-latam-crm.veevavault.com/#object/account__v/V4TZ00001915MWW", "Antônio Augusto Junqueira")</f>
        <v/>
      </c>
      <c r="B1004" s="1">
        <f>HYPERLINK("https://eurofarma-latam-crm.veevavault.com/#object/account__v/V4TZ00001915MWW", "Antônio Augusto Freitas Junqueira")</f>
        <v/>
      </c>
      <c r="C1004" t="inlineStr">
        <is>
          <t>RJ0604389</t>
        </is>
      </c>
      <c r="D1004" t="inlineStr">
        <is>
          <t>ORL</t>
        </is>
      </c>
      <c r="E1004" t="inlineStr">
        <is>
          <t>Rua Barão de Itapagipe, 167</t>
        </is>
      </c>
      <c r="F1004" t="inlineStr">
        <is>
          <t>Rio Comprido</t>
        </is>
      </c>
      <c r="G1004" t="inlineStr">
        <is>
          <t>Rio de Janeiro</t>
        </is>
      </c>
      <c r="H1004" t="inlineStr">
        <is>
          <t>RJ</t>
        </is>
      </c>
      <c r="I1004" t="n">
        <v>5613</v>
      </c>
      <c r="J1004" t="inlineStr">
        <is>
          <t>CAT 4</t>
        </is>
      </c>
      <c r="K1004" t="inlineStr">
        <is>
          <t>Sim</t>
        </is>
      </c>
    </row>
    <row r="1005">
      <c r="A1005" s="1">
        <f>HYPERLINK("https://eurofarma-latam-crm.veevavault.com/#object/account__v/V4TZ025E8B02IOH", "Antonio José Dantas")</f>
        <v/>
      </c>
      <c r="B1005" s="1">
        <f>HYPERLINK("https://eurofarma-latam-crm.veevavault.com/#object/account__v/V4TZ025E8B02IOH", "Antonio José Pacheco Dantas")</f>
        <v/>
      </c>
      <c r="C1005" t="inlineStr">
        <is>
          <t>RJ1357727</t>
        </is>
      </c>
      <c r="D1005" t="inlineStr">
        <is>
          <t>CLG / PA</t>
        </is>
      </c>
      <c r="E1005" t="inlineStr">
        <is>
          <t>Rua Euclides Paulo da Silva, S/N</t>
        </is>
      </c>
      <c r="F1005" t="inlineStr">
        <is>
          <t>Inoã (Inoã)</t>
        </is>
      </c>
      <c r="G1005" t="inlineStr">
        <is>
          <t>Maricá</t>
        </is>
      </c>
      <c r="H1005" t="inlineStr">
        <is>
          <t>RJ</t>
        </is>
      </c>
      <c r="I1005" t="n">
        <v>5613</v>
      </c>
      <c r="J1005" t="inlineStr"/>
      <c r="K1005" t="inlineStr"/>
    </row>
    <row r="1006">
      <c r="A1006" s="1">
        <f>HYPERLINK("https://eurofarma-latam-crm.veevavault.com/#object/account__v/V4TZ000018NY0HE", "Antonio Negrelly")</f>
        <v/>
      </c>
      <c r="B1006" s="1">
        <f>HYPERLINK("https://eurofarma-latam-crm.veevavault.com/#object/account__v/V4TZ000018NY0HE", "Antonio Guaracy Negrelly")</f>
        <v/>
      </c>
      <c r="C1006" t="inlineStr">
        <is>
          <t>RJ0252449</t>
        </is>
      </c>
      <c r="D1006" t="inlineStr">
        <is>
          <t>ORT</t>
        </is>
      </c>
      <c r="E1006" t="inlineStr">
        <is>
          <t>Rua Cinco de Julho, 263</t>
        </is>
      </c>
      <c r="F1006" t="inlineStr">
        <is>
          <t>Icaraí</t>
        </is>
      </c>
      <c r="G1006" t="inlineStr">
        <is>
          <t>Niterói</t>
        </is>
      </c>
      <c r="H1006" t="inlineStr">
        <is>
          <t>RJ</t>
        </is>
      </c>
      <c r="I1006" t="n">
        <v>5613</v>
      </c>
      <c r="J1006" t="inlineStr">
        <is>
          <t>CAT 5</t>
        </is>
      </c>
      <c r="K1006" t="inlineStr">
        <is>
          <t>N�o</t>
        </is>
      </c>
    </row>
    <row r="1007">
      <c r="A1007" s="1">
        <f>HYPERLINK("https://eurofarma-latam-crm.veevavault.com/#object/account__v/V4TZ025E89DWIKQ", "Ariane Haffner")</f>
        <v/>
      </c>
      <c r="B1007" s="1">
        <f>HYPERLINK("https://eurofarma-latam-crm.veevavault.com/#object/account__v/V4TZ025E89DWIKQ", "Ariane Nunes Haffner")</f>
        <v/>
      </c>
      <c r="C1007" t="inlineStr">
        <is>
          <t>RJ1159410</t>
        </is>
      </c>
      <c r="D1007" t="inlineStr">
        <is>
          <t>END</t>
        </is>
      </c>
      <c r="E1007" t="inlineStr">
        <is>
          <t>Rua Adolfo Bravo, 38 - Casa</t>
        </is>
      </c>
      <c r="F1007" t="inlineStr">
        <is>
          <t>Bacaxá (Bacaxá)</t>
        </is>
      </c>
      <c r="G1007" t="inlineStr">
        <is>
          <t>Saquarema</t>
        </is>
      </c>
      <c r="H1007" t="inlineStr">
        <is>
          <t>RJ</t>
        </is>
      </c>
      <c r="I1007" t="n">
        <v>5613</v>
      </c>
      <c r="J1007" t="inlineStr">
        <is>
          <t>CAT 5</t>
        </is>
      </c>
      <c r="K1007" t="inlineStr">
        <is>
          <t>Sim</t>
        </is>
      </c>
    </row>
    <row r="1008">
      <c r="A1008" s="1">
        <f>HYPERLINK("https://eurofarma-latam-crm.veevavault.com/#object/account__v/V4TZ00001915WTN", "Astrid Zamora")</f>
        <v/>
      </c>
      <c r="B1008" s="1">
        <f>HYPERLINK("https://eurofarma-latam-crm.veevavault.com/#object/account__v/V4TZ00001915WTN", "Astrid Rodrigues Navas Zamora")</f>
        <v/>
      </c>
      <c r="C1008" t="inlineStr">
        <is>
          <t>RJ0514000</t>
        </is>
      </c>
      <c r="D1008" t="inlineStr">
        <is>
          <t>CLG / PA</t>
        </is>
      </c>
      <c r="E1008" t="inlineStr">
        <is>
          <t>Estrada Do Alarico, S/N</t>
        </is>
      </c>
      <c r="F1008" t="inlineStr">
        <is>
          <t>Atalaia</t>
        </is>
      </c>
      <c r="G1008" t="inlineStr">
        <is>
          <t>Niterói</t>
        </is>
      </c>
      <c r="H1008" t="inlineStr">
        <is>
          <t>RJ</t>
        </is>
      </c>
      <c r="I1008" t="n">
        <v>5613</v>
      </c>
      <c r="J1008" t="inlineStr">
        <is>
          <t>CAT 4</t>
        </is>
      </c>
      <c r="K1008" t="inlineStr">
        <is>
          <t>Sim</t>
        </is>
      </c>
    </row>
    <row r="1009">
      <c r="A1009" s="1">
        <f>HYPERLINK("https://eurofarma-latam-crm.veevavault.com/#object/account__v/V4TZ025E890D4YX", "Bárbara da Silva")</f>
        <v/>
      </c>
      <c r="B1009" s="1">
        <f>HYPERLINK("https://eurofarma-latam-crm.veevavault.com/#object/account__v/V4TZ025E890D4YX", "Bárbara Coutinho Corrêa da Silva")</f>
        <v/>
      </c>
      <c r="C1009" t="inlineStr">
        <is>
          <t>RJ1334131</t>
        </is>
      </c>
      <c r="D1009" t="inlineStr">
        <is>
          <t>CLG / PA</t>
        </is>
      </c>
      <c r="E1009" t="inlineStr">
        <is>
          <t>Rua General Pereira da Silva, 278</t>
        </is>
      </c>
      <c r="F1009" t="inlineStr">
        <is>
          <t>Icaraí</t>
        </is>
      </c>
      <c r="G1009" t="inlineStr">
        <is>
          <t>Niterói</t>
        </is>
      </c>
      <c r="H1009" t="inlineStr">
        <is>
          <t>RJ</t>
        </is>
      </c>
      <c r="I1009" t="n">
        <v>5613</v>
      </c>
      <c r="J1009" t="inlineStr">
        <is>
          <t>CAT 4</t>
        </is>
      </c>
      <c r="K1009" t="inlineStr">
        <is>
          <t>Sim</t>
        </is>
      </c>
    </row>
    <row r="1010">
      <c r="A1010" s="1">
        <f>HYPERLINK("https://eurofarma-latam-crm.veevavault.com/#object/account__v/V4TZ00001915V50", "Beatriz Reis")</f>
        <v/>
      </c>
      <c r="B1010" s="1">
        <f>HYPERLINK("https://eurofarma-latam-crm.veevavault.com/#object/account__v/V4TZ00001915V50", "Beatriz Pimenta Reis")</f>
        <v/>
      </c>
      <c r="C1010" t="inlineStr">
        <is>
          <t>RJ1096486</t>
        </is>
      </c>
      <c r="D1010" t="inlineStr">
        <is>
          <t>PSQ</t>
        </is>
      </c>
      <c r="E1010" t="inlineStr">
        <is>
          <t>Estrada Velha de Maricá, 51</t>
        </is>
      </c>
      <c r="F1010" t="inlineStr">
        <is>
          <t>São José do Imbassaí</t>
        </is>
      </c>
      <c r="G1010" t="inlineStr">
        <is>
          <t>Maricá</t>
        </is>
      </c>
      <c r="H1010" t="inlineStr">
        <is>
          <t>RJ</t>
        </is>
      </c>
      <c r="I1010" t="n">
        <v>5613</v>
      </c>
      <c r="J1010" t="inlineStr">
        <is>
          <t>CAT 2</t>
        </is>
      </c>
      <c r="K1010" t="inlineStr">
        <is>
          <t>Sim</t>
        </is>
      </c>
    </row>
    <row r="1011">
      <c r="A1011" s="1">
        <f>HYPERLINK("https://eurofarma-latam-crm.veevavault.com/#object/account__v/V4TZ000019133E2", "Beatriz Sinay")</f>
        <v/>
      </c>
      <c r="B1011" s="1">
        <f>HYPERLINK("https://eurofarma-latam-crm.veevavault.com/#object/account__v/V4TZ000019133E2", "Beatriz Sinay")</f>
        <v/>
      </c>
      <c r="C1011" t="inlineStr">
        <is>
          <t>RJ0641928</t>
        </is>
      </c>
      <c r="D1011" t="inlineStr">
        <is>
          <t>END</t>
        </is>
      </c>
      <c r="E1011" t="inlineStr">
        <is>
          <t>Rua Domício da Gama, 570</t>
        </is>
      </c>
      <c r="F1011" t="inlineStr">
        <is>
          <t>Araçatiba</t>
        </is>
      </c>
      <c r="G1011" t="inlineStr">
        <is>
          <t>Maricá</t>
        </is>
      </c>
      <c r="H1011" t="inlineStr">
        <is>
          <t>RJ</t>
        </is>
      </c>
      <c r="I1011" t="n">
        <v>5613</v>
      </c>
      <c r="J1011" t="inlineStr">
        <is>
          <t>CAT 3</t>
        </is>
      </c>
      <c r="K1011" t="inlineStr">
        <is>
          <t>Sim</t>
        </is>
      </c>
    </row>
    <row r="1012">
      <c r="A1012" s="1">
        <f>HYPERLINK("https://eurofarma-latam-crm.veevavault.com/#object/account__v/V4TZ000018NYYG6", "Bernardo de Figueiredo")</f>
        <v/>
      </c>
      <c r="B1012" s="1">
        <f>HYPERLINK("https://eurofarma-latam-crm.veevavault.com/#object/account__v/V4TZ000018NYYG6", "Bernardo Pereira Lima de Figueiredo")</f>
        <v/>
      </c>
      <c r="C1012" t="inlineStr">
        <is>
          <t>RJ0903205</t>
        </is>
      </c>
      <c r="D1012" t="inlineStr">
        <is>
          <t>CLG / SNC</t>
        </is>
      </c>
      <c r="E1012" t="inlineStr">
        <is>
          <t>Rua Dona Mariana, 217 - Salas 219/223</t>
        </is>
      </c>
      <c r="F1012" t="inlineStr">
        <is>
          <t>Botafogo</t>
        </is>
      </c>
      <c r="G1012" t="inlineStr">
        <is>
          <t>Rio de Janeiro</t>
        </is>
      </c>
      <c r="H1012" t="inlineStr">
        <is>
          <t>RJ</t>
        </is>
      </c>
      <c r="I1012" t="n">
        <v>5613</v>
      </c>
      <c r="J1012" t="inlineStr">
        <is>
          <t>CAT 4</t>
        </is>
      </c>
      <c r="K1012" t="inlineStr">
        <is>
          <t>Sim</t>
        </is>
      </c>
    </row>
    <row r="1013">
      <c r="A1013" s="1">
        <f>HYPERLINK("https://eurofarma-latam-crm.veevavault.com/#object/account__v/V4TZ025E886RQ40", "Bianca Marins")</f>
        <v/>
      </c>
      <c r="B1013" s="1">
        <f>HYPERLINK("https://eurofarma-latam-crm.veevavault.com/#object/account__v/V4TZ025E886RQ40", "Bianca das Chagas Marins")</f>
        <v/>
      </c>
      <c r="C1013" t="inlineStr">
        <is>
          <t>RJ1323776</t>
        </is>
      </c>
      <c r="D1013" t="inlineStr">
        <is>
          <t>CLG / PA</t>
        </is>
      </c>
      <c r="E1013" t="inlineStr">
        <is>
          <t>Rua Doutor Nilo Peçanha, 442 - Parte</t>
        </is>
      </c>
      <c r="F1013" t="inlineStr">
        <is>
          <t>Estrela do Norte</t>
        </is>
      </c>
      <c r="G1013" t="inlineStr">
        <is>
          <t>São Gonçalo</t>
        </is>
      </c>
      <c r="H1013" t="inlineStr">
        <is>
          <t>RJ</t>
        </is>
      </c>
      <c r="I1013" t="n">
        <v>5613</v>
      </c>
      <c r="J1013" t="inlineStr">
        <is>
          <t>CAT 4</t>
        </is>
      </c>
      <c r="K1013" t="inlineStr">
        <is>
          <t>N�o</t>
        </is>
      </c>
    </row>
    <row r="1014">
      <c r="A1014" s="1">
        <f>HYPERLINK("https://eurofarma-latam-crm.veevavault.com/#object/account__v/V4TZ0000191681I", "Boris Luis Garcia")</f>
        <v/>
      </c>
      <c r="B1014" s="1">
        <f>HYPERLINK("https://eurofarma-latam-crm.veevavault.com/#object/account__v/V4TZ0000191681I", "Boris Luis Barnada Garcia")</f>
        <v/>
      </c>
      <c r="C1014" t="inlineStr">
        <is>
          <t>RJ1144197</t>
        </is>
      </c>
      <c r="D1014" t="inlineStr">
        <is>
          <t>PED</t>
        </is>
      </c>
      <c r="E1014" t="inlineStr">
        <is>
          <t>Avenida das Américas, 3434 - Blc 5 Sal 301</t>
        </is>
      </c>
      <c r="F1014" t="inlineStr">
        <is>
          <t>Barra da Tijuca</t>
        </is>
      </c>
      <c r="G1014" t="inlineStr">
        <is>
          <t>Rio de Janeiro</t>
        </is>
      </c>
      <c r="H1014" t="inlineStr">
        <is>
          <t>RJ</t>
        </is>
      </c>
      <c r="I1014" t="n">
        <v>5613</v>
      </c>
      <c r="J1014" t="inlineStr">
        <is>
          <t>CAT 5</t>
        </is>
      </c>
      <c r="K1014" t="inlineStr">
        <is>
          <t>N�o</t>
        </is>
      </c>
    </row>
    <row r="1015">
      <c r="A1015" s="1">
        <f>HYPERLINK("https://eurofarma-latam-crm.veevavault.com/#object/account__v/V4TZ000018NXRBZ", "Bruna Filardi")</f>
        <v/>
      </c>
      <c r="B1015" s="1">
        <f>HYPERLINK("https://eurofarma-latam-crm.veevavault.com/#object/account__v/V4TZ000018NXRBZ", "Bruna Ferro Filardi")</f>
        <v/>
      </c>
      <c r="C1015" t="inlineStr">
        <is>
          <t>RJ0930571</t>
        </is>
      </c>
      <c r="D1015" t="inlineStr">
        <is>
          <t>PED</t>
        </is>
      </c>
      <c r="E1015" t="inlineStr">
        <is>
          <t>Rua Gavião Peixoto, 70 - Sala 1601</t>
        </is>
      </c>
      <c r="F1015" t="inlineStr">
        <is>
          <t>Icaraí</t>
        </is>
      </c>
      <c r="G1015" t="inlineStr">
        <is>
          <t>Niterói</t>
        </is>
      </c>
      <c r="H1015" t="inlineStr">
        <is>
          <t>RJ</t>
        </is>
      </c>
      <c r="I1015" t="n">
        <v>5613</v>
      </c>
      <c r="J1015" t="inlineStr">
        <is>
          <t>CAT 5</t>
        </is>
      </c>
      <c r="K1015" t="inlineStr">
        <is>
          <t>Sim</t>
        </is>
      </c>
    </row>
    <row r="1016">
      <c r="A1016" s="1">
        <f>HYPERLINK("https://eurofarma-latam-crm.veevavault.com/#object/account__v/V4T00000001J592", "Bruno Evangelista")</f>
        <v/>
      </c>
      <c r="B1016" s="1">
        <f>HYPERLINK("https://eurofarma-latam-crm.veevavault.com/#object/account__v/V4T00000001J592", "Bruno José De Souza Belo Evangelista")</f>
        <v/>
      </c>
      <c r="C1016" t="inlineStr">
        <is>
          <t>RJ1420855</t>
        </is>
      </c>
      <c r="D1016" t="inlineStr">
        <is>
          <t>CLG / PA</t>
        </is>
      </c>
      <c r="E1016" t="inlineStr">
        <is>
          <t>Rua Reverendo Armando Ferreira, 30</t>
        </is>
      </c>
      <c r="F1016" t="inlineStr">
        <is>
          <t>Maceió</t>
        </is>
      </c>
      <c r="G1016" t="inlineStr">
        <is>
          <t>Niterói</t>
        </is>
      </c>
      <c r="H1016" t="inlineStr">
        <is>
          <t>RJ</t>
        </is>
      </c>
      <c r="I1016" t="n">
        <v>5613</v>
      </c>
      <c r="J1016" t="inlineStr"/>
      <c r="K1016" t="inlineStr"/>
    </row>
    <row r="1017">
      <c r="A1017" s="1">
        <f>HYPERLINK("https://eurofarma-latam-crm.veevavault.com/#object/account__v/V4TZ000018NZ7RJ", "Bruno Okamura")</f>
        <v/>
      </c>
      <c r="B1017" s="1">
        <f>HYPERLINK("https://eurofarma-latam-crm.veevavault.com/#object/account__v/V4TZ000018NZ7RJ", "Bruno Yoshihisa Silva Okamura")</f>
        <v/>
      </c>
      <c r="C1017" t="inlineStr">
        <is>
          <t>RJ0961353</t>
        </is>
      </c>
      <c r="D1017" t="inlineStr">
        <is>
          <t>END</t>
        </is>
      </c>
      <c r="E1017" t="inlineStr">
        <is>
          <t>Estrada Caetano Monteiro, 1650 - Loja 201 Shopping Futura</t>
        </is>
      </c>
      <c r="F1017" t="inlineStr">
        <is>
          <t>Maria Paula</t>
        </is>
      </c>
      <c r="G1017" t="inlineStr">
        <is>
          <t>Niterói</t>
        </is>
      </c>
      <c r="H1017" t="inlineStr">
        <is>
          <t>RJ</t>
        </is>
      </c>
      <c r="I1017" t="n">
        <v>5613</v>
      </c>
      <c r="J1017" t="inlineStr">
        <is>
          <t>CAT 2</t>
        </is>
      </c>
      <c r="K1017" t="inlineStr">
        <is>
          <t>Sim</t>
        </is>
      </c>
    </row>
    <row r="1018">
      <c r="A1018" s="1">
        <f>HYPERLINK("https://eurofarma-latam-crm.veevavault.com/#object/account__v/V4TZ025E8EKRG6A", "Camila Cruz")</f>
        <v/>
      </c>
      <c r="B1018" s="1">
        <f>HYPERLINK("https://eurofarma-latam-crm.veevavault.com/#object/account__v/V4TZ025E8EKRG6A", "Camila Gramiao de Oliveira Cruz")</f>
        <v/>
      </c>
      <c r="C1018" t="inlineStr">
        <is>
          <t>RJ1388825</t>
        </is>
      </c>
      <c r="D1018" t="inlineStr">
        <is>
          <t>CLG / END</t>
        </is>
      </c>
      <c r="E1018" t="inlineStr">
        <is>
          <t>Rua Abreu Sodré, S/N - Quadraarea Lote 0</t>
        </is>
      </c>
      <c r="F1018" t="inlineStr">
        <is>
          <t>Centro</t>
        </is>
      </c>
      <c r="G1018" t="inlineStr">
        <is>
          <t>Maricá</t>
        </is>
      </c>
      <c r="H1018" t="inlineStr">
        <is>
          <t>RJ</t>
        </is>
      </c>
      <c r="I1018" t="n">
        <v>5613</v>
      </c>
      <c r="J1018" t="inlineStr"/>
      <c r="K1018" t="inlineStr"/>
    </row>
    <row r="1019">
      <c r="A1019" s="1">
        <f>HYPERLINK("https://eurofarma-latam-crm.veevavault.com/#object/account__v/V4TZ00001913ERQ", "Camila Ferreira")</f>
        <v/>
      </c>
      <c r="B1019" s="1">
        <f>HYPERLINK("https://eurofarma-latam-crm.veevavault.com/#object/account__v/V4TZ00001913ERQ", "Camila da Costa Ferreira")</f>
        <v/>
      </c>
      <c r="C1019" t="inlineStr">
        <is>
          <t>RJ0948934</t>
        </is>
      </c>
      <c r="D1019" t="inlineStr">
        <is>
          <t>PED</t>
        </is>
      </c>
      <c r="E1019" t="inlineStr">
        <is>
          <t>Praça Estefania de Carvalho, 26</t>
        </is>
      </c>
      <c r="F1019" t="inlineStr">
        <is>
          <t>Zé Garoto</t>
        </is>
      </c>
      <c r="G1019" t="inlineStr">
        <is>
          <t>São Gonçalo</t>
        </is>
      </c>
      <c r="H1019" t="inlineStr">
        <is>
          <t>RJ</t>
        </is>
      </c>
      <c r="I1019" t="n">
        <v>5613</v>
      </c>
      <c r="J1019" t="inlineStr">
        <is>
          <t>CAT 5</t>
        </is>
      </c>
      <c r="K1019" t="inlineStr">
        <is>
          <t>Sim</t>
        </is>
      </c>
    </row>
    <row r="1020">
      <c r="A1020" s="1">
        <f>HYPERLINK("https://eurofarma-latam-crm.veevavault.com/#object/account__v/V4TZ025E8310V15", "Camilla Prado")</f>
        <v/>
      </c>
      <c r="B1020" s="1">
        <f>HYPERLINK("https://eurofarma-latam-crm.veevavault.com/#object/account__v/V4TZ025E8310V15", "Camilla Sales dos Santos Prado")</f>
        <v/>
      </c>
      <c r="C1020" t="inlineStr">
        <is>
          <t>RJ1288164</t>
        </is>
      </c>
      <c r="D1020" t="inlineStr">
        <is>
          <t>CLG / PA</t>
        </is>
      </c>
      <c r="E1020" t="inlineStr">
        <is>
          <t>Rodovia BR-493, S/N</t>
        </is>
      </c>
      <c r="F1020" t="inlineStr">
        <is>
          <t>Centro (Manilha)</t>
        </is>
      </c>
      <c r="G1020" t="inlineStr">
        <is>
          <t>Itaboraí</t>
        </is>
      </c>
      <c r="H1020" t="inlineStr">
        <is>
          <t>RJ</t>
        </is>
      </c>
      <c r="I1020" t="n">
        <v>5613</v>
      </c>
      <c r="J1020" t="inlineStr">
        <is>
          <t>CAT 5</t>
        </is>
      </c>
      <c r="K1020" t="inlineStr">
        <is>
          <t>Sim</t>
        </is>
      </c>
    </row>
    <row r="1021">
      <c r="A1021" s="1">
        <f>HYPERLINK("https://eurofarma-latam-crm.veevavault.com/#object/account__v/V4TZ00001915C4S", "Camilla Santos")</f>
        <v/>
      </c>
      <c r="B1021" s="1">
        <f>HYPERLINK("https://eurofarma-latam-crm.veevavault.com/#object/account__v/V4TZ00001915C4S", "Camilla Silverio Oliveira Santos")</f>
        <v/>
      </c>
      <c r="C1021" t="inlineStr">
        <is>
          <t>RJ1121928</t>
        </is>
      </c>
      <c r="D1021" t="inlineStr">
        <is>
          <t>PSQ</t>
        </is>
      </c>
      <c r="E1021" t="inlineStr">
        <is>
          <t>Avenida Geremário Dantas, 404 - Loja 501 502 503 504 508 e 509</t>
        </is>
      </c>
      <c r="F1021" t="inlineStr">
        <is>
          <t>Tanque</t>
        </is>
      </c>
      <c r="G1021" t="inlineStr">
        <is>
          <t>Rio de Janeiro</t>
        </is>
      </c>
      <c r="H1021" t="inlineStr">
        <is>
          <t>RJ</t>
        </is>
      </c>
      <c r="I1021" t="n">
        <v>5613</v>
      </c>
      <c r="J1021" t="inlineStr">
        <is>
          <t>CAT 4</t>
        </is>
      </c>
      <c r="K1021" t="inlineStr">
        <is>
          <t>Sim</t>
        </is>
      </c>
    </row>
    <row r="1022">
      <c r="A1022" s="1">
        <f>HYPERLINK("https://eurofarma-latam-crm.veevavault.com/#object/account__v/V4TZ00001915ZMJ", "Carlos Eduardo Reis")</f>
        <v/>
      </c>
      <c r="B1022" s="1">
        <f>HYPERLINK("https://eurofarma-latam-crm.veevavault.com/#object/account__v/V4TZ00001915ZMJ", "Carlos Eduardo Mello Reis")</f>
        <v/>
      </c>
      <c r="C1022" t="inlineStr">
        <is>
          <t>RJ0303307</t>
        </is>
      </c>
      <c r="D1022" t="inlineStr">
        <is>
          <t>PSQ</t>
        </is>
      </c>
      <c r="E1022" t="inlineStr">
        <is>
          <t>Campo Aero Clube do Estado do Rio, 325 Sala 426</t>
        </is>
      </c>
      <c r="F1022" t="inlineStr">
        <is>
          <t>Jurujuba</t>
        </is>
      </c>
      <c r="G1022" t="inlineStr">
        <is>
          <t>Niterói</t>
        </is>
      </c>
      <c r="H1022" t="inlineStr">
        <is>
          <t>RJ</t>
        </is>
      </c>
      <c r="I1022" t="n">
        <v>5613</v>
      </c>
      <c r="J1022" t="inlineStr">
        <is>
          <t>CAT 2</t>
        </is>
      </c>
      <c r="K1022" t="inlineStr">
        <is>
          <t>Sim</t>
        </is>
      </c>
    </row>
    <row r="1023">
      <c r="A1023" s="1">
        <f>HYPERLINK("https://eurofarma-latam-crm.veevavault.com/#object/account__v/V4TZ000018NXWKB", "Carlos Lomonaco Junior")</f>
        <v/>
      </c>
      <c r="B1023" s="1">
        <f>HYPERLINK("https://eurofarma-latam-crm.veevavault.com/#object/account__v/V4TZ000018NXWKB", "Carlos Alberto Ferreira Lomonaco Junior")</f>
        <v/>
      </c>
      <c r="C1023" t="inlineStr">
        <is>
          <t>RJ0949620</t>
        </is>
      </c>
      <c r="D1023" t="inlineStr">
        <is>
          <t>ORT</t>
        </is>
      </c>
      <c r="E1023" t="inlineStr">
        <is>
          <t>Rua Visconde de Niterói, 1450</t>
        </is>
      </c>
      <c r="F1023" t="inlineStr">
        <is>
          <t>Mangueira</t>
        </is>
      </c>
      <c r="G1023" t="inlineStr">
        <is>
          <t>Rio de Janeiro</t>
        </is>
      </c>
      <c r="H1023" t="inlineStr">
        <is>
          <t>RJ</t>
        </is>
      </c>
      <c r="I1023" t="n">
        <v>5613</v>
      </c>
      <c r="J1023" t="inlineStr">
        <is>
          <t>CAT 4</t>
        </is>
      </c>
      <c r="K1023" t="inlineStr">
        <is>
          <t>Sim</t>
        </is>
      </c>
    </row>
    <row r="1024">
      <c r="A1024" s="1">
        <f>HYPERLINK("https://eurofarma-latam-crm.veevavault.com/#object/account__v/V4TZ00001915USE", "Carlos Menezes")</f>
        <v/>
      </c>
      <c r="B1024" s="1">
        <f>HYPERLINK("https://eurofarma-latam-crm.veevavault.com/#object/account__v/V4TZ00001915USE", "Carlos Magno Cesar de Menezes")</f>
        <v/>
      </c>
      <c r="C1024" t="inlineStr">
        <is>
          <t>RJ0964573</t>
        </is>
      </c>
      <c r="D1024" t="inlineStr">
        <is>
          <t>PED</t>
        </is>
      </c>
      <c r="E1024" t="inlineStr">
        <is>
          <t>Rua Domício da Gama, 433</t>
        </is>
      </c>
      <c r="F1024" t="inlineStr">
        <is>
          <t>Araçatiba</t>
        </is>
      </c>
      <c r="G1024" t="inlineStr">
        <is>
          <t>Maricá</t>
        </is>
      </c>
      <c r="H1024" t="inlineStr">
        <is>
          <t>RJ</t>
        </is>
      </c>
      <c r="I1024" t="n">
        <v>5613</v>
      </c>
      <c r="J1024" t="inlineStr">
        <is>
          <t>CAT 5</t>
        </is>
      </c>
      <c r="K1024" t="inlineStr">
        <is>
          <t>N�o</t>
        </is>
      </c>
    </row>
    <row r="1025">
      <c r="A1025" s="1">
        <f>HYPERLINK("https://eurofarma-latam-crm.veevavault.com/#object/account__v/V4TZ000019153VY", "Carlos Rogerio de Carvalho")</f>
        <v/>
      </c>
      <c r="B1025" s="1">
        <f>HYPERLINK("https://eurofarma-latam-crm.veevavault.com/#object/account__v/V4TZ000019153VY", "Carlos Rogerio Monnerat de Carvalho")</f>
        <v/>
      </c>
      <c r="C1025" t="inlineStr">
        <is>
          <t>RJ0800368</t>
        </is>
      </c>
      <c r="D1025" t="inlineStr">
        <is>
          <t>PSQ</t>
        </is>
      </c>
      <c r="E1025" t="inlineStr">
        <is>
          <t>Rua Antônio Vieira Sobrinho, 32</t>
        </is>
      </c>
      <c r="F1025" t="inlineStr">
        <is>
          <t>Centro</t>
        </is>
      </c>
      <c r="G1025" t="inlineStr">
        <is>
          <t>Maricá</t>
        </is>
      </c>
      <c r="H1025" t="inlineStr">
        <is>
          <t>RJ</t>
        </is>
      </c>
      <c r="I1025" t="n">
        <v>5613</v>
      </c>
      <c r="J1025" t="inlineStr">
        <is>
          <t>CAT 3</t>
        </is>
      </c>
      <c r="K1025" t="inlineStr">
        <is>
          <t>Sim</t>
        </is>
      </c>
    </row>
    <row r="1026">
      <c r="A1026" s="1">
        <f>HYPERLINK("https://eurofarma-latam-crm.veevavault.com/#object/account__v/V4TZ025E88I6RY9", "Carmem Silvia Palazzo")</f>
        <v/>
      </c>
      <c r="B1026" s="1">
        <f>HYPERLINK("https://eurofarma-latam-crm.veevavault.com/#object/account__v/V4TZ025E88I6RY9", "Carmem Silvia Marques Palazzo")</f>
        <v/>
      </c>
      <c r="C1026" t="inlineStr">
        <is>
          <t>RJ1116169</t>
        </is>
      </c>
      <c r="D1026" t="inlineStr">
        <is>
          <t>PSQ</t>
        </is>
      </c>
      <c r="E1026" t="inlineStr">
        <is>
          <t>Rua São Francisco Xavier, 163/165</t>
        </is>
      </c>
      <c r="F1026" t="inlineStr">
        <is>
          <t>Tijuca</t>
        </is>
      </c>
      <c r="G1026" t="inlineStr">
        <is>
          <t>Rio de Janeiro</t>
        </is>
      </c>
      <c r="H1026" t="inlineStr">
        <is>
          <t>RJ</t>
        </is>
      </c>
      <c r="I1026" t="n">
        <v>5613</v>
      </c>
      <c r="J1026" t="inlineStr">
        <is>
          <t>CAT 2</t>
        </is>
      </c>
      <c r="K1026" t="inlineStr">
        <is>
          <t>Sim</t>
        </is>
      </c>
    </row>
    <row r="1027">
      <c r="A1027" s="1">
        <f>HYPERLINK("https://eurofarma-latam-crm.veevavault.com/#object/account__v/V4TZ00001914Y4Z", "Carolina Jabarra")</f>
        <v/>
      </c>
      <c r="B1027" s="1">
        <f>HYPERLINK("https://eurofarma-latam-crm.veevavault.com/#object/account__v/V4TZ00001914Y4Z", "Carolina Pessanha Jabarra")</f>
        <v/>
      </c>
      <c r="C1027" t="inlineStr">
        <is>
          <t>RJ0882240</t>
        </is>
      </c>
      <c r="D1027" t="inlineStr">
        <is>
          <t>NEU</t>
        </is>
      </c>
      <c r="E1027" t="inlineStr">
        <is>
          <t>Rua Manoel de Abreu, 9 - Parte</t>
        </is>
      </c>
      <c r="F1027" t="inlineStr">
        <is>
          <t>Centro</t>
        </is>
      </c>
      <c r="G1027" t="inlineStr">
        <is>
          <t>Niterói</t>
        </is>
      </c>
      <c r="H1027" t="inlineStr">
        <is>
          <t>RJ</t>
        </is>
      </c>
      <c r="I1027" t="n">
        <v>5613</v>
      </c>
      <c r="J1027" t="inlineStr">
        <is>
          <t>CAT 2</t>
        </is>
      </c>
      <c r="K1027" t="inlineStr">
        <is>
          <t>Sim</t>
        </is>
      </c>
    </row>
    <row r="1028">
      <c r="A1028" s="1">
        <f>HYPERLINK("https://eurofarma-latam-crm.veevavault.com/#object/account__v/V4TZ025E84YBXEJ", "Carolina Lemos")</f>
        <v/>
      </c>
      <c r="B1028" s="1">
        <f>HYPERLINK("https://eurofarma-latam-crm.veevavault.com/#object/account__v/V4TZ025E84YBXEJ", "Carolina Martins Cabrita Lemos")</f>
        <v/>
      </c>
      <c r="C1028" t="inlineStr">
        <is>
          <t>RJ1146700</t>
        </is>
      </c>
      <c r="D1028" t="inlineStr">
        <is>
          <t>CLG / END</t>
        </is>
      </c>
      <c r="E1028" t="inlineStr">
        <is>
          <t>Avenida Professor João Brasil, S/N</t>
        </is>
      </c>
      <c r="F1028" t="inlineStr">
        <is>
          <t>Fonseca</t>
        </is>
      </c>
      <c r="G1028" t="inlineStr">
        <is>
          <t>Niterói</t>
        </is>
      </c>
      <c r="H1028" t="inlineStr">
        <is>
          <t>RJ</t>
        </is>
      </c>
      <c r="I1028" t="n">
        <v>5613</v>
      </c>
      <c r="J1028" t="inlineStr">
        <is>
          <t>CAT 5</t>
        </is>
      </c>
      <c r="K1028" t="inlineStr">
        <is>
          <t>N�o</t>
        </is>
      </c>
    </row>
    <row r="1029">
      <c r="A1029" s="1">
        <f>HYPERLINK("https://eurofarma-latam-crm.veevavault.com/#object/account__v/V4TZ00001912XHL", "Carolina Miceli")</f>
        <v/>
      </c>
      <c r="B1029" s="1">
        <f>HYPERLINK("https://eurofarma-latam-crm.veevavault.com/#object/account__v/V4TZ00001912XHL", "Carolina Ali Miceli")</f>
        <v/>
      </c>
      <c r="C1029" t="inlineStr">
        <is>
          <t>RJ0775835</t>
        </is>
      </c>
      <c r="D1029" t="inlineStr">
        <is>
          <t>GAS</t>
        </is>
      </c>
      <c r="E1029" t="inlineStr">
        <is>
          <t>Rua César Xará, S/N</t>
        </is>
      </c>
      <c r="F1029" t="inlineStr">
        <is>
          <t>Quissamã</t>
        </is>
      </c>
      <c r="G1029" t="inlineStr">
        <is>
          <t>Itaboraí</t>
        </is>
      </c>
      <c r="H1029" t="inlineStr">
        <is>
          <t>RJ</t>
        </is>
      </c>
      <c r="I1029" t="n">
        <v>5613</v>
      </c>
      <c r="J1029" t="inlineStr">
        <is>
          <t>CAT 4</t>
        </is>
      </c>
      <c r="K1029" t="inlineStr">
        <is>
          <t>Sim</t>
        </is>
      </c>
    </row>
    <row r="1030">
      <c r="A1030" s="1">
        <f>HYPERLINK("https://eurofarma-latam-crm.veevavault.com/#object/account__v/V4TZ00001915ULQ", "Carolina Quintanilha")</f>
        <v/>
      </c>
      <c r="B1030" s="1">
        <f>HYPERLINK("https://eurofarma-latam-crm.veevavault.com/#object/account__v/V4TZ00001915ULQ", "Carolina Alves Quintanilha")</f>
        <v/>
      </c>
      <c r="C1030" t="inlineStr">
        <is>
          <t>RJ1274716</t>
        </is>
      </c>
      <c r="D1030" t="inlineStr">
        <is>
          <t>CLG / PA</t>
        </is>
      </c>
      <c r="E1030" t="inlineStr">
        <is>
          <t>Rua Domício da Gama, 433</t>
        </is>
      </c>
      <c r="F1030" t="inlineStr">
        <is>
          <t>Araçatiba</t>
        </is>
      </c>
      <c r="G1030" t="inlineStr">
        <is>
          <t>Maricá</t>
        </is>
      </c>
      <c r="H1030" t="inlineStr">
        <is>
          <t>RJ</t>
        </is>
      </c>
      <c r="I1030" t="n">
        <v>5613</v>
      </c>
      <c r="J1030" t="inlineStr">
        <is>
          <t>CAT 5</t>
        </is>
      </c>
      <c r="K1030" t="inlineStr">
        <is>
          <t>Sim</t>
        </is>
      </c>
    </row>
    <row r="1031">
      <c r="A1031" s="1">
        <f>HYPERLINK("https://eurofarma-latam-crm.veevavault.com/#object/account__v/V4TZ000019143YP", "Caroline Monteiro")</f>
        <v/>
      </c>
      <c r="B1031" s="1">
        <f>HYPERLINK("https://eurofarma-latam-crm.veevavault.com/#object/account__v/V4TZ000019143YP", "Caroline Batista Monteiro")</f>
        <v/>
      </c>
      <c r="C1031" t="inlineStr">
        <is>
          <t>RJ1013254</t>
        </is>
      </c>
      <c r="D1031" t="inlineStr">
        <is>
          <t>GAS</t>
        </is>
      </c>
      <c r="E1031" t="inlineStr">
        <is>
          <t>Rua Quinze de Novembro, 90 - Sala 1311</t>
        </is>
      </c>
      <c r="F1031" t="inlineStr">
        <is>
          <t>Centro</t>
        </is>
      </c>
      <c r="G1031" t="inlineStr">
        <is>
          <t>Niterói</t>
        </is>
      </c>
      <c r="H1031" t="inlineStr">
        <is>
          <t>RJ</t>
        </is>
      </c>
      <c r="I1031" t="n">
        <v>5613</v>
      </c>
      <c r="J1031" t="inlineStr">
        <is>
          <t>CAT 4</t>
        </is>
      </c>
      <c r="K1031" t="inlineStr">
        <is>
          <t>Sim</t>
        </is>
      </c>
    </row>
    <row r="1032">
      <c r="A1032" s="1">
        <f>HYPERLINK("https://eurofarma-latam-crm.veevavault.com/#object/account__v/V4TZ00001914N8U", "Cássia Moulin")</f>
        <v/>
      </c>
      <c r="B1032" s="1">
        <f>HYPERLINK("https://eurofarma-latam-crm.veevavault.com/#object/account__v/V4TZ00001914N8U", "Cássia de Carvalho Moulin")</f>
        <v/>
      </c>
      <c r="C1032" t="inlineStr">
        <is>
          <t>RJ1113976</t>
        </is>
      </c>
      <c r="D1032" t="inlineStr">
        <is>
          <t>PSQ</t>
        </is>
      </c>
      <c r="E1032" t="inlineStr">
        <is>
          <t>Rua Marechal Raul de Albuquerque, 2</t>
        </is>
      </c>
      <c r="F1032" t="inlineStr">
        <is>
          <t>Charitas</t>
        </is>
      </c>
      <c r="G1032" t="inlineStr">
        <is>
          <t>Niterói</t>
        </is>
      </c>
      <c r="H1032" t="inlineStr">
        <is>
          <t>RJ</t>
        </is>
      </c>
      <c r="I1032" t="n">
        <v>5613</v>
      </c>
      <c r="J1032" t="inlineStr">
        <is>
          <t>CAT 3</t>
        </is>
      </c>
      <c r="K1032" t="inlineStr">
        <is>
          <t>Sim</t>
        </is>
      </c>
    </row>
    <row r="1033">
      <c r="A1033" s="1">
        <f>HYPERLINK("https://eurofarma-latam-crm.veevavault.com/#object/account__v/V4TZ000018NYM8Q", "Claudia Lucia de Barros")</f>
        <v/>
      </c>
      <c r="B1033" s="1">
        <f>HYPERLINK("https://eurofarma-latam-crm.veevavault.com/#object/account__v/V4TZ000018NYM8Q", "Claudia Lucia Guedes Monteiro de Barros")</f>
        <v/>
      </c>
      <c r="C1033" t="inlineStr">
        <is>
          <t>RJ0561524</t>
        </is>
      </c>
      <c r="D1033" t="inlineStr">
        <is>
          <t>PED</t>
        </is>
      </c>
      <c r="E1033" t="inlineStr">
        <is>
          <t>Rua Doutor Nilo Peçanha, 442 - Parte</t>
        </is>
      </c>
      <c r="F1033" t="inlineStr">
        <is>
          <t>Estrela do Norte</t>
        </is>
      </c>
      <c r="G1033" t="inlineStr">
        <is>
          <t>São Gonçalo</t>
        </is>
      </c>
      <c r="H1033" t="inlineStr">
        <is>
          <t>RJ</t>
        </is>
      </c>
      <c r="I1033" t="n">
        <v>5613</v>
      </c>
      <c r="J1033" t="inlineStr">
        <is>
          <t>CAT 5</t>
        </is>
      </c>
      <c r="K1033" t="inlineStr">
        <is>
          <t>Sim</t>
        </is>
      </c>
    </row>
    <row r="1034">
      <c r="A1034" s="1">
        <f>HYPERLINK("https://eurofarma-latam-crm.veevavault.com/#object/account__v/V4TZ000018NXNCN", "Claudia Rangel")</f>
        <v/>
      </c>
      <c r="B1034" s="1">
        <f>HYPERLINK("https://eurofarma-latam-crm.veevavault.com/#object/account__v/V4TZ000018NXNCN", "Claudia Prucoli Chierici Rangel")</f>
        <v/>
      </c>
      <c r="C1034" t="inlineStr">
        <is>
          <t>RJ0950319</t>
        </is>
      </c>
      <c r="D1034" t="inlineStr">
        <is>
          <t>END</t>
        </is>
      </c>
      <c r="E1034" t="inlineStr">
        <is>
          <t>Estrada Francisco da Cruz Nunes, 6501 - Sala 349</t>
        </is>
      </c>
      <c r="F1034" t="inlineStr">
        <is>
          <t>Itaipu</t>
        </is>
      </c>
      <c r="G1034" t="inlineStr">
        <is>
          <t>Niterói</t>
        </is>
      </c>
      <c r="H1034" t="inlineStr">
        <is>
          <t>RJ</t>
        </is>
      </c>
      <c r="I1034" t="n">
        <v>5613</v>
      </c>
      <c r="J1034" t="inlineStr">
        <is>
          <t>CAT 4</t>
        </is>
      </c>
      <c r="K1034" t="inlineStr">
        <is>
          <t>Sim</t>
        </is>
      </c>
    </row>
    <row r="1035">
      <c r="A1035" s="1">
        <f>HYPERLINK("https://eurofarma-latam-crm.veevavault.com/#object/account__v/V4TZ000018NYK4H", "Claudia Souza")</f>
        <v/>
      </c>
      <c r="B1035" s="1">
        <f>HYPERLINK("https://eurofarma-latam-crm.veevavault.com/#object/account__v/V4TZ000018NYK4H", "Claudia Rogeria de Lima Souza")</f>
        <v/>
      </c>
      <c r="C1035" t="inlineStr">
        <is>
          <t>RJ0584293</t>
        </is>
      </c>
      <c r="D1035" t="inlineStr">
        <is>
          <t>CLG / END</t>
        </is>
      </c>
      <c r="E1035" t="inlineStr">
        <is>
          <t>Estrada Velha de Maricá, 51</t>
        </is>
      </c>
      <c r="F1035" t="inlineStr">
        <is>
          <t>São José do Imbassaí</t>
        </is>
      </c>
      <c r="G1035" t="inlineStr">
        <is>
          <t>Maricá</t>
        </is>
      </c>
      <c r="H1035" t="inlineStr">
        <is>
          <t>RJ</t>
        </is>
      </c>
      <c r="I1035" t="n">
        <v>5613</v>
      </c>
      <c r="J1035" t="inlineStr">
        <is>
          <t>CAT 5</t>
        </is>
      </c>
      <c r="K1035" t="inlineStr">
        <is>
          <t>Sim</t>
        </is>
      </c>
    </row>
    <row r="1036">
      <c r="A1036" s="1">
        <f>HYPERLINK("https://eurofarma-latam-crm.veevavault.com/#object/account__v/V4TZ00001913UZ9", "Claudio Gress")</f>
        <v/>
      </c>
      <c r="B1036" s="1">
        <f>HYPERLINK("https://eurofarma-latam-crm.veevavault.com/#object/account__v/V4TZ00001913UZ9", "Claudio Heitor Tavares Gress")</f>
        <v/>
      </c>
      <c r="C1036" t="inlineStr">
        <is>
          <t>RJ0572019,SP0074310</t>
        </is>
      </c>
      <c r="D1036" t="inlineStr">
        <is>
          <t>NEU</t>
        </is>
      </c>
      <c r="E1036" t="inlineStr">
        <is>
          <t>Rua Doutor Nilo Peçanha, 442 - Parte</t>
        </is>
      </c>
      <c r="F1036" t="inlineStr">
        <is>
          <t>Estrela do Norte</t>
        </is>
      </c>
      <c r="G1036" t="inlineStr">
        <is>
          <t>São Gonçalo</t>
        </is>
      </c>
      <c r="H1036" t="inlineStr">
        <is>
          <t>RJ</t>
        </is>
      </c>
      <c r="I1036" t="n">
        <v>5613</v>
      </c>
      <c r="J1036" t="inlineStr">
        <is>
          <t>CAT 1</t>
        </is>
      </c>
      <c r="K1036" t="inlineStr">
        <is>
          <t>Sim</t>
        </is>
      </c>
    </row>
    <row r="1037">
      <c r="A1037" s="1">
        <f>HYPERLINK("https://eurofarma-latam-crm.veevavault.com/#object/account__v/V4TZ000018NXJ11", "Cleide Silva")</f>
        <v/>
      </c>
      <c r="B1037" s="1">
        <f>HYPERLINK("https://eurofarma-latam-crm.veevavault.com/#object/account__v/V4TZ000018NXJ11", "Cleide Vieira da Silva")</f>
        <v/>
      </c>
      <c r="C1037" t="inlineStr">
        <is>
          <t>RJ0577703,SP0079342</t>
        </is>
      </c>
      <c r="D1037" t="inlineStr">
        <is>
          <t>CLG / PA</t>
        </is>
      </c>
      <c r="E1037" t="inlineStr">
        <is>
          <t>Estrada Velha de Maricá, 51</t>
        </is>
      </c>
      <c r="F1037" t="inlineStr">
        <is>
          <t>São José do Imbassaí</t>
        </is>
      </c>
      <c r="G1037" t="inlineStr">
        <is>
          <t>Maricá</t>
        </is>
      </c>
      <c r="H1037" t="inlineStr">
        <is>
          <t>RJ</t>
        </is>
      </c>
      <c r="I1037" t="n">
        <v>5613</v>
      </c>
      <c r="J1037" t="inlineStr">
        <is>
          <t>CAT 5</t>
        </is>
      </c>
      <c r="K1037" t="inlineStr">
        <is>
          <t>N�o</t>
        </is>
      </c>
    </row>
    <row r="1038">
      <c r="A1038" s="1">
        <f>HYPERLINK("https://eurofarma-latam-crm.veevavault.com/#object/account__v/V4TZ000018NZ7AX", "Clemildo da Silva Junior")</f>
        <v/>
      </c>
      <c r="B1038" s="1">
        <f>HYPERLINK("https://eurofarma-latam-crm.veevavault.com/#object/account__v/V4TZ000018NZ7AX", "Clemildo Pereira da Silva Junior")</f>
        <v/>
      </c>
      <c r="C1038" t="inlineStr">
        <is>
          <t>BA0018218,RJ0797685</t>
        </is>
      </c>
      <c r="D1038" t="inlineStr">
        <is>
          <t>URO</t>
        </is>
      </c>
      <c r="E1038" t="inlineStr">
        <is>
          <t>Rua Ator Paulo Gustavo, 160 - Sala 806</t>
        </is>
      </c>
      <c r="F1038" t="inlineStr">
        <is>
          <t>Icaraí</t>
        </is>
      </c>
      <c r="G1038" t="inlineStr">
        <is>
          <t>Niterói</t>
        </is>
      </c>
      <c r="H1038" t="inlineStr">
        <is>
          <t>RJ</t>
        </is>
      </c>
      <c r="I1038" t="n">
        <v>5613</v>
      </c>
      <c r="J1038" t="inlineStr">
        <is>
          <t>CAT 4</t>
        </is>
      </c>
      <c r="K1038" t="inlineStr">
        <is>
          <t>Sim</t>
        </is>
      </c>
    </row>
    <row r="1039">
      <c r="A1039" s="1">
        <f>HYPERLINK("https://eurofarma-latam-crm.veevavault.com/#object/account__v/V4TZ025E8AYJSDY", "Cléo dos Santos")</f>
        <v/>
      </c>
      <c r="B1039" s="1">
        <f>HYPERLINK("https://eurofarma-latam-crm.veevavault.com/#object/account__v/V4TZ025E8AYJSDY", "Cléo Melo dos Santos")</f>
        <v/>
      </c>
      <c r="C1039" t="inlineStr">
        <is>
          <t>RJ1324519</t>
        </is>
      </c>
      <c r="D1039" t="inlineStr">
        <is>
          <t>CLG / END</t>
        </is>
      </c>
      <c r="E1039" t="inlineStr">
        <is>
          <t>Avenida Bispo Dom João da Mata, S/N</t>
        </is>
      </c>
      <c r="F1039" t="inlineStr">
        <is>
          <t>Laranjal</t>
        </is>
      </c>
      <c r="G1039" t="inlineStr">
        <is>
          <t>São Gonçalo</t>
        </is>
      </c>
      <c r="H1039" t="inlineStr">
        <is>
          <t>RJ</t>
        </is>
      </c>
      <c r="I1039" t="n">
        <v>5613</v>
      </c>
      <c r="J1039" t="inlineStr">
        <is>
          <t>CAT 5</t>
        </is>
      </c>
      <c r="K1039" t="inlineStr">
        <is>
          <t>Sim</t>
        </is>
      </c>
    </row>
    <row r="1040">
      <c r="A1040" s="1">
        <f>HYPERLINK("https://eurofarma-latam-crm.veevavault.com/#object/account__v/V4TZ000018NY0NQ", "Colombo Cruz Filho")</f>
        <v/>
      </c>
      <c r="B1040" s="1">
        <f>HYPERLINK("https://eurofarma-latam-crm.veevavault.com/#object/account__v/V4TZ000018NY0NQ", "Colombo da Silva Cruz Filho")</f>
        <v/>
      </c>
      <c r="C1040" t="inlineStr">
        <is>
          <t>RJ0467779,RS0014329</t>
        </is>
      </c>
      <c r="D1040" t="inlineStr">
        <is>
          <t>END</t>
        </is>
      </c>
      <c r="E1040" t="inlineStr">
        <is>
          <t>Rua Doutor Milton de Souza Pacheco, 6</t>
        </is>
      </c>
      <c r="F1040" t="inlineStr">
        <is>
          <t>Centro</t>
        </is>
      </c>
      <c r="G1040" t="inlineStr">
        <is>
          <t>Maricá</t>
        </is>
      </c>
      <c r="H1040" t="inlineStr">
        <is>
          <t>RJ</t>
        </is>
      </c>
      <c r="I1040" t="n">
        <v>5613</v>
      </c>
      <c r="J1040" t="inlineStr">
        <is>
          <t>CAT 5</t>
        </is>
      </c>
      <c r="K1040" t="inlineStr">
        <is>
          <t>Sim</t>
        </is>
      </c>
    </row>
    <row r="1041">
      <c r="A1041" s="1">
        <f>HYPERLINK("https://eurofarma-latam-crm.veevavault.com/#object/account__v/V4TZ000018NZ5HL", "Cristiane Barroso")</f>
        <v/>
      </c>
      <c r="B1041" s="1">
        <f>HYPERLINK("https://eurofarma-latam-crm.veevavault.com/#object/account__v/V4TZ000018NZ5HL", "Cristiane Miranda Barroso")</f>
        <v/>
      </c>
      <c r="C1041" t="inlineStr">
        <is>
          <t>RJ0773115</t>
        </is>
      </c>
      <c r="D1041" t="inlineStr">
        <is>
          <t>CLG / END</t>
        </is>
      </c>
      <c r="E1041" t="inlineStr">
        <is>
          <t>Rua Coronel Moreira Cesar, 138 - Alameda Pio XII</t>
        </is>
      </c>
      <c r="F1041" t="inlineStr">
        <is>
          <t>Centro</t>
        </is>
      </c>
      <c r="G1041" t="inlineStr">
        <is>
          <t>São Gonçalo</t>
        </is>
      </c>
      <c r="H1041" t="inlineStr">
        <is>
          <t>RJ</t>
        </is>
      </c>
      <c r="I1041" t="n">
        <v>5613</v>
      </c>
      <c r="J1041" t="inlineStr">
        <is>
          <t>CAT 4</t>
        </is>
      </c>
      <c r="K1041" t="inlineStr">
        <is>
          <t>N�o</t>
        </is>
      </c>
    </row>
    <row r="1042">
      <c r="A1042" s="1">
        <f>HYPERLINK("https://eurofarma-latam-crm.veevavault.com/#object/account__v/V4TZ000018NXUF7", "Cristianne Gomes")</f>
        <v/>
      </c>
      <c r="B1042" s="1">
        <f>HYPERLINK("https://eurofarma-latam-crm.veevavault.com/#object/account__v/V4TZ000018NXUF7", "Cristianne Nagib Gomes")</f>
        <v/>
      </c>
      <c r="C1042" t="inlineStr">
        <is>
          <t>RJ0586091</t>
        </is>
      </c>
      <c r="D1042" t="inlineStr">
        <is>
          <t>CLG / END</t>
        </is>
      </c>
      <c r="E1042" t="inlineStr">
        <is>
          <t>Rua Azamor José da Silva, 229</t>
        </is>
      </c>
      <c r="F1042" t="inlineStr">
        <is>
          <t>Araçatiba</t>
        </is>
      </c>
      <c r="G1042" t="inlineStr">
        <is>
          <t>Maricá</t>
        </is>
      </c>
      <c r="H1042" t="inlineStr">
        <is>
          <t>RJ</t>
        </is>
      </c>
      <c r="I1042" t="n">
        <v>5613</v>
      </c>
      <c r="J1042" t="inlineStr">
        <is>
          <t>CAT 5</t>
        </is>
      </c>
      <c r="K1042" t="inlineStr">
        <is>
          <t>N�o</t>
        </is>
      </c>
    </row>
    <row r="1043">
      <c r="A1043" s="1">
        <f>HYPERLINK("https://eurofarma-latam-crm.veevavault.com/#object/account__v/V4TZ00001915DQ3", "Cristina Maria da Silva")</f>
        <v/>
      </c>
      <c r="B1043" s="1">
        <f>HYPERLINK("https://eurofarma-latam-crm.veevavault.com/#object/account__v/V4TZ00001915DQ3", "Cristina Maria Lima Gaspar Carvalho da Silva")</f>
        <v/>
      </c>
      <c r="C1043" t="inlineStr">
        <is>
          <t>RJ0280055</t>
        </is>
      </c>
      <c r="D1043" t="inlineStr">
        <is>
          <t>PED</t>
        </is>
      </c>
      <c r="E1043" t="inlineStr">
        <is>
          <t>Estrada Francisco da Cruz Nunes, 6748 - Quadra 32 Lote 09</t>
        </is>
      </c>
      <c r="F1043" t="inlineStr">
        <is>
          <t>Piratininga</t>
        </is>
      </c>
      <c r="G1043" t="inlineStr">
        <is>
          <t>Niterói</t>
        </is>
      </c>
      <c r="H1043" t="inlineStr">
        <is>
          <t>RJ</t>
        </is>
      </c>
      <c r="I1043" t="n">
        <v>5613</v>
      </c>
      <c r="J1043" t="inlineStr">
        <is>
          <t>CAT 5</t>
        </is>
      </c>
      <c r="K1043" t="inlineStr">
        <is>
          <t>N�o</t>
        </is>
      </c>
    </row>
    <row r="1044">
      <c r="A1044" s="1">
        <f>HYPERLINK("https://eurofarma-latam-crm.veevavault.com/#object/account__v/V4TZ025E86EK1QN", "Cyro Soares")</f>
        <v/>
      </c>
      <c r="B1044" s="1">
        <f>HYPERLINK("https://eurofarma-latam-crm.veevavault.com/#object/account__v/V4TZ025E86EK1QN", "Cyro Amaral Soares")</f>
        <v/>
      </c>
      <c r="C1044" t="inlineStr">
        <is>
          <t>RJ1274376</t>
        </is>
      </c>
      <c r="D1044" t="inlineStr">
        <is>
          <t>CLG / PA</t>
        </is>
      </c>
      <c r="E1044" t="inlineStr">
        <is>
          <t>Largo da Estação, S/N - Chacaras Sambaetiba</t>
        </is>
      </c>
      <c r="F1044" t="inlineStr">
        <is>
          <t>Centro (Sambaetiba)</t>
        </is>
      </c>
      <c r="G1044" t="inlineStr">
        <is>
          <t>Itaboraí</t>
        </is>
      </c>
      <c r="H1044" t="inlineStr">
        <is>
          <t>RJ</t>
        </is>
      </c>
      <c r="I1044" t="n">
        <v>5613</v>
      </c>
      <c r="J1044" t="inlineStr">
        <is>
          <t>CAT 4</t>
        </is>
      </c>
      <c r="K1044" t="inlineStr">
        <is>
          <t>N�o</t>
        </is>
      </c>
    </row>
    <row r="1045">
      <c r="A1045" s="1">
        <f>HYPERLINK("https://eurofarma-latam-crm.veevavault.com/#object/account__v/V4TZ025E8BIGYWJ", "Daniel dos Santos")</f>
        <v/>
      </c>
      <c r="B1045" s="1">
        <f>HYPERLINK("https://eurofarma-latam-crm.veevavault.com/#object/account__v/V4TZ025E8BIGYWJ", "Daniel Tavares dos Santos")</f>
        <v/>
      </c>
      <c r="C1045" t="inlineStr">
        <is>
          <t>RJ1357018</t>
        </is>
      </c>
      <c r="D1045" t="inlineStr">
        <is>
          <t>CLG / PA</t>
        </is>
      </c>
      <c r="E1045" t="inlineStr">
        <is>
          <t>Rua Euclides Paulo da Silva, S/N</t>
        </is>
      </c>
      <c r="F1045" t="inlineStr">
        <is>
          <t>Inoã (Inoã)</t>
        </is>
      </c>
      <c r="G1045" t="inlineStr">
        <is>
          <t>Maricá</t>
        </is>
      </c>
      <c r="H1045" t="inlineStr">
        <is>
          <t>RJ</t>
        </is>
      </c>
      <c r="I1045" t="n">
        <v>5613</v>
      </c>
      <c r="J1045" t="inlineStr"/>
      <c r="K1045" t="inlineStr"/>
    </row>
    <row r="1046">
      <c r="A1046" s="1">
        <f>HYPERLINK("https://eurofarma-latam-crm.veevavault.com/#object/account__v/V4TZ000018NY7I2", "Daniela Damiana Santos")</f>
        <v/>
      </c>
      <c r="B1046" s="1">
        <f>HYPERLINK("https://eurofarma-latam-crm.veevavault.com/#object/account__v/V4TZ000018NY7I2", "Daniela Damiana Gardioli Santos")</f>
        <v/>
      </c>
      <c r="C1046" t="inlineStr">
        <is>
          <t>RJ0961671</t>
        </is>
      </c>
      <c r="D1046" t="inlineStr">
        <is>
          <t>ORL</t>
        </is>
      </c>
      <c r="E1046" t="inlineStr">
        <is>
          <t>Rua Doutor March, 5 - Loja</t>
        </is>
      </c>
      <c r="F1046" t="inlineStr">
        <is>
          <t>Venda da Cruz</t>
        </is>
      </c>
      <c r="G1046" t="inlineStr">
        <is>
          <t>São Gonçalo</t>
        </is>
      </c>
      <c r="H1046" t="inlineStr">
        <is>
          <t>RJ</t>
        </is>
      </c>
      <c r="I1046" t="n">
        <v>5613</v>
      </c>
      <c r="J1046" t="inlineStr">
        <is>
          <t>CAT 5</t>
        </is>
      </c>
      <c r="K1046" t="inlineStr">
        <is>
          <t>Sim</t>
        </is>
      </c>
    </row>
    <row r="1047">
      <c r="A1047" s="1">
        <f>HYPERLINK("https://eurofarma-latam-crm.veevavault.com/#object/account__v/V4TZ000018NXXPQ", "Daniela Parago")</f>
        <v/>
      </c>
      <c r="B1047" s="1">
        <f>HYPERLINK("https://eurofarma-latam-crm.veevavault.com/#object/account__v/V4TZ000018NXXPQ", "Daniela Pereira Nunes Parago")</f>
        <v/>
      </c>
      <c r="C1047" t="inlineStr">
        <is>
          <t>RJ0577117</t>
        </is>
      </c>
      <c r="D1047" t="inlineStr">
        <is>
          <t>PSQ</t>
        </is>
      </c>
      <c r="E1047" t="inlineStr">
        <is>
          <t>Rua Antônio Santos Figueiredo, 193</t>
        </is>
      </c>
      <c r="F1047" t="inlineStr">
        <is>
          <t>Centro</t>
        </is>
      </c>
      <c r="G1047" t="inlineStr">
        <is>
          <t>São Gonçalo</t>
        </is>
      </c>
      <c r="H1047" t="inlineStr">
        <is>
          <t>RJ</t>
        </is>
      </c>
      <c r="I1047" t="n">
        <v>5613</v>
      </c>
      <c r="J1047" t="inlineStr">
        <is>
          <t>CAT 4</t>
        </is>
      </c>
      <c r="K1047" t="inlineStr">
        <is>
          <t>Sim</t>
        </is>
      </c>
    </row>
    <row r="1048">
      <c r="A1048" s="1">
        <f>HYPERLINK("https://eurofarma-latam-crm.veevavault.com/#object/account__v/V4TZ000018NY855", "Daniela Silva")</f>
        <v/>
      </c>
      <c r="B1048" s="1">
        <f>HYPERLINK("https://eurofarma-latam-crm.veevavault.com/#object/account__v/V4TZ000018NY855", "Daniela Rangel Silva")</f>
        <v/>
      </c>
      <c r="C1048" t="inlineStr">
        <is>
          <t>RJ0625132</t>
        </is>
      </c>
      <c r="D1048" t="inlineStr">
        <is>
          <t>PED</t>
        </is>
      </c>
      <c r="E1048" t="inlineStr">
        <is>
          <t>Rua M Lote 18 Casa 06, S/N</t>
        </is>
      </c>
      <c r="F1048" t="inlineStr">
        <is>
          <t>Monte Verde (Manilha)</t>
        </is>
      </c>
      <c r="G1048" t="inlineStr">
        <is>
          <t>Itaboraí</t>
        </is>
      </c>
      <c r="H1048" t="inlineStr">
        <is>
          <t>RJ</t>
        </is>
      </c>
      <c r="I1048" t="n">
        <v>5613</v>
      </c>
      <c r="J1048" t="inlineStr">
        <is>
          <t>CAT 5</t>
        </is>
      </c>
      <c r="K1048" t="inlineStr">
        <is>
          <t>Sim</t>
        </is>
      </c>
    </row>
    <row r="1049">
      <c r="A1049" s="1">
        <f>HYPERLINK("https://eurofarma-latam-crm.veevavault.com/#object/account__v/V4TZ00001914C2Y", "Daniela Vidal")</f>
        <v/>
      </c>
      <c r="B1049" s="1">
        <f>HYPERLINK("https://eurofarma-latam-crm.veevavault.com/#object/account__v/V4TZ00001914C2Y", "Daniela Silva Vidal")</f>
        <v/>
      </c>
      <c r="C1049" t="inlineStr">
        <is>
          <t>RJ0703940</t>
        </is>
      </c>
      <c r="D1049" t="inlineStr">
        <is>
          <t>ORT</t>
        </is>
      </c>
      <c r="E1049" t="inlineStr">
        <is>
          <t>Rua General Pereira da Silva, 312</t>
        </is>
      </c>
      <c r="F1049" t="inlineStr">
        <is>
          <t>Icaraí</t>
        </is>
      </c>
      <c r="G1049" t="inlineStr">
        <is>
          <t>Niterói</t>
        </is>
      </c>
      <c r="H1049" t="inlineStr">
        <is>
          <t>RJ</t>
        </is>
      </c>
      <c r="I1049" t="n">
        <v>5613</v>
      </c>
      <c r="J1049" t="inlineStr">
        <is>
          <t>CAT 5</t>
        </is>
      </c>
      <c r="K1049" t="inlineStr">
        <is>
          <t>N�o</t>
        </is>
      </c>
    </row>
    <row r="1050">
      <c r="A1050" s="1">
        <f>HYPERLINK("https://eurofarma-latam-crm.veevavault.com/#object/account__v/V4TZ000019146UV", "Danielle Moraes")</f>
        <v/>
      </c>
      <c r="B1050" s="1">
        <f>HYPERLINK("https://eurofarma-latam-crm.veevavault.com/#object/account__v/V4TZ000019146UV", "Danielle Dias Pereira Pimenta de Moraes")</f>
        <v/>
      </c>
      <c r="C1050" t="inlineStr">
        <is>
          <t>RJ0721182</t>
        </is>
      </c>
      <c r="D1050" t="inlineStr">
        <is>
          <t>ORT</t>
        </is>
      </c>
      <c r="E1050" t="inlineStr">
        <is>
          <t>Rua Manoel de Abreu, 9 - Parte</t>
        </is>
      </c>
      <c r="F1050" t="inlineStr">
        <is>
          <t>Centro</t>
        </is>
      </c>
      <c r="G1050" t="inlineStr">
        <is>
          <t>Niterói</t>
        </is>
      </c>
      <c r="H1050" t="inlineStr">
        <is>
          <t>RJ</t>
        </is>
      </c>
      <c r="I1050" t="n">
        <v>5613</v>
      </c>
      <c r="J1050" t="inlineStr">
        <is>
          <t>CAT 4</t>
        </is>
      </c>
      <c r="K1050" t="inlineStr">
        <is>
          <t>Sim</t>
        </is>
      </c>
    </row>
    <row r="1051">
      <c r="A1051" s="1">
        <f>HYPERLINK("https://eurofarma-latam-crm.veevavault.com/#object/account__v/V4TZ00001914OLI", "Danielly da Silva")</f>
        <v/>
      </c>
      <c r="B1051" s="1">
        <f>HYPERLINK("https://eurofarma-latam-crm.veevavault.com/#object/account__v/V4TZ00001914OLI", "Danielly Pires da Silva")</f>
        <v/>
      </c>
      <c r="C1051" t="inlineStr">
        <is>
          <t>RJ1189140</t>
        </is>
      </c>
      <c r="D1051" t="inlineStr">
        <is>
          <t>PED</t>
        </is>
      </c>
      <c r="E1051" t="inlineStr">
        <is>
          <t>Rua da Gamboa, 303</t>
        </is>
      </c>
      <c r="F1051" t="inlineStr">
        <is>
          <t>Gamboa</t>
        </is>
      </c>
      <c r="G1051" t="inlineStr">
        <is>
          <t>Rio de Janeiro</t>
        </is>
      </c>
      <c r="H1051" t="inlineStr">
        <is>
          <t>RJ</t>
        </is>
      </c>
      <c r="I1051" t="n">
        <v>5613</v>
      </c>
      <c r="J1051" t="inlineStr">
        <is>
          <t>CAT 5</t>
        </is>
      </c>
      <c r="K1051" t="inlineStr">
        <is>
          <t>Sim</t>
        </is>
      </c>
    </row>
    <row r="1052">
      <c r="A1052" s="1">
        <f>HYPERLINK("https://eurofarma-latam-crm.veevavault.com/#object/account__v/V4TZ000019159P3", "Danilo Marques")</f>
        <v/>
      </c>
      <c r="B1052" s="1">
        <f>HYPERLINK("https://eurofarma-latam-crm.veevavault.com/#object/account__v/V4TZ000019159P3", "Danilo Verlim Chamarelli Marques")</f>
        <v/>
      </c>
      <c r="C1052" t="inlineStr">
        <is>
          <t>RJ1011880</t>
        </is>
      </c>
      <c r="D1052" t="inlineStr">
        <is>
          <t>ORT</t>
        </is>
      </c>
      <c r="E1052" t="inlineStr">
        <is>
          <t>Rua Major Félix Moreira, 359</t>
        </is>
      </c>
      <c r="F1052" t="inlineStr">
        <is>
          <t>Centro</t>
        </is>
      </c>
      <c r="G1052" t="inlineStr">
        <is>
          <t>Araruama</t>
        </is>
      </c>
      <c r="H1052" t="inlineStr">
        <is>
          <t>RJ</t>
        </is>
      </c>
      <c r="I1052" t="n">
        <v>5613</v>
      </c>
      <c r="J1052" t="inlineStr">
        <is>
          <t>CAT 5</t>
        </is>
      </c>
      <c r="K1052" t="inlineStr">
        <is>
          <t>N�o</t>
        </is>
      </c>
    </row>
    <row r="1053">
      <c r="A1053" s="1">
        <f>HYPERLINK("https://eurofarma-latam-crm.veevavault.com/#object/account__v/V4TZ000019154Y1", "Denise Sousa")</f>
        <v/>
      </c>
      <c r="B1053" s="1">
        <f>HYPERLINK("https://eurofarma-latam-crm.veevavault.com/#object/account__v/V4TZ000019154Y1", "Denise Rodrigues de Sousa")</f>
        <v/>
      </c>
      <c r="C1053" t="inlineStr">
        <is>
          <t>RJ0420944</t>
        </is>
      </c>
      <c r="D1053" t="inlineStr">
        <is>
          <t>PED</t>
        </is>
      </c>
      <c r="E1053" t="inlineStr">
        <is>
          <t>Rua Euclides Paulo da Silva, S/N</t>
        </is>
      </c>
      <c r="F1053" t="inlineStr">
        <is>
          <t>Inoã (Inoã)</t>
        </is>
      </c>
      <c r="G1053" t="inlineStr">
        <is>
          <t>Maricá</t>
        </is>
      </c>
      <c r="H1053" t="inlineStr">
        <is>
          <t>RJ</t>
        </is>
      </c>
      <c r="I1053" t="n">
        <v>5613</v>
      </c>
      <c r="J1053" t="inlineStr">
        <is>
          <t>CAT 5</t>
        </is>
      </c>
      <c r="K1053" t="inlineStr">
        <is>
          <t>N�o</t>
        </is>
      </c>
    </row>
    <row r="1054">
      <c r="A1054" s="1">
        <f>HYPERLINK("https://eurofarma-latam-crm.veevavault.com/#object/account__v/V4TZ025E8CRRIWJ", "Diego Rodrigues")</f>
        <v/>
      </c>
      <c r="B1054" s="1">
        <f>HYPERLINK("https://eurofarma-latam-crm.veevavault.com/#object/account__v/V4TZ025E8CRRIWJ", "Diego Pacheco Rodrigues")</f>
        <v/>
      </c>
      <c r="C1054" t="inlineStr">
        <is>
          <t>RJ1357344</t>
        </is>
      </c>
      <c r="D1054" t="inlineStr">
        <is>
          <t>CLG / PA</t>
        </is>
      </c>
      <c r="E1054" t="inlineStr">
        <is>
          <t>Rua Reverendo Armando Ferreira, S/N</t>
        </is>
      </c>
      <c r="F1054" t="inlineStr">
        <is>
          <t>Largo da Batalha</t>
        </is>
      </c>
      <c r="G1054" t="inlineStr">
        <is>
          <t>Niterói</t>
        </is>
      </c>
      <c r="H1054" t="inlineStr">
        <is>
          <t>RJ</t>
        </is>
      </c>
      <c r="I1054" t="n">
        <v>5613</v>
      </c>
      <c r="J1054" t="inlineStr">
        <is>
          <t>CAT 5</t>
        </is>
      </c>
      <c r="K1054" t="inlineStr">
        <is>
          <t>Sim</t>
        </is>
      </c>
    </row>
    <row r="1055">
      <c r="A1055" s="1">
        <f>HYPERLINK("https://eurofarma-latam-crm.veevavault.com/#object/account__v/V4TZ000018NZAJF", "Diego Sanches")</f>
        <v/>
      </c>
      <c r="B1055" s="1">
        <f>HYPERLINK("https://eurofarma-latam-crm.veevavault.com/#object/account__v/V4TZ000018NZAJF", "Diego Silvestre Sanches")</f>
        <v/>
      </c>
      <c r="C1055" t="inlineStr">
        <is>
          <t>RJ1244132,SP0246995</t>
        </is>
      </c>
      <c r="D1055" t="inlineStr">
        <is>
          <t>PSQ</t>
        </is>
      </c>
      <c r="E1055" t="inlineStr">
        <is>
          <t>Rua Luiz Leopoldo Fernandes Pinheiro, 521 Sala 909</t>
        </is>
      </c>
      <c r="F1055" t="inlineStr">
        <is>
          <t>Centro</t>
        </is>
      </c>
      <c r="G1055" t="inlineStr">
        <is>
          <t>Niterói</t>
        </is>
      </c>
      <c r="H1055" t="inlineStr">
        <is>
          <t>RJ</t>
        </is>
      </c>
      <c r="I1055" t="n">
        <v>5613</v>
      </c>
      <c r="J1055" t="inlineStr">
        <is>
          <t>CAT 4</t>
        </is>
      </c>
      <c r="K1055" t="inlineStr">
        <is>
          <t>Sim</t>
        </is>
      </c>
    </row>
    <row r="1056">
      <c r="A1056" s="1">
        <f>HYPERLINK("https://eurofarma-latam-crm.veevavault.com/#object/account__v/V4TZ00001915STG", "Dilson Drumond")</f>
        <v/>
      </c>
      <c r="B1056" s="1">
        <f>HYPERLINK("https://eurofarma-latam-crm.veevavault.com/#object/account__v/V4TZ00001915STG", "Dilson Malheiros Drumond")</f>
        <v/>
      </c>
      <c r="C1056" t="inlineStr">
        <is>
          <t>RJ0196747</t>
        </is>
      </c>
      <c r="D1056" t="inlineStr">
        <is>
          <t>CLG / END</t>
        </is>
      </c>
      <c r="E1056" t="inlineStr">
        <is>
          <t>Rua Gavião Peixoto, 340</t>
        </is>
      </c>
      <c r="F1056" t="inlineStr">
        <is>
          <t>Icaraí</t>
        </is>
      </c>
      <c r="G1056" t="inlineStr">
        <is>
          <t>Niterói</t>
        </is>
      </c>
      <c r="H1056" t="inlineStr">
        <is>
          <t>RJ</t>
        </is>
      </c>
      <c r="I1056" t="n">
        <v>5613</v>
      </c>
      <c r="J1056" t="inlineStr">
        <is>
          <t>CAT 2</t>
        </is>
      </c>
      <c r="K1056" t="inlineStr">
        <is>
          <t>Sim</t>
        </is>
      </c>
    </row>
    <row r="1057">
      <c r="A1057" s="1">
        <f>HYPERLINK("https://eurofarma-latam-crm.veevavault.com/#object/account__v/V4TZ00001916BQV", "Dinilza Genovez")</f>
        <v/>
      </c>
      <c r="B1057" s="1">
        <f>HYPERLINK("https://eurofarma-latam-crm.veevavault.com/#object/account__v/V4TZ00001916BQV", "Dinilza dos Santos Genovez")</f>
        <v/>
      </c>
      <c r="C1057" t="inlineStr">
        <is>
          <t>RJ1243470</t>
        </is>
      </c>
      <c r="D1057" t="inlineStr">
        <is>
          <t>NEU</t>
        </is>
      </c>
      <c r="E1057" t="inlineStr">
        <is>
          <t>Rua Clímaco Pereira, 375</t>
        </is>
      </c>
      <c r="F1057" t="inlineStr">
        <is>
          <t>Araçatiba</t>
        </is>
      </c>
      <c r="G1057" t="inlineStr">
        <is>
          <t>Maricá</t>
        </is>
      </c>
      <c r="H1057" t="inlineStr">
        <is>
          <t>RJ</t>
        </is>
      </c>
      <c r="I1057" t="n">
        <v>5613</v>
      </c>
      <c r="J1057" t="inlineStr">
        <is>
          <t>CAT 5</t>
        </is>
      </c>
      <c r="K1057" t="inlineStr">
        <is>
          <t>Sim</t>
        </is>
      </c>
    </row>
    <row r="1058">
      <c r="A1058" s="1">
        <f>HYPERLINK("https://eurofarma-latam-crm.veevavault.com/#object/account__v/V4TZ000018NYC69", "Diogo Buchaul")</f>
        <v/>
      </c>
      <c r="B1058" s="1">
        <f>HYPERLINK("https://eurofarma-latam-crm.veevavault.com/#object/account__v/V4TZ000018NYC69", "Diogo Abdalla Buchaul")</f>
        <v/>
      </c>
      <c r="C1058" t="inlineStr">
        <is>
          <t>RJ0741272</t>
        </is>
      </c>
      <c r="D1058" t="inlineStr">
        <is>
          <t>ORT</t>
        </is>
      </c>
      <c r="E1058" t="inlineStr">
        <is>
          <t>Avenida Vereador Francisco Sabino da Costa, 143 - A</t>
        </is>
      </c>
      <c r="F1058" t="inlineStr">
        <is>
          <t>Centro</t>
        </is>
      </c>
      <c r="G1058" t="inlineStr">
        <is>
          <t>Maricá</t>
        </is>
      </c>
      <c r="H1058" t="inlineStr">
        <is>
          <t>RJ</t>
        </is>
      </c>
      <c r="I1058" t="n">
        <v>5613</v>
      </c>
      <c r="J1058" t="inlineStr">
        <is>
          <t>CAT 2</t>
        </is>
      </c>
      <c r="K1058" t="inlineStr">
        <is>
          <t>Sim</t>
        </is>
      </c>
    </row>
    <row r="1059">
      <c r="A1059" s="1">
        <f>HYPERLINK("https://eurofarma-latam-crm.veevavault.com/#object/account__v/V4TZ000018NXJKZ", "Eduardo de Oliveira")</f>
        <v/>
      </c>
      <c r="B1059" s="1">
        <f>HYPERLINK("https://eurofarma-latam-crm.veevavault.com/#object/account__v/V4TZ000018NXJKZ", "Eduardo Neves de Oliveira")</f>
        <v/>
      </c>
      <c r="C1059" t="inlineStr">
        <is>
          <t>RJ0241138</t>
        </is>
      </c>
      <c r="D1059" t="inlineStr">
        <is>
          <t>GAS</t>
        </is>
      </c>
      <c r="E1059" t="inlineStr">
        <is>
          <t>Avenida Almirante Tamandaré, 521 - Loja 101</t>
        </is>
      </c>
      <c r="F1059" t="inlineStr">
        <is>
          <t>Piratininga</t>
        </is>
      </c>
      <c r="G1059" t="inlineStr">
        <is>
          <t>Niterói</t>
        </is>
      </c>
      <c r="H1059" t="inlineStr">
        <is>
          <t>RJ</t>
        </is>
      </c>
      <c r="I1059" t="n">
        <v>5613</v>
      </c>
      <c r="J1059" t="inlineStr">
        <is>
          <t>CAT 4</t>
        </is>
      </c>
      <c r="K1059" t="inlineStr">
        <is>
          <t>Sim</t>
        </is>
      </c>
    </row>
    <row r="1060">
      <c r="A1060" s="1">
        <f>HYPERLINK("https://eurofarma-latam-crm.veevavault.com/#object/account__v/V4TZ025E85FM76I", "Eduardo Nubile")</f>
        <v/>
      </c>
      <c r="B1060" s="1">
        <f>HYPERLINK("https://eurofarma-latam-crm.veevavault.com/#object/account__v/V4TZ025E85FM76I", "Eduardo Sant'anna Nubile")</f>
        <v/>
      </c>
      <c r="C1060" t="inlineStr">
        <is>
          <t>RJ1311050</t>
        </is>
      </c>
      <c r="D1060" t="inlineStr">
        <is>
          <t>CLG / PA</t>
        </is>
      </c>
      <c r="E1060" t="inlineStr">
        <is>
          <t>Rua Desembargador Ferreira Pinto, 721 - Parte</t>
        </is>
      </c>
      <c r="F1060" t="inlineStr">
        <is>
          <t>Centro</t>
        </is>
      </c>
      <c r="G1060" t="inlineStr">
        <is>
          <t>Itaboraí</t>
        </is>
      </c>
      <c r="H1060" t="inlineStr">
        <is>
          <t>RJ</t>
        </is>
      </c>
      <c r="I1060" t="n">
        <v>5613</v>
      </c>
      <c r="J1060" t="inlineStr">
        <is>
          <t>CAT 4</t>
        </is>
      </c>
      <c r="K1060" t="inlineStr">
        <is>
          <t>Sim</t>
        </is>
      </c>
    </row>
    <row r="1061">
      <c r="A1061" s="1">
        <f>HYPERLINK("https://eurofarma-latam-crm.veevavault.com/#object/account__v/V4TZ000018NY5SA", "Eliete de Siqueira")</f>
        <v/>
      </c>
      <c r="B1061" s="1">
        <f>HYPERLINK("https://eurofarma-latam-crm.veevavault.com/#object/account__v/V4TZ000018NY5SA", "Eliete Cordeiro de Siqueira")</f>
        <v/>
      </c>
      <c r="C1061" t="inlineStr">
        <is>
          <t>RJ0251935</t>
        </is>
      </c>
      <c r="D1061" t="inlineStr">
        <is>
          <t>PSQ</t>
        </is>
      </c>
      <c r="E1061" t="inlineStr">
        <is>
          <t>Alameda Pio XII, S/N</t>
        </is>
      </c>
      <c r="F1061" t="inlineStr">
        <is>
          <t>Centro</t>
        </is>
      </c>
      <c r="G1061" t="inlineStr">
        <is>
          <t>São Gonçalo</t>
        </is>
      </c>
      <c r="H1061" t="inlineStr">
        <is>
          <t>RJ</t>
        </is>
      </c>
      <c r="I1061" t="n">
        <v>5613</v>
      </c>
      <c r="J1061" t="inlineStr">
        <is>
          <t>CAT 3</t>
        </is>
      </c>
      <c r="K1061" t="inlineStr">
        <is>
          <t>Sim</t>
        </is>
      </c>
    </row>
    <row r="1062">
      <c r="A1062" s="1">
        <f>HYPERLINK("https://eurofarma-latam-crm.veevavault.com/#object/account__v/V4TZ025E8F2XN3Q", "Elisa Montovani")</f>
        <v/>
      </c>
      <c r="B1062" s="1">
        <f>HYPERLINK("https://eurofarma-latam-crm.veevavault.com/#object/account__v/V4TZ025E8F2XN3Q", "Elisa Hypólito Montovani")</f>
        <v/>
      </c>
      <c r="C1062" t="inlineStr">
        <is>
          <t>RJ1249185</t>
        </is>
      </c>
      <c r="D1062" t="inlineStr">
        <is>
          <t>CLG</t>
        </is>
      </c>
      <c r="E1062" t="inlineStr">
        <is>
          <t>Rua Rubem Risemberg, 46</t>
        </is>
      </c>
      <c r="F1062" t="inlineStr">
        <is>
          <t>Piratininga</t>
        </is>
      </c>
      <c r="G1062" t="inlineStr">
        <is>
          <t>Niterói</t>
        </is>
      </c>
      <c r="H1062" t="inlineStr">
        <is>
          <t>RJ</t>
        </is>
      </c>
      <c r="I1062" t="n">
        <v>5613</v>
      </c>
      <c r="J1062" t="inlineStr"/>
      <c r="K1062" t="inlineStr"/>
    </row>
    <row r="1063">
      <c r="A1063" s="1">
        <f>HYPERLINK("https://eurofarma-latam-crm.veevavault.com/#object/account__v/V4TZ00001914I8O", "Elisabeth de Freitas")</f>
        <v/>
      </c>
      <c r="B1063" s="1">
        <f>HYPERLINK("https://eurofarma-latam-crm.veevavault.com/#object/account__v/V4TZ00001914I8O", "Elisabeth Viggiano Neves de Freitas")</f>
        <v/>
      </c>
      <c r="C1063" t="inlineStr">
        <is>
          <t>RJ0316729</t>
        </is>
      </c>
      <c r="D1063" t="inlineStr">
        <is>
          <t>GAS</t>
        </is>
      </c>
      <c r="E1063" t="inlineStr">
        <is>
          <t>Estrada Francisco da Cruz Nunes, 6748 - Quadra 32 Lote 09</t>
        </is>
      </c>
      <c r="F1063" t="inlineStr">
        <is>
          <t>Piratininga</t>
        </is>
      </c>
      <c r="G1063" t="inlineStr">
        <is>
          <t>Niterói</t>
        </is>
      </c>
      <c r="H1063" t="inlineStr">
        <is>
          <t>RJ</t>
        </is>
      </c>
      <c r="I1063" t="n">
        <v>5613</v>
      </c>
      <c r="J1063" t="inlineStr"/>
      <c r="K1063" t="inlineStr"/>
    </row>
    <row r="1064">
      <c r="A1064" s="1">
        <f>HYPERLINK("https://eurofarma-latam-crm.veevavault.com/#object/account__v/V4TZ00001914V8F", "Elizabeth Gallo")</f>
        <v/>
      </c>
      <c r="B1064" s="1">
        <f>HYPERLINK("https://eurofarma-latam-crm.veevavault.com/#object/account__v/V4TZ00001914V8F", "Elizabeth Siqueira de Miranda Gallo")</f>
        <v/>
      </c>
      <c r="C1064" t="inlineStr">
        <is>
          <t>RJ0614063</t>
        </is>
      </c>
      <c r="D1064" t="inlineStr">
        <is>
          <t>ORT</t>
        </is>
      </c>
      <c r="E1064" t="inlineStr">
        <is>
          <t>Rua Doutor Nilo Peçanha, 232</t>
        </is>
      </c>
      <c r="F1064" t="inlineStr">
        <is>
          <t>Centro</t>
        </is>
      </c>
      <c r="G1064" t="inlineStr">
        <is>
          <t>São Gonçalo</t>
        </is>
      </c>
      <c r="H1064" t="inlineStr">
        <is>
          <t>RJ</t>
        </is>
      </c>
      <c r="I1064" t="n">
        <v>5613</v>
      </c>
      <c r="J1064" t="inlineStr">
        <is>
          <t>CAT 5</t>
        </is>
      </c>
      <c r="K1064" t="inlineStr">
        <is>
          <t>Sim</t>
        </is>
      </c>
    </row>
    <row r="1065">
      <c r="A1065" s="1">
        <f>HYPERLINK("https://eurofarma-latam-crm.veevavault.com/#object/account__v/V4TZ00001915S18", "Eloisa Almeida")</f>
        <v/>
      </c>
      <c r="B1065" s="1">
        <f>HYPERLINK("https://eurofarma-latam-crm.veevavault.com/#object/account__v/V4TZ00001915S18", "Eloisa Maria de Almeida")</f>
        <v/>
      </c>
      <c r="C1065" t="inlineStr">
        <is>
          <t>RJ0523630</t>
        </is>
      </c>
      <c r="D1065" t="inlineStr">
        <is>
          <t>GAS</t>
        </is>
      </c>
      <c r="E1065" t="inlineStr">
        <is>
          <t>Rua Reverendo Armando Ferreira, 30</t>
        </is>
      </c>
      <c r="F1065" t="inlineStr">
        <is>
          <t>Maceió</t>
        </is>
      </c>
      <c r="G1065" t="inlineStr">
        <is>
          <t>Niterói</t>
        </is>
      </c>
      <c r="H1065" t="inlineStr">
        <is>
          <t>RJ</t>
        </is>
      </c>
      <c r="I1065" t="n">
        <v>5613</v>
      </c>
      <c r="J1065" t="inlineStr">
        <is>
          <t>CAT 5</t>
        </is>
      </c>
      <c r="K1065" t="inlineStr">
        <is>
          <t>N�o</t>
        </is>
      </c>
    </row>
    <row r="1066">
      <c r="A1066" s="1">
        <f>HYPERLINK("https://eurofarma-latam-crm.veevavault.com/#object/account__v/V4TZ025E84K5YAU", "Elton Oliveira")</f>
        <v/>
      </c>
      <c r="B1066" s="1">
        <f>HYPERLINK("https://eurofarma-latam-crm.veevavault.com/#object/account__v/V4TZ025E84K5YAU", "Elton Aparicio de Oliveira")</f>
        <v/>
      </c>
      <c r="C1066" t="inlineStr">
        <is>
          <t>RJ3305738</t>
        </is>
      </c>
      <c r="D1066" t="inlineStr">
        <is>
          <t>CLG</t>
        </is>
      </c>
      <c r="E1066" t="inlineStr">
        <is>
          <t>Avenida Irene Lopes Sodré, S/N</t>
        </is>
      </c>
      <c r="F1066" t="inlineStr">
        <is>
          <t>Engenho do Mato</t>
        </is>
      </c>
      <c r="G1066" t="inlineStr">
        <is>
          <t>Niterói</t>
        </is>
      </c>
      <c r="H1066" t="inlineStr">
        <is>
          <t>RJ</t>
        </is>
      </c>
      <c r="I1066" t="n">
        <v>5613</v>
      </c>
      <c r="J1066" t="inlineStr">
        <is>
          <t>CAT 5</t>
        </is>
      </c>
      <c r="K1066" t="inlineStr">
        <is>
          <t>N�o</t>
        </is>
      </c>
    </row>
    <row r="1067">
      <c r="A1067" s="1">
        <f>HYPERLINK("https://eurofarma-latam-crm.veevavault.com/#object/account__v/V4TZ000018NXXCS", "Emanuel Martins Junior")</f>
        <v/>
      </c>
      <c r="B1067" s="1">
        <f>HYPERLINK("https://eurofarma-latam-crm.veevavault.com/#object/account__v/V4TZ000018NXXCS", "Emanuel Decnop Martins Junior")</f>
        <v/>
      </c>
      <c r="C1067" t="inlineStr">
        <is>
          <t>RJ0397870</t>
        </is>
      </c>
      <c r="D1067" t="inlineStr">
        <is>
          <t>CLG / END</t>
        </is>
      </c>
      <c r="E1067" t="inlineStr">
        <is>
          <t>Avenida Quintino Bocaiúva, 325 - Sala 415</t>
        </is>
      </c>
      <c r="F1067" t="inlineStr">
        <is>
          <t>São Francisco</t>
        </is>
      </c>
      <c r="G1067" t="inlineStr">
        <is>
          <t>Niterói</t>
        </is>
      </c>
      <c r="H1067" t="inlineStr">
        <is>
          <t>RJ</t>
        </is>
      </c>
      <c r="I1067" t="n">
        <v>5613</v>
      </c>
      <c r="J1067" t="inlineStr">
        <is>
          <t>CAT 5</t>
        </is>
      </c>
      <c r="K1067" t="inlineStr">
        <is>
          <t>Sim</t>
        </is>
      </c>
    </row>
    <row r="1068">
      <c r="A1068" s="1">
        <f>HYPERLINK("https://eurofarma-latam-crm.veevavault.com/#object/account__v/V4TZ025E86HP81P", "Emily Figueiredo")</f>
        <v/>
      </c>
      <c r="B1068" s="1">
        <f>HYPERLINK("https://eurofarma-latam-crm.veevavault.com/#object/account__v/V4TZ025E86HP81P", "Emily Nelson Figueiredo")</f>
        <v/>
      </c>
      <c r="C1068" t="inlineStr">
        <is>
          <t>RJ1319914</t>
        </is>
      </c>
      <c r="D1068" t="inlineStr">
        <is>
          <t>CLG / PA</t>
        </is>
      </c>
      <c r="E1068" t="inlineStr">
        <is>
          <t>Rua Sá Barreto, 107</t>
        </is>
      </c>
      <c r="F1068" t="inlineStr">
        <is>
          <t>Fonseca</t>
        </is>
      </c>
      <c r="G1068" t="inlineStr">
        <is>
          <t>Niterói</t>
        </is>
      </c>
      <c r="H1068" t="inlineStr">
        <is>
          <t>RJ</t>
        </is>
      </c>
      <c r="I1068" t="n">
        <v>5613</v>
      </c>
      <c r="J1068" t="inlineStr">
        <is>
          <t>CAT 4</t>
        </is>
      </c>
      <c r="K1068" t="inlineStr">
        <is>
          <t>Sim</t>
        </is>
      </c>
    </row>
    <row r="1069">
      <c r="A1069" s="1">
        <f>HYPERLINK("https://eurofarma-latam-crm.veevavault.com/#object/account__v/V4TZ025E85G2FZ9", "Emmanuelle Rosa Rodrigues")</f>
        <v/>
      </c>
      <c r="B1069" s="1">
        <f>HYPERLINK("https://eurofarma-latam-crm.veevavault.com/#object/account__v/V4TZ025E85G2FZ9", "Emmanuelle Rosa Rodrigues")</f>
        <v/>
      </c>
      <c r="C1069" t="inlineStr">
        <is>
          <t>RJ1316826</t>
        </is>
      </c>
      <c r="D1069" t="inlineStr">
        <is>
          <t>CLG / PA</t>
        </is>
      </c>
      <c r="E1069" t="inlineStr">
        <is>
          <t>Avenida Amaro Cavalcanti, 495</t>
        </is>
      </c>
      <c r="F1069" t="inlineStr">
        <is>
          <t>Méier</t>
        </is>
      </c>
      <c r="G1069" t="inlineStr">
        <is>
          <t>Rio de Janeiro</t>
        </is>
      </c>
      <c r="H1069" t="inlineStr">
        <is>
          <t>RJ</t>
        </is>
      </c>
      <c r="I1069" t="n">
        <v>5613</v>
      </c>
      <c r="J1069" t="inlineStr"/>
      <c r="K1069" t="inlineStr"/>
    </row>
    <row r="1070">
      <c r="A1070" s="1">
        <f>HYPERLINK("https://eurofarma-latam-crm.veevavault.com/#object/account__v/V4TZ025E83PL14I", "Erica de Almeida")</f>
        <v/>
      </c>
      <c r="B1070" s="1">
        <f>HYPERLINK("https://eurofarma-latam-crm.veevavault.com/#object/account__v/V4TZ025E83PL14I", "Erica de Almeida")</f>
        <v/>
      </c>
      <c r="C1070" t="inlineStr">
        <is>
          <t>RJ1283952</t>
        </is>
      </c>
      <c r="D1070" t="inlineStr">
        <is>
          <t>CLG / PA</t>
        </is>
      </c>
      <c r="E1070" t="inlineStr">
        <is>
          <t>Estrada do Pacheco, 216</t>
        </is>
      </c>
      <c r="F1070" t="inlineStr">
        <is>
          <t>Lagoinha</t>
        </is>
      </c>
      <c r="G1070" t="inlineStr">
        <is>
          <t>São Gonçalo</t>
        </is>
      </c>
      <c r="H1070" t="inlineStr">
        <is>
          <t>RJ</t>
        </is>
      </c>
      <c r="I1070" t="n">
        <v>5613</v>
      </c>
      <c r="J1070" t="inlineStr">
        <is>
          <t>CAT 4</t>
        </is>
      </c>
      <c r="K1070" t="inlineStr">
        <is>
          <t>Sim</t>
        </is>
      </c>
    </row>
    <row r="1071">
      <c r="A1071" s="1">
        <f>HYPERLINK("https://eurofarma-latam-crm.veevavault.com/#object/account__v/V4TZ000019139JT", "Erlane de Souza")</f>
        <v/>
      </c>
      <c r="B1071" s="1">
        <f>HYPERLINK("https://eurofarma-latam-crm.veevavault.com/#object/account__v/V4TZ000019139JT", "Erlane da Cunha Fernandes de Souza")</f>
        <v/>
      </c>
      <c r="C1071" t="inlineStr">
        <is>
          <t>RJ0841129</t>
        </is>
      </c>
      <c r="D1071" t="inlineStr">
        <is>
          <t>NEU</t>
        </is>
      </c>
      <c r="E1071" t="inlineStr">
        <is>
          <t>Rodovia Christino José da Silva Júnior, S/N - KM 4 RJ 168</t>
        </is>
      </c>
      <c r="F1071" t="inlineStr">
        <is>
          <t>Virgem Santa</t>
        </is>
      </c>
      <c r="G1071" t="inlineStr">
        <is>
          <t>Macaé</t>
        </is>
      </c>
      <c r="H1071" t="inlineStr">
        <is>
          <t>RJ</t>
        </is>
      </c>
      <c r="I1071" t="n">
        <v>5613</v>
      </c>
      <c r="J1071" t="inlineStr">
        <is>
          <t>CAT 2</t>
        </is>
      </c>
      <c r="K1071" t="inlineStr">
        <is>
          <t>Sim</t>
        </is>
      </c>
    </row>
    <row r="1072">
      <c r="A1072" s="1">
        <f>HYPERLINK("https://eurofarma-latam-crm.veevavault.com/#object/account__v/V4TZ00001916033", "Ernesto Ricardo Lugo")</f>
        <v/>
      </c>
      <c r="B1072" s="1">
        <f>HYPERLINK("https://eurofarma-latam-crm.veevavault.com/#object/account__v/V4TZ00001916033", "Ernesto Ricardo Baquero Lugo")</f>
        <v/>
      </c>
      <c r="C1072" t="inlineStr">
        <is>
          <t>RJ0141433</t>
        </is>
      </c>
      <c r="D1072" t="inlineStr">
        <is>
          <t>GAS</t>
        </is>
      </c>
      <c r="E1072" t="inlineStr">
        <is>
          <t>Avenida Roberto Silveira, 591</t>
        </is>
      </c>
      <c r="F1072" t="inlineStr">
        <is>
          <t>Centro</t>
        </is>
      </c>
      <c r="G1072" t="inlineStr">
        <is>
          <t>Maricá</t>
        </is>
      </c>
      <c r="H1072" t="inlineStr">
        <is>
          <t>RJ</t>
        </is>
      </c>
      <c r="I1072" t="n">
        <v>5613</v>
      </c>
      <c r="J1072" t="inlineStr">
        <is>
          <t>CAT 1</t>
        </is>
      </c>
      <c r="K1072" t="inlineStr">
        <is>
          <t>Sim</t>
        </is>
      </c>
    </row>
    <row r="1073">
      <c r="A1073" s="1">
        <f>HYPERLINK("https://eurofarma-latam-crm.veevavault.com/#object/account__v/V4T00000000B083", "Esther Lima")</f>
        <v/>
      </c>
      <c r="B1073" s="1">
        <f>HYPERLINK("https://eurofarma-latam-crm.veevavault.com/#object/account__v/V4T00000000B083", "Esther Rocha de Miranda Lima")</f>
        <v/>
      </c>
      <c r="C1073" t="inlineStr">
        <is>
          <t>RJ1360434</t>
        </is>
      </c>
      <c r="D1073" t="inlineStr">
        <is>
          <t>END</t>
        </is>
      </c>
      <c r="E1073" t="inlineStr">
        <is>
          <t>Avenida Presidente Kennedy, 985</t>
        </is>
      </c>
      <c r="F1073" t="inlineStr">
        <is>
          <t>São Miguel</t>
        </is>
      </c>
      <c r="G1073" t="inlineStr">
        <is>
          <t>São Gonçalo</t>
        </is>
      </c>
      <c r="H1073" t="inlineStr">
        <is>
          <t>RJ</t>
        </is>
      </c>
      <c r="I1073" t="n">
        <v>5613</v>
      </c>
      <c r="J1073" t="inlineStr"/>
      <c r="K1073" t="inlineStr"/>
    </row>
    <row r="1074">
      <c r="A1074" s="1">
        <f>HYPERLINK("https://eurofarma-latam-crm.veevavault.com/#object/account__v/V4TZ000018NZ5XG", "Fabiano Ferreira")</f>
        <v/>
      </c>
      <c r="B1074" s="1">
        <f>HYPERLINK("https://eurofarma-latam-crm.veevavault.com/#object/account__v/V4TZ000018NZ5XG", "Fabiano Marins Ferreira")</f>
        <v/>
      </c>
      <c r="C1074" t="inlineStr">
        <is>
          <t>RJ0688240</t>
        </is>
      </c>
      <c r="D1074" t="inlineStr">
        <is>
          <t>CLG / END</t>
        </is>
      </c>
      <c r="E1074" t="inlineStr">
        <is>
          <t>Rua Ary Spíndola, S/N</t>
        </is>
      </c>
      <c r="F1074" t="inlineStr">
        <is>
          <t>Centro</t>
        </is>
      </c>
      <c r="G1074" t="inlineStr">
        <is>
          <t>Maricá</t>
        </is>
      </c>
      <c r="H1074" t="inlineStr">
        <is>
          <t>RJ</t>
        </is>
      </c>
      <c r="I1074" t="n">
        <v>5613</v>
      </c>
      <c r="J1074" t="inlineStr">
        <is>
          <t>CAT 2</t>
        </is>
      </c>
      <c r="K1074" t="inlineStr">
        <is>
          <t>Sim</t>
        </is>
      </c>
    </row>
    <row r="1075">
      <c r="A1075" s="1">
        <f>HYPERLINK("https://eurofarma-latam-crm.veevavault.com/#object/account__v/V4TZ00001915R5U", "Fabio Baquero")</f>
        <v/>
      </c>
      <c r="B1075" s="1">
        <f>HYPERLINK("https://eurofarma-latam-crm.veevavault.com/#object/account__v/V4TZ00001915R5U", "Fabio Alvarenga Baquero")</f>
        <v/>
      </c>
      <c r="C1075" t="inlineStr">
        <is>
          <t>RJ0980269</t>
        </is>
      </c>
      <c r="D1075" t="inlineStr">
        <is>
          <t>CLG / PA</t>
        </is>
      </c>
      <c r="E1075" t="inlineStr">
        <is>
          <t>Rua Presidente Castelo Branco, 170</t>
        </is>
      </c>
      <c r="F1075" t="inlineStr">
        <is>
          <t>Centro</t>
        </is>
      </c>
      <c r="G1075" t="inlineStr">
        <is>
          <t>Itaboraí</t>
        </is>
      </c>
      <c r="H1075" t="inlineStr">
        <is>
          <t>RJ</t>
        </is>
      </c>
      <c r="I1075" t="n">
        <v>5613</v>
      </c>
      <c r="J1075" t="inlineStr">
        <is>
          <t>CAT 5</t>
        </is>
      </c>
      <c r="K1075" t="inlineStr">
        <is>
          <t>Sim</t>
        </is>
      </c>
    </row>
    <row r="1076">
      <c r="A1076" s="1">
        <f>HYPERLINK("https://eurofarma-latam-crm.veevavault.com/#object/account__v/V4TZ000018NXP6C", "Fabio de Faria")</f>
        <v/>
      </c>
      <c r="B1076" s="1">
        <f>HYPERLINK("https://eurofarma-latam-crm.veevavault.com/#object/account__v/V4TZ000018NXP6C", "Fabio Nahoum Pache de Faria")</f>
        <v/>
      </c>
      <c r="C1076" t="inlineStr">
        <is>
          <t>RJ0637440</t>
        </is>
      </c>
      <c r="D1076" t="inlineStr">
        <is>
          <t>ORL</t>
        </is>
      </c>
      <c r="E1076" t="inlineStr">
        <is>
          <t>Rua Exp Luiz Manoel Ferreira, 5</t>
        </is>
      </c>
      <c r="F1076" t="inlineStr">
        <is>
          <t>Centro</t>
        </is>
      </c>
      <c r="G1076" t="inlineStr">
        <is>
          <t>Maricá</t>
        </is>
      </c>
      <c r="H1076" t="inlineStr">
        <is>
          <t>RJ</t>
        </is>
      </c>
      <c r="I1076" t="n">
        <v>5613</v>
      </c>
      <c r="J1076" t="inlineStr">
        <is>
          <t>CAT 4</t>
        </is>
      </c>
      <c r="K1076" t="inlineStr">
        <is>
          <t>Sim</t>
        </is>
      </c>
    </row>
    <row r="1077">
      <c r="A1077" s="1">
        <f>HYPERLINK("https://eurofarma-latam-crm.veevavault.com/#object/account__v/V4TZ00001916A20", "Fatima Loureiro")</f>
        <v/>
      </c>
      <c r="B1077" s="1">
        <f>HYPERLINK("https://eurofarma-latam-crm.veevavault.com/#object/account__v/V4TZ00001916A20", "Fatima do Carmo Fernandes Loureiro")</f>
        <v/>
      </c>
      <c r="C1077" t="inlineStr">
        <is>
          <t>RJ0440438</t>
        </is>
      </c>
      <c r="D1077" t="inlineStr">
        <is>
          <t>CLG / PA</t>
        </is>
      </c>
      <c r="E1077" t="inlineStr">
        <is>
          <t>Rua Visconde de Niterói, 1450</t>
        </is>
      </c>
      <c r="F1077" t="inlineStr">
        <is>
          <t>Mangueira</t>
        </is>
      </c>
      <c r="G1077" t="inlineStr">
        <is>
          <t>Rio de Janeiro</t>
        </is>
      </c>
      <c r="H1077" t="inlineStr">
        <is>
          <t>RJ</t>
        </is>
      </c>
      <c r="I1077" t="n">
        <v>5613</v>
      </c>
      <c r="J1077" t="inlineStr">
        <is>
          <t>CAT 5</t>
        </is>
      </c>
      <c r="K1077" t="inlineStr">
        <is>
          <t>N�o</t>
        </is>
      </c>
    </row>
    <row r="1078">
      <c r="A1078" s="1">
        <f>HYPERLINK("https://eurofarma-latam-crm.veevavault.com/#object/account__v/V4TZ00001914DVG", "Felipe Cabral")</f>
        <v/>
      </c>
      <c r="B1078" s="1">
        <f>HYPERLINK("https://eurofarma-latam-crm.veevavault.com/#object/account__v/V4TZ00001914DVG", "Felipe Campos da Costa Rabello Cabral")</f>
        <v/>
      </c>
      <c r="C1078" t="inlineStr">
        <is>
          <t>RJ0772658</t>
        </is>
      </c>
      <c r="D1078" t="inlineStr">
        <is>
          <t>ORT</t>
        </is>
      </c>
      <c r="E1078" t="inlineStr">
        <is>
          <t>Estrada Francisco da Cruz Nunes, 6748</t>
        </is>
      </c>
      <c r="F1078" t="inlineStr">
        <is>
          <t>Itaipu</t>
        </is>
      </c>
      <c r="G1078" t="inlineStr">
        <is>
          <t>Niterói</t>
        </is>
      </c>
      <c r="H1078" t="inlineStr">
        <is>
          <t>RJ</t>
        </is>
      </c>
      <c r="I1078" t="n">
        <v>5613</v>
      </c>
      <c r="J1078" t="inlineStr">
        <is>
          <t>CAT 1</t>
        </is>
      </c>
      <c r="K1078" t="inlineStr">
        <is>
          <t>Sim</t>
        </is>
      </c>
    </row>
    <row r="1079">
      <c r="A1079" s="1">
        <f>HYPERLINK("https://eurofarma-latam-crm.veevavault.com/#object/account__v/V4TZ025E8BH9PQ9", "Felipe Silva")</f>
        <v/>
      </c>
      <c r="B1079" s="1">
        <f>HYPERLINK("https://eurofarma-latam-crm.veevavault.com/#object/account__v/V4TZ025E8BH9PQ9", "Felipe Ramon Menezes Da Silva")</f>
        <v/>
      </c>
      <c r="C1079" t="inlineStr">
        <is>
          <t>RJ1366221</t>
        </is>
      </c>
      <c r="D1079" t="inlineStr">
        <is>
          <t>CLG / END</t>
        </is>
      </c>
      <c r="E1079" t="inlineStr">
        <is>
          <t>Estrada Francisco da Cruz Nunes, S/N</t>
        </is>
      </c>
      <c r="F1079" t="inlineStr">
        <is>
          <t>Piratininga</t>
        </is>
      </c>
      <c r="G1079" t="inlineStr">
        <is>
          <t>Niterói</t>
        </is>
      </c>
      <c r="H1079" t="inlineStr">
        <is>
          <t>RJ</t>
        </is>
      </c>
      <c r="I1079" t="n">
        <v>5613</v>
      </c>
      <c r="J1079" t="inlineStr">
        <is>
          <t>CAT 5</t>
        </is>
      </c>
      <c r="K1079" t="inlineStr">
        <is>
          <t>N�o</t>
        </is>
      </c>
    </row>
    <row r="1080">
      <c r="A1080" s="1">
        <f>HYPERLINK("https://eurofarma-latam-crm.veevavault.com/#object/account__v/V4TZ00001914PO5", "Fernanda Vila Nova")</f>
        <v/>
      </c>
      <c r="B1080" s="1">
        <f>HYPERLINK("https://eurofarma-latam-crm.veevavault.com/#object/account__v/V4TZ00001914PO5", "Fernanda Ferreira da Silva Vila Nova")</f>
        <v/>
      </c>
      <c r="C1080" t="inlineStr">
        <is>
          <t>RJ0882089</t>
        </is>
      </c>
      <c r="D1080" t="inlineStr">
        <is>
          <t>CLG / END</t>
        </is>
      </c>
      <c r="E1080" t="inlineStr">
        <is>
          <t>Rua Bulhões de Carvalho, 412 - Apt 1.002</t>
        </is>
      </c>
      <c r="F1080" t="inlineStr">
        <is>
          <t>Copacabana</t>
        </is>
      </c>
      <c r="G1080" t="inlineStr">
        <is>
          <t>Rio de Janeiro</t>
        </is>
      </c>
      <c r="H1080" t="inlineStr">
        <is>
          <t>RJ</t>
        </is>
      </c>
      <c r="I1080" t="n">
        <v>5613</v>
      </c>
      <c r="J1080" t="inlineStr">
        <is>
          <t>CAT 3</t>
        </is>
      </c>
      <c r="K1080" t="inlineStr">
        <is>
          <t>Sim</t>
        </is>
      </c>
    </row>
    <row r="1081">
      <c r="A1081" s="1">
        <f>HYPERLINK("https://eurofarma-latam-crm.veevavault.com/#object/account__v/V4TZ00001914XO4", "Fernando Campos")</f>
        <v/>
      </c>
      <c r="B1081" s="1">
        <f>HYPERLINK("https://eurofarma-latam-crm.veevavault.com/#object/account__v/V4TZ00001914XO4", "Fernando Lamego de Souza Campos")</f>
        <v/>
      </c>
      <c r="C1081" t="inlineStr">
        <is>
          <t>RJ0730858</t>
        </is>
      </c>
      <c r="D1081" t="inlineStr">
        <is>
          <t>CLG / PA</t>
        </is>
      </c>
      <c r="E1081" t="inlineStr">
        <is>
          <t>Rua Manoel de Abreu, 9 - Parte</t>
        </is>
      </c>
      <c r="F1081" t="inlineStr">
        <is>
          <t>Centro</t>
        </is>
      </c>
      <c r="G1081" t="inlineStr">
        <is>
          <t>Niterói</t>
        </is>
      </c>
      <c r="H1081" t="inlineStr">
        <is>
          <t>RJ</t>
        </is>
      </c>
      <c r="I1081" t="n">
        <v>5613</v>
      </c>
      <c r="J1081" t="inlineStr"/>
      <c r="K1081" t="inlineStr"/>
    </row>
    <row r="1082">
      <c r="A1082" s="1">
        <f>HYPERLINK("https://eurofarma-latam-crm.veevavault.com/#object/account__v/V4TZ00001915T1D", "Fernando de Oliveira Filho")</f>
        <v/>
      </c>
      <c r="B1082" s="1">
        <f>HYPERLINK("https://eurofarma-latam-crm.veevavault.com/#object/account__v/V4TZ00001915T1D", "Fernando Figueiredo de Oliveira Filho")</f>
        <v/>
      </c>
      <c r="C1082" t="inlineStr">
        <is>
          <t>RJ0635880</t>
        </is>
      </c>
      <c r="D1082" t="inlineStr">
        <is>
          <t>CLG / END</t>
        </is>
      </c>
      <c r="E1082" t="inlineStr">
        <is>
          <t>Rua Expedicionário Luiz Manoel Ferreira, 05</t>
        </is>
      </c>
      <c r="F1082" t="inlineStr">
        <is>
          <t>Centro</t>
        </is>
      </c>
      <c r="G1082" t="inlineStr">
        <is>
          <t>Maricá</t>
        </is>
      </c>
      <c r="H1082" t="inlineStr">
        <is>
          <t>RJ</t>
        </is>
      </c>
      <c r="I1082" t="n">
        <v>5613</v>
      </c>
      <c r="J1082" t="inlineStr">
        <is>
          <t>CAT 4</t>
        </is>
      </c>
      <c r="K1082" t="inlineStr">
        <is>
          <t>Sim</t>
        </is>
      </c>
    </row>
    <row r="1083">
      <c r="A1083" s="1">
        <f>HYPERLINK("https://eurofarma-latam-crm.veevavault.com/#object/account__v/V4TZ000019164TS", "Fernando Klaes")</f>
        <v/>
      </c>
      <c r="B1083" s="1">
        <f>HYPERLINK("https://eurofarma-latam-crm.veevavault.com/#object/account__v/V4TZ000019164TS", "Fernando Antonio Klaes")</f>
        <v/>
      </c>
      <c r="C1083" t="inlineStr">
        <is>
          <t>RJ0401585</t>
        </is>
      </c>
      <c r="D1083" t="inlineStr">
        <is>
          <t>ORT</t>
        </is>
      </c>
      <c r="E1083" t="inlineStr">
        <is>
          <t>Rua das Acácias, 948</t>
        </is>
      </c>
      <c r="F1083" t="inlineStr">
        <is>
          <t>Centro</t>
        </is>
      </c>
      <c r="G1083" t="inlineStr">
        <is>
          <t>Maricá</t>
        </is>
      </c>
      <c r="H1083" t="inlineStr">
        <is>
          <t>RJ</t>
        </is>
      </c>
      <c r="I1083" t="n">
        <v>5613</v>
      </c>
      <c r="J1083" t="inlineStr">
        <is>
          <t>CAT 5</t>
        </is>
      </c>
      <c r="K1083" t="inlineStr">
        <is>
          <t>Sim</t>
        </is>
      </c>
    </row>
    <row r="1084">
      <c r="A1084" s="1">
        <f>HYPERLINK("https://eurofarma-latam-crm.veevavault.com/#object/account__v/V4TZ000018NZ1DY", "Flávia Dias")</f>
        <v/>
      </c>
      <c r="B1084" s="1">
        <f>HYPERLINK("https://eurofarma-latam-crm.veevavault.com/#object/account__v/V4TZ000018NZ1DY", "Flávia Vieira Dias")</f>
        <v/>
      </c>
      <c r="C1084" t="inlineStr">
        <is>
          <t>RJ0974145</t>
        </is>
      </c>
      <c r="D1084" t="inlineStr">
        <is>
          <t>ORL</t>
        </is>
      </c>
      <c r="E1084" t="inlineStr">
        <is>
          <t>Rua Doutor Alfredo Backer, 191 - Sobreloja</t>
        </is>
      </c>
      <c r="F1084" t="inlineStr">
        <is>
          <t>Mutondo</t>
        </is>
      </c>
      <c r="G1084" t="inlineStr">
        <is>
          <t>São Gonçalo</t>
        </is>
      </c>
      <c r="H1084" t="inlineStr">
        <is>
          <t>RJ</t>
        </is>
      </c>
      <c r="I1084" t="n">
        <v>5613</v>
      </c>
      <c r="J1084" t="inlineStr">
        <is>
          <t>CAT 4</t>
        </is>
      </c>
      <c r="K1084" t="inlineStr">
        <is>
          <t>Sim</t>
        </is>
      </c>
    </row>
    <row r="1085">
      <c r="A1085" s="1">
        <f>HYPERLINK("https://eurofarma-latam-crm.veevavault.com/#object/account__v/V4TZ000018NXVOI", "Flavia Perroni")</f>
        <v/>
      </c>
      <c r="B1085" s="1">
        <f>HYPERLINK("https://eurofarma-latam-crm.veevavault.com/#object/account__v/V4TZ000018NXVOI", "Flavia Teixeira Perroni")</f>
        <v/>
      </c>
      <c r="C1085" t="inlineStr">
        <is>
          <t>RJ0579754</t>
        </is>
      </c>
      <c r="D1085" t="inlineStr">
        <is>
          <t>ORL</t>
        </is>
      </c>
      <c r="E1085" t="inlineStr">
        <is>
          <t>Estrada Francisco da Cruz Nunes, 6501 - Sala 306</t>
        </is>
      </c>
      <c r="F1085" t="inlineStr">
        <is>
          <t>Piratininga</t>
        </is>
      </c>
      <c r="G1085" t="inlineStr">
        <is>
          <t>Niterói</t>
        </is>
      </c>
      <c r="H1085" t="inlineStr">
        <is>
          <t>RJ</t>
        </is>
      </c>
      <c r="I1085" t="n">
        <v>5613</v>
      </c>
      <c r="J1085" t="inlineStr">
        <is>
          <t>CAT 5</t>
        </is>
      </c>
      <c r="K1085" t="inlineStr">
        <is>
          <t>N�o</t>
        </is>
      </c>
    </row>
    <row r="1086">
      <c r="A1086" s="1">
        <f>HYPERLINK("https://eurofarma-latam-crm.veevavault.com/#object/account__v/V4TZ00001915N5L", "Flavia Souza")</f>
        <v/>
      </c>
      <c r="B1086" s="1">
        <f>HYPERLINK("https://eurofarma-latam-crm.veevavault.com/#object/account__v/V4TZ00001915N5L", "Flavia Carolina Marques de Azevedo Souza")</f>
        <v/>
      </c>
      <c r="C1086" t="inlineStr">
        <is>
          <t>RJ0457806</t>
        </is>
      </c>
      <c r="D1086" t="inlineStr">
        <is>
          <t>CLG</t>
        </is>
      </c>
      <c r="E1086" t="inlineStr">
        <is>
          <t>Rua Doutor Milton de Souza Pacheco, 6</t>
        </is>
      </c>
      <c r="F1086" t="inlineStr">
        <is>
          <t>Centro</t>
        </is>
      </c>
      <c r="G1086" t="inlineStr">
        <is>
          <t>Maricá</t>
        </is>
      </c>
      <c r="H1086" t="inlineStr">
        <is>
          <t>RJ</t>
        </is>
      </c>
      <c r="I1086" t="n">
        <v>5613</v>
      </c>
      <c r="J1086" t="inlineStr">
        <is>
          <t>CAT 5</t>
        </is>
      </c>
      <c r="K1086" t="inlineStr">
        <is>
          <t>N�o</t>
        </is>
      </c>
    </row>
    <row r="1087">
      <c r="A1087" s="1">
        <f>HYPERLINK("https://eurofarma-latam-crm.veevavault.com/#object/account__v/V4TZ00001916HNG", "Flávia Souza")</f>
        <v/>
      </c>
      <c r="B1087" s="1">
        <f>HYPERLINK("https://eurofarma-latam-crm.veevavault.com/#object/account__v/V4TZ00001916HNG", "Flávia de Rezende de Souza")</f>
        <v/>
      </c>
      <c r="C1087" t="inlineStr">
        <is>
          <t>RJ1146343</t>
        </is>
      </c>
      <c r="D1087" t="inlineStr">
        <is>
          <t>CLG / PA</t>
        </is>
      </c>
      <c r="E1087" t="inlineStr">
        <is>
          <t>Praça dos Expedicionários, 25</t>
        </is>
      </c>
      <c r="F1087" t="inlineStr">
        <is>
          <t>Centro</t>
        </is>
      </c>
      <c r="G1087" t="inlineStr">
        <is>
          <t>Niterói</t>
        </is>
      </c>
      <c r="H1087" t="inlineStr">
        <is>
          <t>RJ</t>
        </is>
      </c>
      <c r="I1087" t="n">
        <v>5613</v>
      </c>
      <c r="J1087" t="inlineStr">
        <is>
          <t>CAT 5</t>
        </is>
      </c>
      <c r="K1087" t="inlineStr">
        <is>
          <t>N�o</t>
        </is>
      </c>
    </row>
    <row r="1088">
      <c r="A1088" s="1">
        <f>HYPERLINK("https://eurofarma-latam-crm.veevavault.com/#object/account__v/V4TZ000018NXVN1", "Frederico de Morais")</f>
        <v/>
      </c>
      <c r="B1088" s="1">
        <f>HYPERLINK("https://eurofarma-latam-crm.veevavault.com/#object/account__v/V4TZ000018NXVN1", "Frederico Guimarães Klappoth de Morais")</f>
        <v/>
      </c>
      <c r="C1088" t="inlineStr">
        <is>
          <t>RJ0665541</t>
        </is>
      </c>
      <c r="D1088" t="inlineStr">
        <is>
          <t>CLG / PA</t>
        </is>
      </c>
      <c r="E1088" t="inlineStr">
        <is>
          <t>Praça Dolomitas, S/N</t>
        </is>
      </c>
      <c r="F1088" t="inlineStr">
        <is>
          <t>Bangu</t>
        </is>
      </c>
      <c r="G1088" t="inlineStr">
        <is>
          <t>Rio de Janeiro</t>
        </is>
      </c>
      <c r="H1088" t="inlineStr">
        <is>
          <t>RJ</t>
        </is>
      </c>
      <c r="I1088" t="n">
        <v>5613</v>
      </c>
      <c r="J1088" t="inlineStr">
        <is>
          <t>CAT 5</t>
        </is>
      </c>
      <c r="K1088" t="inlineStr">
        <is>
          <t>Sim</t>
        </is>
      </c>
    </row>
    <row r="1089">
      <c r="A1089" s="1">
        <f>HYPERLINK("https://eurofarma-latam-crm.veevavault.com/#object/account__v/V4TZ00001915GCO", "Frederico Henriques Duare")</f>
        <v/>
      </c>
      <c r="B1089" s="1">
        <f>HYPERLINK("https://eurofarma-latam-crm.veevavault.com/#object/account__v/V4TZ00001915GCO", "Frederico Henriques Botelho Duare")</f>
        <v/>
      </c>
      <c r="C1089" t="inlineStr">
        <is>
          <t>RJ0761290</t>
        </is>
      </c>
      <c r="D1089" t="inlineStr">
        <is>
          <t>CLG / PA</t>
        </is>
      </c>
      <c r="E1089" t="inlineStr">
        <is>
          <t>Avenida Doutor Eugênio Borges, 882</t>
        </is>
      </c>
      <c r="F1089" t="inlineStr">
        <is>
          <t>Rio do Ouro</t>
        </is>
      </c>
      <c r="G1089" t="inlineStr">
        <is>
          <t>São Gonçalo</t>
        </is>
      </c>
      <c r="H1089" t="inlineStr">
        <is>
          <t>RJ</t>
        </is>
      </c>
      <c r="I1089" t="n">
        <v>5613</v>
      </c>
      <c r="J1089" t="inlineStr">
        <is>
          <t>CAT 5</t>
        </is>
      </c>
      <c r="K1089" t="inlineStr">
        <is>
          <t>Sim</t>
        </is>
      </c>
    </row>
    <row r="1090">
      <c r="A1090" s="1">
        <f>HYPERLINK("https://eurofarma-latam-crm.veevavault.com/#object/account__v/V4TZ00001914AVT", "Gabriel da Cruz")</f>
        <v/>
      </c>
      <c r="B1090" s="1">
        <f>HYPERLINK("https://eurofarma-latam-crm.veevavault.com/#object/account__v/V4TZ00001914AVT", "Gabriel Farias da Cruz")</f>
        <v/>
      </c>
      <c r="C1090" t="inlineStr">
        <is>
          <t>RJ0918482</t>
        </is>
      </c>
      <c r="D1090" t="inlineStr">
        <is>
          <t>PSQ</t>
        </is>
      </c>
      <c r="E1090" t="inlineStr">
        <is>
          <t>Avenida das Américas, 4200, 4200 - Bl 01 Sala 305</t>
        </is>
      </c>
      <c r="F1090" t="inlineStr">
        <is>
          <t>Barra da Tijuca</t>
        </is>
      </c>
      <c r="G1090" t="inlineStr">
        <is>
          <t>Rio de Janeiro</t>
        </is>
      </c>
      <c r="H1090" t="inlineStr">
        <is>
          <t>RJ</t>
        </is>
      </c>
      <c r="I1090" t="n">
        <v>5613</v>
      </c>
      <c r="J1090" t="inlineStr">
        <is>
          <t>CAT 3</t>
        </is>
      </c>
      <c r="K1090" t="inlineStr">
        <is>
          <t>Sim</t>
        </is>
      </c>
    </row>
    <row r="1091">
      <c r="A1091" s="1">
        <f>HYPERLINK("https://eurofarma-latam-crm.veevavault.com/#object/account__v/V4TZ00001915KDE", "Gabriela de Menezes")</f>
        <v/>
      </c>
      <c r="B1091" s="1">
        <f>HYPERLINK("https://eurofarma-latam-crm.veevavault.com/#object/account__v/V4TZ00001915KDE", "Gabriela Martins Bezerra de Menezes")</f>
        <v/>
      </c>
      <c r="C1091" t="inlineStr">
        <is>
          <t>RJ0654396</t>
        </is>
      </c>
      <c r="D1091" t="inlineStr">
        <is>
          <t>PSQ</t>
        </is>
      </c>
      <c r="E1091" t="inlineStr">
        <is>
          <t>Rua Marechal Raul de Albuquerque, 2 - Sala 705</t>
        </is>
      </c>
      <c r="F1091" t="inlineStr">
        <is>
          <t>Charitas</t>
        </is>
      </c>
      <c r="G1091" t="inlineStr">
        <is>
          <t>Niterói</t>
        </is>
      </c>
      <c r="H1091" t="inlineStr">
        <is>
          <t>RJ</t>
        </is>
      </c>
      <c r="I1091" t="n">
        <v>5613</v>
      </c>
      <c r="J1091" t="inlineStr">
        <is>
          <t>CAT 2</t>
        </is>
      </c>
      <c r="K1091" t="inlineStr">
        <is>
          <t>Sim</t>
        </is>
      </c>
    </row>
    <row r="1092">
      <c r="A1092" s="1">
        <f>HYPERLINK("https://eurofarma-latam-crm.veevavault.com/#object/account__v/V4TZ0000191MFGY", "Gabriella Silva")</f>
        <v/>
      </c>
      <c r="B1092" s="1">
        <f>HYPERLINK("https://eurofarma-latam-crm.veevavault.com/#object/account__v/V4TZ0000191MFGY", "Gabriella Machado Silva")</f>
        <v/>
      </c>
      <c r="C1092" t="inlineStr">
        <is>
          <t>RJ1261843</t>
        </is>
      </c>
      <c r="D1092" t="inlineStr">
        <is>
          <t>PED</t>
        </is>
      </c>
      <c r="E1092" t="inlineStr">
        <is>
          <t>Rua Doutor Nilo Peçanha, 442 - Parte</t>
        </is>
      </c>
      <c r="F1092" t="inlineStr">
        <is>
          <t>Estrela do Norte</t>
        </is>
      </c>
      <c r="G1092" t="inlineStr">
        <is>
          <t>São Gonçalo</t>
        </is>
      </c>
      <c r="H1092" t="inlineStr">
        <is>
          <t>RJ</t>
        </is>
      </c>
      <c r="I1092" t="n">
        <v>5613</v>
      </c>
      <c r="J1092" t="inlineStr">
        <is>
          <t>CAT 5</t>
        </is>
      </c>
      <c r="K1092" t="inlineStr">
        <is>
          <t>Sim</t>
        </is>
      </c>
    </row>
    <row r="1093">
      <c r="A1093" s="1">
        <f>HYPERLINK("https://eurofarma-latam-crm.veevavault.com/#object/account__v/V4TZ000019168T7", "Gesiane Louredo")</f>
        <v/>
      </c>
      <c r="B1093" s="1">
        <f>HYPERLINK("https://eurofarma-latam-crm.veevavault.com/#object/account__v/V4TZ000019168T7", "Gesiane da Silva Louredo")</f>
        <v/>
      </c>
      <c r="C1093" t="inlineStr">
        <is>
          <t>RJ1211790</t>
        </is>
      </c>
      <c r="D1093" t="inlineStr">
        <is>
          <t>ORL</t>
        </is>
      </c>
      <c r="E1093" t="inlineStr">
        <is>
          <t>Avenida das Américas, 17150 - Bloco 001 lojas J K L M</t>
        </is>
      </c>
      <c r="F1093" t="inlineStr">
        <is>
          <t>Recreio dos Bandeirantes</t>
        </is>
      </c>
      <c r="G1093" t="inlineStr">
        <is>
          <t>Rio de Janeiro</t>
        </is>
      </c>
      <c r="H1093" t="inlineStr">
        <is>
          <t>RJ</t>
        </is>
      </c>
      <c r="I1093" t="n">
        <v>5613</v>
      </c>
      <c r="J1093" t="inlineStr">
        <is>
          <t>CAT 3</t>
        </is>
      </c>
      <c r="K1093" t="inlineStr">
        <is>
          <t>Sim</t>
        </is>
      </c>
    </row>
    <row r="1094">
      <c r="A1094" s="1">
        <f>HYPERLINK("https://eurofarma-latam-crm.veevavault.com/#object/account__v/V4TZ025E8CAAACV", "Giovana Castro")</f>
        <v/>
      </c>
      <c r="B1094" s="1">
        <f>HYPERLINK("https://eurofarma-latam-crm.veevavault.com/#object/account__v/V4TZ025E8CAAACV", "Giovana Gregorio De Castro")</f>
        <v/>
      </c>
      <c r="C1094" t="inlineStr">
        <is>
          <t>RJ1359134</t>
        </is>
      </c>
      <c r="D1094" t="inlineStr">
        <is>
          <t>CLG / PA</t>
        </is>
      </c>
      <c r="E1094" t="inlineStr">
        <is>
          <t>Estrada Francisco da Cruz Nunes, S/N</t>
        </is>
      </c>
      <c r="F1094" t="inlineStr">
        <is>
          <t>Piratininga</t>
        </is>
      </c>
      <c r="G1094" t="inlineStr">
        <is>
          <t>Niterói</t>
        </is>
      </c>
      <c r="H1094" t="inlineStr">
        <is>
          <t>RJ</t>
        </is>
      </c>
      <c r="I1094" t="n">
        <v>5613</v>
      </c>
      <c r="J1094" t="inlineStr">
        <is>
          <t>CAT 5</t>
        </is>
      </c>
      <c r="K1094" t="inlineStr">
        <is>
          <t>Sim</t>
        </is>
      </c>
    </row>
    <row r="1095">
      <c r="A1095" s="1">
        <f>HYPERLINK("https://eurofarma-latam-crm.veevavault.com/#object/account__v/V4TZ00001915PTD", "Giovanna Faillace")</f>
        <v/>
      </c>
      <c r="B1095" s="1">
        <f>HYPERLINK("https://eurofarma-latam-crm.veevavault.com/#object/account__v/V4TZ00001915PTD", "Giovanna Borges Damião Faillace")</f>
        <v/>
      </c>
      <c r="C1095" t="inlineStr">
        <is>
          <t>RJ1149652</t>
        </is>
      </c>
      <c r="D1095" t="inlineStr">
        <is>
          <t>PED</t>
        </is>
      </c>
      <c r="E1095" t="inlineStr">
        <is>
          <t>Avenida Bispo Dom João da Mata, S/N</t>
        </is>
      </c>
      <c r="F1095" t="inlineStr">
        <is>
          <t>Laranjal</t>
        </is>
      </c>
      <c r="G1095" t="inlineStr">
        <is>
          <t>São Gonçalo</t>
        </is>
      </c>
      <c r="H1095" t="inlineStr">
        <is>
          <t>RJ</t>
        </is>
      </c>
      <c r="I1095" t="n">
        <v>5613</v>
      </c>
      <c r="J1095" t="inlineStr">
        <is>
          <t>CAT 5</t>
        </is>
      </c>
      <c r="K1095" t="inlineStr">
        <is>
          <t>N�o</t>
        </is>
      </c>
    </row>
    <row r="1096">
      <c r="A1096" s="1">
        <f>HYPERLINK("https://eurofarma-latam-crm.veevavault.com/#object/account__v/V4TZ000019150AF", "Gleiton Cunha")</f>
        <v/>
      </c>
      <c r="B1096" s="1">
        <f>HYPERLINK("https://eurofarma-latam-crm.veevavault.com/#object/account__v/V4TZ000019150AF", "Gleiton Dias da Cunha")</f>
        <v/>
      </c>
      <c r="C1096" t="inlineStr">
        <is>
          <t>RJ0944670</t>
        </is>
      </c>
      <c r="D1096" t="inlineStr">
        <is>
          <t>CLG / PA</t>
        </is>
      </c>
      <c r="E1096" t="inlineStr">
        <is>
          <t>Rua Álvares de Castro, 346</t>
        </is>
      </c>
      <c r="F1096" t="inlineStr">
        <is>
          <t>Centro</t>
        </is>
      </c>
      <c r="G1096" t="inlineStr">
        <is>
          <t>Maricá</t>
        </is>
      </c>
      <c r="H1096" t="inlineStr">
        <is>
          <t>RJ</t>
        </is>
      </c>
      <c r="I1096" t="n">
        <v>5613</v>
      </c>
      <c r="J1096" t="inlineStr">
        <is>
          <t>CAT 5</t>
        </is>
      </c>
      <c r="K1096" t="inlineStr">
        <is>
          <t>N�o</t>
        </is>
      </c>
    </row>
    <row r="1097">
      <c r="A1097" s="1">
        <f>HYPERLINK("https://eurofarma-latam-crm.veevavault.com/#object/account__v/V4TZ0000191402R", "Glória de Fátima Fontoura")</f>
        <v/>
      </c>
      <c r="B1097" s="1">
        <f>HYPERLINK("https://eurofarma-latam-crm.veevavault.com/#object/account__v/V4TZ0000191402R", "Glória de Fátima Moreira da Cruz Fontoura")</f>
        <v/>
      </c>
      <c r="C1097" t="inlineStr">
        <is>
          <t>RJ0533982</t>
        </is>
      </c>
      <c r="D1097" t="inlineStr">
        <is>
          <t>PED</t>
        </is>
      </c>
      <c r="E1097" t="inlineStr">
        <is>
          <t>Rua Manoel Pacheco de Carvalho, 165</t>
        </is>
      </c>
      <c r="F1097" t="inlineStr">
        <is>
          <t>Piratininga</t>
        </is>
      </c>
      <c r="G1097" t="inlineStr">
        <is>
          <t>Niterói</t>
        </is>
      </c>
      <c r="H1097" t="inlineStr">
        <is>
          <t>RJ</t>
        </is>
      </c>
      <c r="I1097" t="n">
        <v>5613</v>
      </c>
      <c r="J1097" t="inlineStr">
        <is>
          <t>CAT 5</t>
        </is>
      </c>
      <c r="K1097" t="inlineStr">
        <is>
          <t>Sim</t>
        </is>
      </c>
    </row>
    <row r="1098">
      <c r="A1098" s="1">
        <f>HYPERLINK("https://eurofarma-latam-crm.veevavault.com/#object/account__v/V4TZ025E86FJNX1", "Gregorio Manaia")</f>
        <v/>
      </c>
      <c r="B1098" s="1">
        <f>HYPERLINK("https://eurofarma-latam-crm.veevavault.com/#object/account__v/V4TZ025E86FJNX1", "Gregorio Godinho Novaes Manaia")</f>
        <v/>
      </c>
      <c r="C1098" t="inlineStr">
        <is>
          <t>RJ1312553</t>
        </is>
      </c>
      <c r="D1098" t="inlineStr">
        <is>
          <t>PED</t>
        </is>
      </c>
      <c r="E1098" t="inlineStr">
        <is>
          <t>Rua Domício da Gama, 433</t>
        </is>
      </c>
      <c r="F1098" t="inlineStr">
        <is>
          <t>Araçatiba</t>
        </is>
      </c>
      <c r="G1098" t="inlineStr">
        <is>
          <t>Maricá</t>
        </is>
      </c>
      <c r="H1098" t="inlineStr">
        <is>
          <t>RJ</t>
        </is>
      </c>
      <c r="I1098" t="n">
        <v>5613</v>
      </c>
      <c r="J1098" t="inlineStr">
        <is>
          <t>CAT 4</t>
        </is>
      </c>
      <c r="K1098" t="inlineStr">
        <is>
          <t>Sim</t>
        </is>
      </c>
    </row>
    <row r="1099">
      <c r="A1099" s="1">
        <f>HYPERLINK("https://eurofarma-latam-crm.veevavault.com/#object/account__v/V4TZ025E8311M9U", "Guilherme Herdy")</f>
        <v/>
      </c>
      <c r="B1099" s="1">
        <f>HYPERLINK("https://eurofarma-latam-crm.veevavault.com/#object/account__v/V4TZ025E8311M9U", "Guilherme Henrique Brito Herdy")</f>
        <v/>
      </c>
      <c r="C1099" t="inlineStr">
        <is>
          <t>RJ1288466</t>
        </is>
      </c>
      <c r="D1099" t="inlineStr">
        <is>
          <t>CLG / PA</t>
        </is>
      </c>
      <c r="E1099" t="inlineStr">
        <is>
          <t>Rua Dagmar da Fonseca, 192</t>
        </is>
      </c>
      <c r="F1099" t="inlineStr">
        <is>
          <t>Madureira</t>
        </is>
      </c>
      <c r="G1099" t="inlineStr">
        <is>
          <t>Rio de Janeiro</t>
        </is>
      </c>
      <c r="H1099" t="inlineStr">
        <is>
          <t>RJ</t>
        </is>
      </c>
      <c r="I1099" t="n">
        <v>5613</v>
      </c>
      <c r="J1099" t="inlineStr">
        <is>
          <t>CAT 5</t>
        </is>
      </c>
      <c r="K1099" t="inlineStr">
        <is>
          <t>N�o</t>
        </is>
      </c>
    </row>
    <row r="1100">
      <c r="A1100" s="1">
        <f>HYPERLINK("https://eurofarma-latam-crm.veevavault.com/#object/account__v/V4TZ04ASGMTHM60", "Guilherme Marçola")</f>
        <v/>
      </c>
      <c r="B1100" s="1">
        <f>HYPERLINK("https://eurofarma-latam-crm.veevavault.com/#object/account__v/V4TZ04ASGMTHM60", "Guilherme Marçola")</f>
        <v/>
      </c>
      <c r="C1100" t="inlineStr">
        <is>
          <t>RJ1080180</t>
        </is>
      </c>
      <c r="D1100" t="inlineStr">
        <is>
          <t>CLG / PA</t>
        </is>
      </c>
      <c r="E1100" t="inlineStr">
        <is>
          <t>Estrada Emílio Maurell Filho, 1902</t>
        </is>
      </c>
      <c r="F1100" t="inlineStr">
        <is>
          <t>Bangu</t>
        </is>
      </c>
      <c r="G1100" t="inlineStr">
        <is>
          <t>Rio de Janeiro</t>
        </is>
      </c>
      <c r="H1100" t="inlineStr">
        <is>
          <t>RJ</t>
        </is>
      </c>
      <c r="I1100" t="n">
        <v>5613</v>
      </c>
      <c r="J1100" t="inlineStr">
        <is>
          <t>CAT 5</t>
        </is>
      </c>
      <c r="K1100" t="inlineStr">
        <is>
          <t>Sim</t>
        </is>
      </c>
    </row>
    <row r="1101">
      <c r="A1101" s="1">
        <f>HYPERLINK("https://eurofarma-latam-crm.veevavault.com/#object/account__v/V4TZ000018NZBOZ", "Guilherme Silva")</f>
        <v/>
      </c>
      <c r="B1101" s="1">
        <f>HYPERLINK("https://eurofarma-latam-crm.veevavault.com/#object/account__v/V4TZ000018NZBOZ", "Guilherme Ramos da Cunha Silva")</f>
        <v/>
      </c>
      <c r="C1101" t="inlineStr">
        <is>
          <t>RJ0957755</t>
        </is>
      </c>
      <c r="D1101" t="inlineStr">
        <is>
          <t>URO</t>
        </is>
      </c>
      <c r="E1101" t="inlineStr">
        <is>
          <t>Rua Doutor Marcolino Gomes Candau, 111 ( antiga rua 7)</t>
        </is>
      </c>
      <c r="F1101" t="inlineStr">
        <is>
          <t>Piratininga</t>
        </is>
      </c>
      <c r="G1101" t="inlineStr">
        <is>
          <t>Niterói</t>
        </is>
      </c>
      <c r="H1101" t="inlineStr">
        <is>
          <t>RJ</t>
        </is>
      </c>
      <c r="I1101" t="n">
        <v>5613</v>
      </c>
      <c r="J1101" t="inlineStr">
        <is>
          <t>CAT 5</t>
        </is>
      </c>
      <c r="K1101" t="inlineStr">
        <is>
          <t>Sim</t>
        </is>
      </c>
    </row>
    <row r="1102">
      <c r="A1102" s="1">
        <f>HYPERLINK("https://eurofarma-latam-crm.veevavault.com/#object/account__v/V4TZ000018NY36H", "Gyslaine Matos")</f>
        <v/>
      </c>
      <c r="B1102" s="1">
        <f>HYPERLINK("https://eurofarma-latam-crm.veevavault.com/#object/account__v/V4TZ000018NY36H", "Gyslaine Gonçalves de Matos")</f>
        <v/>
      </c>
      <c r="C1102" t="inlineStr">
        <is>
          <t>RJ1127004</t>
        </is>
      </c>
      <c r="D1102" t="inlineStr">
        <is>
          <t>PED</t>
        </is>
      </c>
      <c r="E1102" t="inlineStr">
        <is>
          <t>Rua Doutor Nilo Peçanha, 232</t>
        </is>
      </c>
      <c r="F1102" t="inlineStr">
        <is>
          <t>Centro</t>
        </is>
      </c>
      <c r="G1102" t="inlineStr">
        <is>
          <t>São Gonçalo</t>
        </is>
      </c>
      <c r="H1102" t="inlineStr">
        <is>
          <t>RJ</t>
        </is>
      </c>
      <c r="I1102" t="n">
        <v>5613</v>
      </c>
      <c r="J1102" t="inlineStr">
        <is>
          <t>CAT 4</t>
        </is>
      </c>
      <c r="K1102" t="inlineStr">
        <is>
          <t>Sim</t>
        </is>
      </c>
    </row>
    <row r="1103">
      <c r="A1103" s="1">
        <f>HYPERLINK("https://eurofarma-latam-crm.veevavault.com/#object/account__v/V4TZ00001914HAQ", "Heloisa Pinhao")</f>
        <v/>
      </c>
      <c r="B1103" s="1">
        <f>HYPERLINK("https://eurofarma-latam-crm.veevavault.com/#object/account__v/V4TZ00001914HAQ", "Heloisa Soares Pinhao")</f>
        <v/>
      </c>
      <c r="C1103" t="inlineStr">
        <is>
          <t>RJ0498975,SP0073657</t>
        </is>
      </c>
      <c r="D1103" t="inlineStr">
        <is>
          <t>END</t>
        </is>
      </c>
      <c r="E1103" t="inlineStr">
        <is>
          <t>Estrada Francisco da Cruz Nunes, 6501 - Sala 390</t>
        </is>
      </c>
      <c r="F1103" t="inlineStr">
        <is>
          <t>Itaipu</t>
        </is>
      </c>
      <c r="G1103" t="inlineStr">
        <is>
          <t>Niterói</t>
        </is>
      </c>
      <c r="H1103" t="inlineStr">
        <is>
          <t>RJ</t>
        </is>
      </c>
      <c r="I1103" t="n">
        <v>5613</v>
      </c>
      <c r="J1103" t="inlineStr">
        <is>
          <t>CAT 4</t>
        </is>
      </c>
      <c r="K1103" t="inlineStr">
        <is>
          <t>Sim</t>
        </is>
      </c>
    </row>
    <row r="1104">
      <c r="A1104" s="1">
        <f>HYPERLINK("https://eurofarma-latam-crm.veevavault.com/#object/account__v/V4TZ000018NY0HN", "Higor Filipe Vieira")</f>
        <v/>
      </c>
      <c r="B1104" s="1">
        <f>HYPERLINK("https://eurofarma-latam-crm.veevavault.com/#object/account__v/V4TZ000018NY0HN", "Higor Filipe Vieira")</f>
        <v/>
      </c>
      <c r="C1104" t="inlineStr">
        <is>
          <t>RJ0963933</t>
        </is>
      </c>
      <c r="D1104" t="inlineStr">
        <is>
          <t>END</t>
        </is>
      </c>
      <c r="E1104" t="inlineStr">
        <is>
          <t>Avenida das Américas, 500 - Sala 234 Bloco 3</t>
        </is>
      </c>
      <c r="F1104" t="inlineStr">
        <is>
          <t>Barra da Tijuca</t>
        </is>
      </c>
      <c r="G1104" t="inlineStr">
        <is>
          <t>Rio de Janeiro</t>
        </is>
      </c>
      <c r="H1104" t="inlineStr">
        <is>
          <t>RJ</t>
        </is>
      </c>
      <c r="I1104" t="n">
        <v>5613</v>
      </c>
      <c r="J1104" t="inlineStr">
        <is>
          <t>CAT 4</t>
        </is>
      </c>
      <c r="K1104" t="inlineStr">
        <is>
          <t>Sim</t>
        </is>
      </c>
    </row>
    <row r="1105">
      <c r="A1105" s="1">
        <f>HYPERLINK("https://eurofarma-latam-crm.veevavault.com/#object/account__v/V4TZ00001915ET4", "Ignacio Araripe")</f>
        <v/>
      </c>
      <c r="B1105" s="1">
        <f>HYPERLINK("https://eurofarma-latam-crm.veevavault.com/#object/account__v/V4TZ00001915ET4", "Ignacio Tavares Araripe")</f>
        <v/>
      </c>
      <c r="C1105" t="inlineStr">
        <is>
          <t>RJ0420909</t>
        </is>
      </c>
      <c r="D1105" t="inlineStr">
        <is>
          <t>CLG / END</t>
        </is>
      </c>
      <c r="E1105" t="inlineStr">
        <is>
          <t>Rua Manuel Pacheco De Carvalho, 133</t>
        </is>
      </c>
      <c r="F1105" t="inlineStr">
        <is>
          <t>Piratininga</t>
        </is>
      </c>
      <c r="G1105" t="inlineStr">
        <is>
          <t>Niterói</t>
        </is>
      </c>
      <c r="H1105" t="inlineStr">
        <is>
          <t>RJ</t>
        </is>
      </c>
      <c r="I1105" t="n">
        <v>5613</v>
      </c>
      <c r="J1105" t="inlineStr">
        <is>
          <t>CAT 2</t>
        </is>
      </c>
      <c r="K1105" t="inlineStr">
        <is>
          <t>Sim</t>
        </is>
      </c>
    </row>
    <row r="1106">
      <c r="A1106" s="1">
        <f>HYPERLINK("https://eurofarma-latam-crm.veevavault.com/#object/account__v/V4TZ000018NZ6Y1", "Igor Marvila")</f>
        <v/>
      </c>
      <c r="B1106" s="1">
        <f>HYPERLINK("https://eurofarma-latam-crm.veevavault.com/#object/account__v/V4TZ000018NZ6Y1", "Igor Silva Marvila")</f>
        <v/>
      </c>
      <c r="C1106" t="inlineStr">
        <is>
          <t>RJ1261207</t>
        </is>
      </c>
      <c r="D1106" t="inlineStr">
        <is>
          <t>CLG</t>
        </is>
      </c>
      <c r="E1106" t="inlineStr">
        <is>
          <t>Rua Doutor Mesquita, 339 - Segundo Andar</t>
        </is>
      </c>
      <c r="F1106" t="inlineStr">
        <is>
          <t>Centro</t>
        </is>
      </c>
      <c r="G1106" t="inlineStr">
        <is>
          <t>Itaboraí</t>
        </is>
      </c>
      <c r="H1106" t="inlineStr">
        <is>
          <t>RJ</t>
        </is>
      </c>
      <c r="I1106" t="n">
        <v>5613</v>
      </c>
      <c r="J1106" t="inlineStr">
        <is>
          <t>CAT 5</t>
        </is>
      </c>
      <c r="K1106" t="inlineStr">
        <is>
          <t>Sim</t>
        </is>
      </c>
    </row>
    <row r="1107">
      <c r="A1107" s="1">
        <f>HYPERLINK("https://eurofarma-latam-crm.veevavault.com/#object/account__v/V4TZ000019159IO", "Inaia Prudente")</f>
        <v/>
      </c>
      <c r="B1107" s="1">
        <f>HYPERLINK("https://eurofarma-latam-crm.veevavault.com/#object/account__v/V4TZ000019159IO", "Inaia Saraiva Prudente")</f>
        <v/>
      </c>
      <c r="C1107" t="inlineStr">
        <is>
          <t>RJ0443767</t>
        </is>
      </c>
      <c r="D1107" t="inlineStr">
        <is>
          <t>CLG / PA</t>
        </is>
      </c>
      <c r="E1107" t="inlineStr">
        <is>
          <t>Avenida Carlos Ermelindo Marins , S/N</t>
        </is>
      </c>
      <c r="F1107" t="inlineStr">
        <is>
          <t>Jurujuba</t>
        </is>
      </c>
      <c r="G1107" t="inlineStr">
        <is>
          <t>Niterói</t>
        </is>
      </c>
      <c r="H1107" t="inlineStr">
        <is>
          <t>RJ</t>
        </is>
      </c>
      <c r="I1107" t="n">
        <v>5613</v>
      </c>
      <c r="J1107" t="inlineStr">
        <is>
          <t>CAT 5</t>
        </is>
      </c>
      <c r="K1107" t="inlineStr">
        <is>
          <t>Sim</t>
        </is>
      </c>
    </row>
    <row r="1108">
      <c r="A1108" s="1">
        <f>HYPERLINK("https://eurofarma-latam-crm.veevavault.com/#object/account__v/V4TZ025E85WRN43", "Ioshua Nigri")</f>
        <v/>
      </c>
      <c r="B1108" s="1">
        <f>HYPERLINK("https://eurofarma-latam-crm.veevavault.com/#object/account__v/V4TZ025E85WRN43", "Ioshua Nigri")</f>
        <v/>
      </c>
      <c r="C1108" t="inlineStr">
        <is>
          <t>RJ1302418</t>
        </is>
      </c>
      <c r="D1108" t="inlineStr">
        <is>
          <t>CLG / PA</t>
        </is>
      </c>
      <c r="E1108" t="inlineStr">
        <is>
          <t>Rua Esperança, S/N - Praca do Aviao</t>
        </is>
      </c>
      <c r="F1108" t="inlineStr">
        <is>
          <t>São Cristóvão</t>
        </is>
      </c>
      <c r="G1108" t="inlineStr">
        <is>
          <t>Rio de Janeiro</t>
        </is>
      </c>
      <c r="H1108" t="inlineStr">
        <is>
          <t>RJ</t>
        </is>
      </c>
      <c r="I1108" t="n">
        <v>5613</v>
      </c>
      <c r="J1108" t="inlineStr">
        <is>
          <t>CAT 5</t>
        </is>
      </c>
      <c r="K1108" t="inlineStr">
        <is>
          <t>N�o</t>
        </is>
      </c>
    </row>
    <row r="1109">
      <c r="A1109" s="1">
        <f>HYPERLINK("https://eurofarma-latam-crm.veevavault.com/#object/account__v/V4TZ00001915HRP", "Isabela Almeida")</f>
        <v/>
      </c>
      <c r="B1109" s="1">
        <f>HYPERLINK("https://eurofarma-latam-crm.veevavault.com/#object/account__v/V4TZ00001915HRP", "Isabela Duarte Almeida")</f>
        <v/>
      </c>
      <c r="C1109" t="inlineStr">
        <is>
          <t>RJ0880205</t>
        </is>
      </c>
      <c r="D1109" t="inlineStr">
        <is>
          <t>PED</t>
        </is>
      </c>
      <c r="E1109" t="inlineStr">
        <is>
          <t>Rua Domício da Gama, 432 - Anexo ao HMCML</t>
        </is>
      </c>
      <c r="F1109" t="inlineStr">
        <is>
          <t>Centro</t>
        </is>
      </c>
      <c r="G1109" t="inlineStr">
        <is>
          <t>Maricá</t>
        </is>
      </c>
      <c r="H1109" t="inlineStr">
        <is>
          <t>RJ</t>
        </is>
      </c>
      <c r="I1109" t="n">
        <v>5613</v>
      </c>
      <c r="J1109" t="inlineStr">
        <is>
          <t>CAT 5</t>
        </is>
      </c>
      <c r="K1109" t="inlineStr">
        <is>
          <t>Sim</t>
        </is>
      </c>
    </row>
    <row r="1110">
      <c r="A1110" s="1">
        <f>HYPERLINK("https://eurofarma-latam-crm.veevavault.com/#object/account__v/V4TZ000019150GK", "Isabella Rabello")</f>
        <v/>
      </c>
      <c r="B1110" s="1">
        <f>HYPERLINK("https://eurofarma-latam-crm.veevavault.com/#object/account__v/V4TZ000019150GK", "Isabella Mello Pillar Rabello")</f>
        <v/>
      </c>
      <c r="C1110" t="inlineStr">
        <is>
          <t>RJ1251309</t>
        </is>
      </c>
      <c r="D1110" t="inlineStr">
        <is>
          <t>CLG / PA</t>
        </is>
      </c>
      <c r="E1110" t="inlineStr">
        <is>
          <t>Rua Siqueira Campos, 70</t>
        </is>
      </c>
      <c r="F1110" t="inlineStr">
        <is>
          <t>Copacabana</t>
        </is>
      </c>
      <c r="G1110" t="inlineStr">
        <is>
          <t>Rio de Janeiro</t>
        </is>
      </c>
      <c r="H1110" t="inlineStr">
        <is>
          <t>RJ</t>
        </is>
      </c>
      <c r="I1110" t="n">
        <v>5613</v>
      </c>
      <c r="J1110" t="inlineStr"/>
      <c r="K1110" t="inlineStr"/>
    </row>
    <row r="1111">
      <c r="A1111" s="1">
        <f>HYPERLINK("https://eurofarma-latam-crm.veevavault.com/#object/account__v/V4TZ000019136QF", "Iza Karla da Silva Alves")</f>
        <v/>
      </c>
      <c r="B1111" s="1">
        <f>HYPERLINK("https://eurofarma-latam-crm.veevavault.com/#object/account__v/V4TZ000019136QF", "Iza Karla Magno da Silva Alves")</f>
        <v/>
      </c>
      <c r="C1111" t="inlineStr">
        <is>
          <t>RJ1196944</t>
        </is>
      </c>
      <c r="D1111" t="inlineStr">
        <is>
          <t>CLG / PA</t>
        </is>
      </c>
      <c r="E1111" t="inlineStr">
        <is>
          <t>Rua La Sale, 12</t>
        </is>
      </c>
      <c r="F1111" t="inlineStr">
        <is>
          <t>Centro</t>
        </is>
      </c>
      <c r="G1111" t="inlineStr">
        <is>
          <t>Niterói</t>
        </is>
      </c>
      <c r="H1111" t="inlineStr">
        <is>
          <t>RJ</t>
        </is>
      </c>
      <c r="I1111" t="n">
        <v>5613</v>
      </c>
      <c r="J1111" t="inlineStr">
        <is>
          <t>CAT 5</t>
        </is>
      </c>
      <c r="K1111" t="inlineStr">
        <is>
          <t>Sim</t>
        </is>
      </c>
    </row>
    <row r="1112">
      <c r="A1112" s="1">
        <f>HYPERLINK("https://eurofarma-latam-crm.veevavault.com/#object/account__v/V4TZ00001915AU3", "Jefferson Dias")</f>
        <v/>
      </c>
      <c r="B1112" s="1">
        <f>HYPERLINK("https://eurofarma-latam-crm.veevavault.com/#object/account__v/V4TZ00001915AU3", "Jefferson de Mello Dias")</f>
        <v/>
      </c>
      <c r="C1112" t="inlineStr">
        <is>
          <t>RJ0985392,SP0275096</t>
        </is>
      </c>
      <c r="D1112" t="inlineStr">
        <is>
          <t>ORT</t>
        </is>
      </c>
      <c r="E1112" t="inlineStr">
        <is>
          <t>Rua Gustavo Mayer, S/N</t>
        </is>
      </c>
      <c r="F1112" t="inlineStr">
        <is>
          <t>Vila Três</t>
        </is>
      </c>
      <c r="G1112" t="inlineStr">
        <is>
          <t>São Gonçalo</t>
        </is>
      </c>
      <c r="H1112" t="inlineStr">
        <is>
          <t>RJ</t>
        </is>
      </c>
      <c r="I1112" t="n">
        <v>5613</v>
      </c>
      <c r="J1112" t="inlineStr">
        <is>
          <t>CAT 5</t>
        </is>
      </c>
      <c r="K1112" t="inlineStr">
        <is>
          <t>Sim</t>
        </is>
      </c>
    </row>
    <row r="1113">
      <c r="A1113" s="1">
        <f>HYPERLINK("https://eurofarma-latam-crm.veevavault.com/#object/account__v/V4TZ025E8BD23MK", "Jéssica Pinto")</f>
        <v/>
      </c>
      <c r="B1113" s="1">
        <f>HYPERLINK("https://eurofarma-latam-crm.veevavault.com/#object/account__v/V4TZ025E8BD23MK", "Jéssica Mendes Allan Pinto")</f>
        <v/>
      </c>
      <c r="C1113" t="inlineStr">
        <is>
          <t>RJ1359517</t>
        </is>
      </c>
      <c r="D1113" t="inlineStr">
        <is>
          <t>CLG / PA</t>
        </is>
      </c>
      <c r="E1113" t="inlineStr">
        <is>
          <t>Praça Estefania de Carvalho, 26</t>
        </is>
      </c>
      <c r="F1113" t="inlineStr">
        <is>
          <t>Zé Garoto</t>
        </is>
      </c>
      <c r="G1113" t="inlineStr">
        <is>
          <t>São Gonçalo</t>
        </is>
      </c>
      <c r="H1113" t="inlineStr">
        <is>
          <t>RJ</t>
        </is>
      </c>
      <c r="I1113" t="n">
        <v>5613</v>
      </c>
      <c r="J1113" t="inlineStr"/>
      <c r="K1113" t="inlineStr"/>
    </row>
    <row r="1114">
      <c r="A1114" s="1">
        <f>HYPERLINK("https://eurofarma-latam-crm.veevavault.com/#object/account__v/V4TZ04ASGMV1SRL", "Joana Pinto")</f>
        <v/>
      </c>
      <c r="B1114" s="1">
        <f>HYPERLINK("https://eurofarma-latam-crm.veevavault.com/#object/account__v/V4TZ04ASGMV1SRL", "Joana Máximo Cunha Pinto")</f>
        <v/>
      </c>
      <c r="C1114" t="inlineStr">
        <is>
          <t>RJ1245040</t>
        </is>
      </c>
      <c r="D1114" t="inlineStr">
        <is>
          <t>CLG / PA</t>
        </is>
      </c>
      <c r="E1114" t="inlineStr">
        <is>
          <t>Rua Domício da Gama, 433</t>
        </is>
      </c>
      <c r="F1114" t="inlineStr">
        <is>
          <t>Araçatiba</t>
        </is>
      </c>
      <c r="G1114" t="inlineStr">
        <is>
          <t>Maricá</t>
        </is>
      </c>
      <c r="H1114" t="inlineStr">
        <is>
          <t>RJ</t>
        </is>
      </c>
      <c r="I1114" t="n">
        <v>5613</v>
      </c>
      <c r="J1114" t="inlineStr"/>
      <c r="K1114" t="inlineStr"/>
    </row>
    <row r="1115">
      <c r="A1115" s="1">
        <f>HYPERLINK("https://eurofarma-latam-crm.veevavault.com/#object/account__v/V4TZ025E8CBJL2E", "João Camara")</f>
        <v/>
      </c>
      <c r="B1115" s="1">
        <f>HYPERLINK("https://eurofarma-latam-crm.veevavault.com/#object/account__v/V4TZ025E8CBJL2E", "João Pedro Campos Camara")</f>
        <v/>
      </c>
      <c r="C1115" t="inlineStr">
        <is>
          <t>RJ1353217</t>
        </is>
      </c>
      <c r="D1115" t="inlineStr">
        <is>
          <t>CLG / PA</t>
        </is>
      </c>
      <c r="E1115" t="inlineStr">
        <is>
          <t>Est De Mato Alto, S/N</t>
        </is>
      </c>
      <c r="F1115" t="inlineStr">
        <is>
          <t>Mato Alto</t>
        </is>
      </c>
      <c r="G1115" t="inlineStr">
        <is>
          <t>Silva Jardim</t>
        </is>
      </c>
      <c r="H1115" t="inlineStr">
        <is>
          <t>RJ</t>
        </is>
      </c>
      <c r="I1115" t="n">
        <v>5613</v>
      </c>
      <c r="J1115" t="inlineStr">
        <is>
          <t>CAT 5</t>
        </is>
      </c>
      <c r="K1115" t="inlineStr">
        <is>
          <t>Sim</t>
        </is>
      </c>
    </row>
    <row r="1116">
      <c r="A1116" s="1">
        <f>HYPERLINK("https://eurofarma-latam-crm.veevavault.com/#object/account__v/V4TZ025E8FBJ586", "João Vitor Monnerat")</f>
        <v/>
      </c>
      <c r="B1116" s="1">
        <f>HYPERLINK("https://eurofarma-latam-crm.veevavault.com/#object/account__v/V4TZ025E8FBJ586", "João Vitor de Moraes Monnerat")</f>
        <v/>
      </c>
      <c r="C1116" t="inlineStr">
        <is>
          <t>RJ1384394</t>
        </is>
      </c>
      <c r="D1116" t="inlineStr">
        <is>
          <t>CLG / PA</t>
        </is>
      </c>
      <c r="E1116" t="inlineStr">
        <is>
          <t>Estrada Francisco da Cruz Nunes, S/N</t>
        </is>
      </c>
      <c r="F1116" t="inlineStr">
        <is>
          <t>Piratininga</t>
        </is>
      </c>
      <c r="G1116" t="inlineStr">
        <is>
          <t>Niterói</t>
        </is>
      </c>
      <c r="H1116" t="inlineStr">
        <is>
          <t>RJ</t>
        </is>
      </c>
      <c r="I1116" t="n">
        <v>5613</v>
      </c>
      <c r="J1116" t="inlineStr"/>
      <c r="K1116" t="inlineStr"/>
    </row>
    <row r="1117">
      <c r="A1117" s="1">
        <f>HYPERLINK("https://eurofarma-latam-crm.veevavault.com/#object/account__v/V4TZ000018NYIEX", "Jorge Pereira")</f>
        <v/>
      </c>
      <c r="B1117" s="1">
        <f>HYPERLINK("https://eurofarma-latam-crm.veevavault.com/#object/account__v/V4TZ000018NYIEX", "Jorge da Costa Pereira")</f>
        <v/>
      </c>
      <c r="C1117" t="inlineStr">
        <is>
          <t>RJ0276190</t>
        </is>
      </c>
      <c r="D1117" t="inlineStr">
        <is>
          <t>CLG / END</t>
        </is>
      </c>
      <c r="E1117" t="inlineStr">
        <is>
          <t>Rua Manoel Pacheco de Carvalho, 327</t>
        </is>
      </c>
      <c r="F1117" t="inlineStr">
        <is>
          <t>Piratininga</t>
        </is>
      </c>
      <c r="G1117" t="inlineStr">
        <is>
          <t>Niterói</t>
        </is>
      </c>
      <c r="H1117" t="inlineStr">
        <is>
          <t>RJ</t>
        </is>
      </c>
      <c r="I1117" t="n">
        <v>5613</v>
      </c>
      <c r="J1117" t="inlineStr">
        <is>
          <t>CAT 4</t>
        </is>
      </c>
      <c r="K1117" t="inlineStr">
        <is>
          <t>Sim</t>
        </is>
      </c>
    </row>
    <row r="1118">
      <c r="A1118" s="1">
        <f>HYPERLINK("https://eurofarma-latam-crm.veevavault.com/#object/account__v/V4TZ000018NXVHI", "José Francisco de Olivas")</f>
        <v/>
      </c>
      <c r="B1118" s="1">
        <f>HYPERLINK("https://eurofarma-latam-crm.veevavault.com/#object/account__v/V4TZ000018NXVHI", "José Francisco Campos de Olivas")</f>
        <v/>
      </c>
      <c r="C1118" t="inlineStr">
        <is>
          <t>RJ0351016</t>
        </is>
      </c>
      <c r="D1118" t="inlineStr">
        <is>
          <t>CLG / END</t>
        </is>
      </c>
      <c r="E1118" t="inlineStr">
        <is>
          <t>Avenida Almirante Tamandaré, 521 - Loja 101</t>
        </is>
      </c>
      <c r="F1118" t="inlineStr">
        <is>
          <t>Piratininga</t>
        </is>
      </c>
      <c r="G1118" t="inlineStr">
        <is>
          <t>Niterói</t>
        </is>
      </c>
      <c r="H1118" t="inlineStr">
        <is>
          <t>RJ</t>
        </is>
      </c>
      <c r="I1118" t="n">
        <v>5613</v>
      </c>
      <c r="J1118" t="inlineStr">
        <is>
          <t>CAT 5</t>
        </is>
      </c>
      <c r="K1118" t="inlineStr">
        <is>
          <t>Sim</t>
        </is>
      </c>
    </row>
    <row r="1119">
      <c r="A1119" s="1">
        <f>HYPERLINK("https://eurofarma-latam-crm.veevavault.com/#object/account__v/V4TZ00001913BW1", "José Maria Matias")</f>
        <v/>
      </c>
      <c r="B1119" s="1">
        <f>HYPERLINK("https://eurofarma-latam-crm.veevavault.com/#object/account__v/V4TZ00001913BW1", "José Maria Salgado Matias")</f>
        <v/>
      </c>
      <c r="C1119" t="inlineStr">
        <is>
          <t>RJ0443046</t>
        </is>
      </c>
      <c r="D1119" t="inlineStr">
        <is>
          <t>GAS</t>
        </is>
      </c>
      <c r="E1119" t="inlineStr">
        <is>
          <t>Avenida Carlos Marighella, 9062 - Lote 09 Quadra33</t>
        </is>
      </c>
      <c r="F1119" t="inlineStr">
        <is>
          <t>Barroco (Itaipuaçu)</t>
        </is>
      </c>
      <c r="G1119" t="inlineStr">
        <is>
          <t>Maricá</t>
        </is>
      </c>
      <c r="H1119" t="inlineStr">
        <is>
          <t>RJ</t>
        </is>
      </c>
      <c r="I1119" t="n">
        <v>5613</v>
      </c>
      <c r="J1119" t="inlineStr">
        <is>
          <t>CAT 4</t>
        </is>
      </c>
      <c r="K1119" t="inlineStr">
        <is>
          <t>Sim</t>
        </is>
      </c>
    </row>
    <row r="1120">
      <c r="A1120" s="1">
        <f>HYPERLINK("https://eurofarma-latam-crm.veevavault.com/#object/account__v/V4TZ00001913QOV", "José Rezende")</f>
        <v/>
      </c>
      <c r="B1120" s="1">
        <f>HYPERLINK("https://eurofarma-latam-crm.veevavault.com/#object/account__v/V4TZ00001913QOV", "José Gaspar Prado Rezende")</f>
        <v/>
      </c>
      <c r="C1120" t="inlineStr">
        <is>
          <t>RJ1082841</t>
        </is>
      </c>
      <c r="D1120" t="inlineStr">
        <is>
          <t>END</t>
        </is>
      </c>
      <c r="E1120" t="inlineStr">
        <is>
          <t>Estrada Francisco da Cruz Nunes, 6501 - Multicenter Sala 380</t>
        </is>
      </c>
      <c r="F1120" t="inlineStr">
        <is>
          <t>Piratininga</t>
        </is>
      </c>
      <c r="G1120" t="inlineStr">
        <is>
          <t>Niterói</t>
        </is>
      </c>
      <c r="H1120" t="inlineStr">
        <is>
          <t>RJ</t>
        </is>
      </c>
      <c r="I1120" t="n">
        <v>5613</v>
      </c>
      <c r="J1120" t="inlineStr">
        <is>
          <t>CAT 5</t>
        </is>
      </c>
      <c r="K1120" t="inlineStr">
        <is>
          <t>Sim</t>
        </is>
      </c>
    </row>
    <row r="1121">
      <c r="A1121" s="1">
        <f>HYPERLINK("https://eurofarma-latam-crm.veevavault.com/#object/account__v/V4TZ00001914LLE", "Judivan Estrela")</f>
        <v/>
      </c>
      <c r="B1121" s="1">
        <f>HYPERLINK("https://eurofarma-latam-crm.veevavault.com/#object/account__v/V4TZ00001914LLE", "Judivan Emidio Estrela")</f>
        <v/>
      </c>
      <c r="C1121" t="inlineStr">
        <is>
          <t>RJ1171267</t>
        </is>
      </c>
      <c r="D1121" t="inlineStr">
        <is>
          <t>PED</t>
        </is>
      </c>
      <c r="E1121" t="inlineStr">
        <is>
          <t>Rua 36, S/N - Quadra 433</t>
        </is>
      </c>
      <c r="F1121" t="inlineStr">
        <is>
          <t>Jardim Atlântico Central (Itaipuaçu)</t>
        </is>
      </c>
      <c r="G1121" t="inlineStr">
        <is>
          <t>Maricá</t>
        </is>
      </c>
      <c r="H1121" t="inlineStr">
        <is>
          <t>RJ</t>
        </is>
      </c>
      <c r="I1121" t="n">
        <v>5613</v>
      </c>
      <c r="J1121" t="inlineStr">
        <is>
          <t>CAT 5</t>
        </is>
      </c>
      <c r="K1121" t="inlineStr">
        <is>
          <t>N�o</t>
        </is>
      </c>
    </row>
    <row r="1122">
      <c r="A1122" s="1">
        <f>HYPERLINK("https://eurofarma-latam-crm.veevavault.com/#object/account__v/V4T000000017196", "Juli Manarte")</f>
        <v/>
      </c>
      <c r="B1122" s="1">
        <f>HYPERLINK("https://eurofarma-latam-crm.veevavault.com/#object/account__v/V4T000000017196", "Juli Jardim Manarte")</f>
        <v/>
      </c>
      <c r="C1122" t="inlineStr">
        <is>
          <t>RJ1155350</t>
        </is>
      </c>
      <c r="D1122" t="inlineStr">
        <is>
          <t>END</t>
        </is>
      </c>
      <c r="E1122" t="inlineStr">
        <is>
          <t>Rua Adolfo Bravo, S/N</t>
        </is>
      </c>
      <c r="F1122" t="inlineStr">
        <is>
          <t>Bacaxá (Bacaxá)</t>
        </is>
      </c>
      <c r="G1122" t="inlineStr">
        <is>
          <t>Saquarema</t>
        </is>
      </c>
      <c r="H1122" t="inlineStr">
        <is>
          <t>RJ</t>
        </is>
      </c>
      <c r="I1122" t="n">
        <v>5613</v>
      </c>
      <c r="J1122" t="inlineStr"/>
      <c r="K1122" t="inlineStr"/>
    </row>
    <row r="1123">
      <c r="A1123" s="1">
        <f>HYPERLINK("https://eurofarma-latam-crm.veevavault.com/#object/account__v/V4T00000001H183", "Júlia Henrici")</f>
        <v/>
      </c>
      <c r="B1123" s="1">
        <f>HYPERLINK("https://eurofarma-latam-crm.veevavault.com/#object/account__v/V4T00000001H183", "Júlia Crocamo Henrici")</f>
        <v/>
      </c>
      <c r="C1123" t="inlineStr">
        <is>
          <t>RJ1412940</t>
        </is>
      </c>
      <c r="D1123" t="inlineStr">
        <is>
          <t>CLG / PA</t>
        </is>
      </c>
      <c r="E1123" t="inlineStr">
        <is>
          <t>Rua Euclides Paulo da Silva, S/N</t>
        </is>
      </c>
      <c r="F1123" t="inlineStr">
        <is>
          <t>Inoã (Inoã)</t>
        </is>
      </c>
      <c r="G1123" t="inlineStr">
        <is>
          <t>Maricá</t>
        </is>
      </c>
      <c r="H1123" t="inlineStr">
        <is>
          <t>RJ</t>
        </is>
      </c>
      <c r="I1123" t="n">
        <v>5613</v>
      </c>
      <c r="J1123" t="inlineStr"/>
      <c r="K1123" t="inlineStr"/>
    </row>
    <row r="1124">
      <c r="A1124" s="1">
        <f>HYPERLINK("https://eurofarma-latam-crm.veevavault.com/#object/account__v/V4TZ00001914Z1B", "Julia Quintanilha")</f>
        <v/>
      </c>
      <c r="B1124" s="1">
        <f>HYPERLINK("https://eurofarma-latam-crm.veevavault.com/#object/account__v/V4TZ00001914Z1B", "Julia Colla de Paiva Coupey Quintanilha")</f>
        <v/>
      </c>
      <c r="C1124" t="inlineStr">
        <is>
          <t>RJ1270176</t>
        </is>
      </c>
      <c r="D1124" t="inlineStr">
        <is>
          <t>PED</t>
        </is>
      </c>
      <c r="E1124" t="inlineStr">
        <is>
          <t>Rua Doutor Nilo Peçanha, 442 - Parte</t>
        </is>
      </c>
      <c r="F1124" t="inlineStr">
        <is>
          <t>Estrela do Norte</t>
        </is>
      </c>
      <c r="G1124" t="inlineStr">
        <is>
          <t>São Gonçalo</t>
        </is>
      </c>
      <c r="H1124" t="inlineStr">
        <is>
          <t>RJ</t>
        </is>
      </c>
      <c r="I1124" t="n">
        <v>5613</v>
      </c>
      <c r="J1124" t="inlineStr">
        <is>
          <t>CAT 5</t>
        </is>
      </c>
      <c r="K1124" t="inlineStr">
        <is>
          <t>Sim</t>
        </is>
      </c>
    </row>
    <row r="1125">
      <c r="A1125" s="1">
        <f>HYPERLINK("https://eurofarma-latam-crm.veevavault.com/#object/account__v/V4TZ00001915IYN", "Julia Rodrigues")</f>
        <v/>
      </c>
      <c r="B1125" s="1">
        <f>HYPERLINK("https://eurofarma-latam-crm.veevavault.com/#object/account__v/V4TZ00001915IYN", "Julia Azambuja Rodrigues")</f>
        <v/>
      </c>
      <c r="C1125" t="inlineStr">
        <is>
          <t>RJ1187759</t>
        </is>
      </c>
      <c r="D1125" t="inlineStr">
        <is>
          <t>END</t>
        </is>
      </c>
      <c r="E1125" t="inlineStr">
        <is>
          <t>Avenida Doutor Raul de Oliveira Rodrigues, 12 - lote 16</t>
        </is>
      </c>
      <c r="F1125" t="inlineStr">
        <is>
          <t>Piratininga</t>
        </is>
      </c>
      <c r="G1125" t="inlineStr">
        <is>
          <t>Niterói</t>
        </is>
      </c>
      <c r="H1125" t="inlineStr">
        <is>
          <t>RJ</t>
        </is>
      </c>
      <c r="I1125" t="n">
        <v>5613</v>
      </c>
      <c r="J1125" t="inlineStr">
        <is>
          <t>CAT 4</t>
        </is>
      </c>
      <c r="K1125" t="inlineStr">
        <is>
          <t>Sim</t>
        </is>
      </c>
    </row>
    <row r="1126">
      <c r="A1126" s="1">
        <f>HYPERLINK("https://eurofarma-latam-crm.veevavault.com/#object/account__v/V4TZ000018NYQ8T", "Juliana dos Santos")</f>
        <v/>
      </c>
      <c r="B1126" s="1">
        <f>HYPERLINK("https://eurofarma-latam-crm.veevavault.com/#object/account__v/V4TZ000018NYQ8T", "Juliana Mendes dos Santos")</f>
        <v/>
      </c>
      <c r="C1126" t="inlineStr">
        <is>
          <t>RJ1244191</t>
        </is>
      </c>
      <c r="D1126" t="inlineStr">
        <is>
          <t>PED</t>
        </is>
      </c>
      <c r="E1126" t="inlineStr">
        <is>
          <t>Rua 36, S/N - Quadra 433</t>
        </is>
      </c>
      <c r="F1126" t="inlineStr">
        <is>
          <t>Jardim Atlântico Central (Itaipuaçu)</t>
        </is>
      </c>
      <c r="G1126" t="inlineStr">
        <is>
          <t>Maricá</t>
        </is>
      </c>
      <c r="H1126" t="inlineStr">
        <is>
          <t>RJ</t>
        </is>
      </c>
      <c r="I1126" t="n">
        <v>5613</v>
      </c>
      <c r="J1126" t="inlineStr">
        <is>
          <t>CAT 5</t>
        </is>
      </c>
      <c r="K1126" t="inlineStr">
        <is>
          <t>Sim</t>
        </is>
      </c>
    </row>
    <row r="1127">
      <c r="A1127" s="1">
        <f>HYPERLINK("https://eurofarma-latam-crm.veevavault.com/#object/account__v/V4TZ000019149ZA", "Juliana Julião")</f>
        <v/>
      </c>
      <c r="B1127" s="1">
        <f>HYPERLINK("https://eurofarma-latam-crm.veevavault.com/#object/account__v/V4TZ000019149ZA", "Juliana Barbosa Julião")</f>
        <v/>
      </c>
      <c r="C1127" t="inlineStr">
        <is>
          <t>MG0052554,RJ1098225</t>
        </is>
      </c>
      <c r="D1127" t="inlineStr">
        <is>
          <t>ORT</t>
        </is>
      </c>
      <c r="E1127" t="inlineStr">
        <is>
          <t>Avenida Brasil, 10946</t>
        </is>
      </c>
      <c r="F1127" t="inlineStr">
        <is>
          <t>Penha</t>
        </is>
      </c>
      <c r="G1127" t="inlineStr">
        <is>
          <t>Rio de Janeiro</t>
        </is>
      </c>
      <c r="H1127" t="inlineStr">
        <is>
          <t>RJ</t>
        </is>
      </c>
      <c r="I1127" t="n">
        <v>5613</v>
      </c>
      <c r="J1127" t="inlineStr">
        <is>
          <t>CAT 5</t>
        </is>
      </c>
      <c r="K1127" t="inlineStr">
        <is>
          <t>Sim</t>
        </is>
      </c>
    </row>
    <row r="1128">
      <c r="A1128" s="1">
        <f>HYPERLINK("https://eurofarma-latam-crm.veevavault.com/#object/account__v/V4TZ00001914ST0", "Juliana Macedo")</f>
        <v/>
      </c>
      <c r="B1128" s="1">
        <f>HYPERLINK("https://eurofarma-latam-crm.veevavault.com/#object/account__v/V4TZ00001914ST0", "Juliana Maia de Macedo")</f>
        <v/>
      </c>
      <c r="C1128" t="inlineStr">
        <is>
          <t>RJ0877328</t>
        </is>
      </c>
      <c r="D1128" t="inlineStr">
        <is>
          <t>CLG / PA</t>
        </is>
      </c>
      <c r="E1128" t="inlineStr">
        <is>
          <t>Avenida das Américas, 3434 - Blc 5 Sal 301</t>
        </is>
      </c>
      <c r="F1128" t="inlineStr">
        <is>
          <t>Barra da Tijuca</t>
        </is>
      </c>
      <c r="G1128" t="inlineStr">
        <is>
          <t>Rio de Janeiro</t>
        </is>
      </c>
      <c r="H1128" t="inlineStr">
        <is>
          <t>RJ</t>
        </is>
      </c>
      <c r="I1128" t="n">
        <v>5613</v>
      </c>
      <c r="J1128" t="inlineStr">
        <is>
          <t>CAT 5</t>
        </is>
      </c>
      <c r="K1128" t="inlineStr">
        <is>
          <t>N�o</t>
        </is>
      </c>
    </row>
    <row r="1129">
      <c r="A1129" s="1">
        <f>HYPERLINK("https://eurofarma-latam-crm.veevavault.com/#object/account__v/V4TZ000018NYIIA", "Juliana Rodrigues")</f>
        <v/>
      </c>
      <c r="B1129" s="1">
        <f>HYPERLINK("https://eurofarma-latam-crm.veevavault.com/#object/account__v/V4TZ000018NYIIA", "Juliana Denecke Marinari Rodrigues")</f>
        <v/>
      </c>
      <c r="C1129" t="inlineStr">
        <is>
          <t>RJ0907740</t>
        </is>
      </c>
      <c r="D1129" t="inlineStr">
        <is>
          <t>PSQ</t>
        </is>
      </c>
      <c r="E1129" t="inlineStr">
        <is>
          <t>Estrada Francisco da Cruz Nunes, 6501 - Quadra401 Lote 580 Sala 366</t>
        </is>
      </c>
      <c r="F1129" t="inlineStr">
        <is>
          <t>Itaipu</t>
        </is>
      </c>
      <c r="G1129" t="inlineStr">
        <is>
          <t>Niterói</t>
        </is>
      </c>
      <c r="H1129" t="inlineStr">
        <is>
          <t>RJ</t>
        </is>
      </c>
      <c r="I1129" t="n">
        <v>5613</v>
      </c>
      <c r="J1129" t="inlineStr">
        <is>
          <t>CAT 2</t>
        </is>
      </c>
      <c r="K1129" t="inlineStr">
        <is>
          <t>Sim</t>
        </is>
      </c>
    </row>
    <row r="1130">
      <c r="A1130" s="1">
        <f>HYPERLINK("https://eurofarma-latam-crm.veevavault.com/#object/account__v/V4TZ025E84C992L", "Julianna Alves")</f>
        <v/>
      </c>
      <c r="B1130" s="1">
        <f>HYPERLINK("https://eurofarma-latam-crm.veevavault.com/#object/account__v/V4TZ025E84C992L", "Julianna Machado Silva Alves")</f>
        <v/>
      </c>
      <c r="C1130" t="inlineStr">
        <is>
          <t>RJ1006630</t>
        </is>
      </c>
      <c r="D1130" t="inlineStr">
        <is>
          <t>PED</t>
        </is>
      </c>
      <c r="E1130" t="inlineStr">
        <is>
          <t>Rodovia Ernani do Amaral Peixoto, S/N - Km 15</t>
        </is>
      </c>
      <c r="F1130" t="inlineStr">
        <is>
          <t>Inoã (Inoã)</t>
        </is>
      </c>
      <c r="G1130" t="inlineStr">
        <is>
          <t>Maricá</t>
        </is>
      </c>
      <c r="H1130" t="inlineStr">
        <is>
          <t>RJ</t>
        </is>
      </c>
      <c r="I1130" t="n">
        <v>5613</v>
      </c>
      <c r="J1130" t="inlineStr">
        <is>
          <t>CAT 4</t>
        </is>
      </c>
      <c r="K1130" t="inlineStr">
        <is>
          <t>Sim</t>
        </is>
      </c>
    </row>
    <row r="1131">
      <c r="A1131" s="1">
        <f>HYPERLINK("https://eurofarma-latam-crm.veevavault.com/#object/account__v/V4TZ025E852W4IS", "Juliene Marques")</f>
        <v/>
      </c>
      <c r="B1131" s="1">
        <f>HYPERLINK("https://eurofarma-latam-crm.veevavault.com/#object/account__v/V4TZ025E852W4IS", "Juliene de Oliveira Marques")</f>
        <v/>
      </c>
      <c r="C1131" t="inlineStr">
        <is>
          <t>RJ1303317</t>
        </is>
      </c>
      <c r="D1131" t="inlineStr">
        <is>
          <t>CLG / PA</t>
        </is>
      </c>
      <c r="E1131" t="inlineStr">
        <is>
          <t>Rua 72, S/N</t>
        </is>
      </c>
      <c r="F1131" t="inlineStr">
        <is>
          <t>Piratininga</t>
        </is>
      </c>
      <c r="G1131" t="inlineStr">
        <is>
          <t>Niterói</t>
        </is>
      </c>
      <c r="H1131" t="inlineStr">
        <is>
          <t>RJ</t>
        </is>
      </c>
      <c r="I1131" t="n">
        <v>5613</v>
      </c>
      <c r="J1131" t="inlineStr">
        <is>
          <t>CAT 5</t>
        </is>
      </c>
      <c r="K1131" t="inlineStr">
        <is>
          <t>N�o</t>
        </is>
      </c>
    </row>
    <row r="1132">
      <c r="A1132" s="1">
        <f>HYPERLINK("https://eurofarma-latam-crm.veevavault.com/#object/account__v/V4TZ000018NYZGX", "Karla Santos")</f>
        <v/>
      </c>
      <c r="B1132" s="1">
        <f>HYPERLINK("https://eurofarma-latam-crm.veevavault.com/#object/account__v/V4TZ000018NYZGX", "Karla Ornellas Santos")</f>
        <v/>
      </c>
      <c r="C1132" t="inlineStr">
        <is>
          <t>RJ0493558</t>
        </is>
      </c>
      <c r="D1132" t="inlineStr">
        <is>
          <t>PED</t>
        </is>
      </c>
      <c r="E1132" t="inlineStr">
        <is>
          <t>Rua Doutor Nilo Peçanha, 442 - Parte</t>
        </is>
      </c>
      <c r="F1132" t="inlineStr">
        <is>
          <t>Estrela do Norte</t>
        </is>
      </c>
      <c r="G1132" t="inlineStr">
        <is>
          <t>São Gonçalo</t>
        </is>
      </c>
      <c r="H1132" t="inlineStr">
        <is>
          <t>RJ</t>
        </is>
      </c>
      <c r="I1132" t="n">
        <v>5613</v>
      </c>
      <c r="J1132" t="inlineStr">
        <is>
          <t>CAT 4</t>
        </is>
      </c>
      <c r="K1132" t="inlineStr">
        <is>
          <t>Sim</t>
        </is>
      </c>
    </row>
    <row r="1133">
      <c r="A1133" s="1">
        <f>HYPERLINK("https://eurofarma-latam-crm.veevavault.com/#object/account__v/V4TZ000018NYILD", "Katia Freire")</f>
        <v/>
      </c>
      <c r="B1133" s="1">
        <f>HYPERLINK("https://eurofarma-latam-crm.veevavault.com/#object/account__v/V4TZ000018NYILD", "Katia de Carvalho Freire")</f>
        <v/>
      </c>
      <c r="C1133" t="inlineStr">
        <is>
          <t>RJ0483330</t>
        </is>
      </c>
      <c r="D1133" t="inlineStr">
        <is>
          <t>PED</t>
        </is>
      </c>
      <c r="E1133" t="inlineStr">
        <is>
          <t>Avenida Irene Lopes Sodré, S/N</t>
        </is>
      </c>
      <c r="F1133" t="inlineStr">
        <is>
          <t>Engenho do Mato</t>
        </is>
      </c>
      <c r="G1133" t="inlineStr">
        <is>
          <t>Niterói</t>
        </is>
      </c>
      <c r="H1133" t="inlineStr">
        <is>
          <t>RJ</t>
        </is>
      </c>
      <c r="I1133" t="n">
        <v>5613</v>
      </c>
      <c r="J1133" t="inlineStr"/>
      <c r="K1133" t="inlineStr"/>
    </row>
    <row r="1134">
      <c r="A1134" s="1">
        <f>HYPERLINK("https://eurofarma-latam-crm.veevavault.com/#object/account__v/V4TZ025E87QCOER", "Kellyn Guimar")</f>
        <v/>
      </c>
      <c r="B1134" s="1">
        <f>HYPERLINK("https://eurofarma-latam-crm.veevavault.com/#object/account__v/V4TZ025E87QCOER", "Kellyn Vickey Sarquis Guimar")</f>
        <v/>
      </c>
      <c r="C1134" t="inlineStr">
        <is>
          <t>RJ1132768</t>
        </is>
      </c>
      <c r="D1134" t="inlineStr">
        <is>
          <t>CLG / PA</t>
        </is>
      </c>
      <c r="E1134" t="inlineStr">
        <is>
          <t>Rua República, S/N</t>
        </is>
      </c>
      <c r="F1134" t="inlineStr">
        <is>
          <t>Vila Ideal</t>
        </is>
      </c>
      <c r="G1134" t="inlineStr">
        <is>
          <t>Duque de Caxias</t>
        </is>
      </c>
      <c r="H1134" t="inlineStr">
        <is>
          <t>RJ</t>
        </is>
      </c>
      <c r="I1134" t="n">
        <v>5613</v>
      </c>
      <c r="J1134" t="inlineStr">
        <is>
          <t>CAT 5</t>
        </is>
      </c>
      <c r="K1134" t="inlineStr">
        <is>
          <t>N�o</t>
        </is>
      </c>
    </row>
    <row r="1135">
      <c r="A1135" s="1">
        <f>HYPERLINK("https://eurofarma-latam-crm.veevavault.com/#object/account__v/V4T000000011059", "Laila Soares")</f>
        <v/>
      </c>
      <c r="B1135" s="1">
        <f>HYPERLINK("https://eurofarma-latam-crm.veevavault.com/#object/account__v/V4T000000011059", "Laila Costa Moreira Soares")</f>
        <v/>
      </c>
      <c r="C1135" t="inlineStr">
        <is>
          <t>RJ1410995</t>
        </is>
      </c>
      <c r="D1135" t="inlineStr">
        <is>
          <t>CLG / PA</t>
        </is>
      </c>
      <c r="E1135" t="inlineStr">
        <is>
          <t>Rua Desembargador Ferreira Pinto, 721 - Parte</t>
        </is>
      </c>
      <c r="F1135" t="inlineStr">
        <is>
          <t>Centro</t>
        </is>
      </c>
      <c r="G1135" t="inlineStr">
        <is>
          <t>Itaboraí</t>
        </is>
      </c>
      <c r="H1135" t="inlineStr">
        <is>
          <t>RJ</t>
        </is>
      </c>
      <c r="I1135" t="n">
        <v>5613</v>
      </c>
      <c r="J1135" t="inlineStr"/>
      <c r="K1135" t="inlineStr"/>
    </row>
    <row r="1136">
      <c r="A1136" s="1">
        <f>HYPERLINK("https://eurofarma-latam-crm.veevavault.com/#object/account__v/V4TZ000018NYFL6", "Laissa Tavares")</f>
        <v/>
      </c>
      <c r="B1136" s="1">
        <f>HYPERLINK("https://eurofarma-latam-crm.veevavault.com/#object/account__v/V4TZ000018NYFL6", "Laissa Vieira Tavares")</f>
        <v/>
      </c>
      <c r="C1136" t="inlineStr">
        <is>
          <t>RJ1214470</t>
        </is>
      </c>
      <c r="D1136" t="inlineStr">
        <is>
          <t>CLG / PA</t>
        </is>
      </c>
      <c r="E1136" t="inlineStr">
        <is>
          <t>Rodovia Ernani do Amaral Peixoto, 23269 - Quadra GLD Lote 2</t>
        </is>
      </c>
      <c r="F1136" t="inlineStr">
        <is>
          <t>São José do Imbassaí</t>
        </is>
      </c>
      <c r="G1136" t="inlineStr">
        <is>
          <t>Maricá</t>
        </is>
      </c>
      <c r="H1136" t="inlineStr">
        <is>
          <t>RJ</t>
        </is>
      </c>
      <c r="I1136" t="n">
        <v>5613</v>
      </c>
      <c r="J1136" t="inlineStr">
        <is>
          <t>CAT 5</t>
        </is>
      </c>
      <c r="K1136" t="inlineStr">
        <is>
          <t>Sim</t>
        </is>
      </c>
    </row>
    <row r="1137">
      <c r="A1137" s="1">
        <f>HYPERLINK("https://eurofarma-latam-crm.veevavault.com/#object/account__v/V4TZ025E8BRMR1R", "Larissa Mattos")</f>
        <v/>
      </c>
      <c r="B1137" s="1">
        <f>HYPERLINK("https://eurofarma-latam-crm.veevavault.com/#object/account__v/V4TZ025E8BRMR1R", "Larissa da Silveira Mattos")</f>
        <v/>
      </c>
      <c r="C1137" t="inlineStr">
        <is>
          <t>RJ1356798</t>
        </is>
      </c>
      <c r="D1137" t="inlineStr">
        <is>
          <t>PED</t>
        </is>
      </c>
      <c r="E1137" t="inlineStr">
        <is>
          <t>Praça Estefania de Carvalho, 26</t>
        </is>
      </c>
      <c r="F1137" t="inlineStr">
        <is>
          <t>Zé Garoto</t>
        </is>
      </c>
      <c r="G1137" t="inlineStr">
        <is>
          <t>São Gonçalo</t>
        </is>
      </c>
      <c r="H1137" t="inlineStr">
        <is>
          <t>RJ</t>
        </is>
      </c>
      <c r="I1137" t="n">
        <v>5613</v>
      </c>
      <c r="J1137" t="inlineStr"/>
      <c r="K1137" t="inlineStr"/>
    </row>
    <row r="1138">
      <c r="A1138" s="1">
        <f>HYPERLINK("https://eurofarma-latam-crm.veevavault.com/#object/account__v/V4TZ025E8COZP8H", "Layse Barreto")</f>
        <v/>
      </c>
      <c r="B1138" s="1">
        <f>HYPERLINK("https://eurofarma-latam-crm.veevavault.com/#object/account__v/V4TZ025E8COZP8H", "Layse Bisogno De Lima Barreto")</f>
        <v/>
      </c>
      <c r="C1138" t="inlineStr">
        <is>
          <t>RJ1362505</t>
        </is>
      </c>
      <c r="D1138" t="inlineStr">
        <is>
          <t>CLG / PA</t>
        </is>
      </c>
      <c r="E1138" t="inlineStr">
        <is>
          <t>Estrada Francisco da Cruz Nunes, S/N</t>
        </is>
      </c>
      <c r="F1138" t="inlineStr">
        <is>
          <t>Piratininga</t>
        </is>
      </c>
      <c r="G1138" t="inlineStr">
        <is>
          <t>Niterói</t>
        </is>
      </c>
      <c r="H1138" t="inlineStr">
        <is>
          <t>RJ</t>
        </is>
      </c>
      <c r="I1138" t="n">
        <v>5613</v>
      </c>
      <c r="J1138" t="inlineStr">
        <is>
          <t>CAT 5</t>
        </is>
      </c>
      <c r="K1138" t="inlineStr">
        <is>
          <t>N�o</t>
        </is>
      </c>
    </row>
    <row r="1139">
      <c r="A1139" s="1">
        <f>HYPERLINK("https://eurofarma-latam-crm.veevavault.com/#object/account__v/V4TZ000018NYPOL", "Leandro de Azevedo")</f>
        <v/>
      </c>
      <c r="B1139" s="1">
        <f>HYPERLINK("https://eurofarma-latam-crm.veevavault.com/#object/account__v/V4TZ000018NYPOL", "Leandro Nogueira de Azevedo")</f>
        <v/>
      </c>
      <c r="C1139" t="inlineStr">
        <is>
          <t>RJ0771295</t>
        </is>
      </c>
      <c r="D1139" t="inlineStr">
        <is>
          <t>ORL</t>
        </is>
      </c>
      <c r="E1139" t="inlineStr">
        <is>
          <t>Rua Conceicao, 37 - Sala 104</t>
        </is>
      </c>
      <c r="F1139" t="inlineStr">
        <is>
          <t>Centro</t>
        </is>
      </c>
      <c r="G1139" t="inlineStr">
        <is>
          <t>Rio Bonito</t>
        </is>
      </c>
      <c r="H1139" t="inlineStr">
        <is>
          <t>RJ</t>
        </is>
      </c>
      <c r="I1139" t="n">
        <v>5613</v>
      </c>
      <c r="J1139" t="inlineStr">
        <is>
          <t>CAT 3</t>
        </is>
      </c>
      <c r="K1139" t="inlineStr">
        <is>
          <t>Sim</t>
        </is>
      </c>
    </row>
    <row r="1140">
      <c r="A1140" s="1">
        <f>HYPERLINK("https://eurofarma-latam-crm.veevavault.com/#object/account__v/V4TZ000018NXZLS", "Leda Abrahao")</f>
        <v/>
      </c>
      <c r="B1140" s="1">
        <f>HYPERLINK("https://eurofarma-latam-crm.veevavault.com/#object/account__v/V4TZ000018NXZLS", "Leda Caetana da Rocha Abrahao")</f>
        <v/>
      </c>
      <c r="C1140" t="inlineStr">
        <is>
          <t>RJ0307541</t>
        </is>
      </c>
      <c r="D1140" t="inlineStr">
        <is>
          <t>PED</t>
        </is>
      </c>
      <c r="E1140" t="inlineStr">
        <is>
          <t>Rua Tiradentes, 12-18</t>
        </is>
      </c>
      <c r="F1140" t="inlineStr">
        <is>
          <t>Ingá</t>
        </is>
      </c>
      <c r="G1140" t="inlineStr">
        <is>
          <t>Niterói</t>
        </is>
      </c>
      <c r="H1140" t="inlineStr">
        <is>
          <t>RJ</t>
        </is>
      </c>
      <c r="I1140" t="n">
        <v>5613</v>
      </c>
      <c r="J1140" t="inlineStr">
        <is>
          <t>CAT 5</t>
        </is>
      </c>
      <c r="K1140" t="inlineStr">
        <is>
          <t>N�o</t>
        </is>
      </c>
    </row>
    <row r="1141">
      <c r="A1141" s="1">
        <f>HYPERLINK("https://eurofarma-latam-crm.veevavault.com/#object/account__v/V4TZ00001913T4A", "Leticia Azevedo")</f>
        <v/>
      </c>
      <c r="B1141" s="1">
        <f>HYPERLINK("https://eurofarma-latam-crm.veevavault.com/#object/account__v/V4TZ00001913T4A", "Leticia Gaudard Azevedo")</f>
        <v/>
      </c>
      <c r="C1141" t="inlineStr">
        <is>
          <t>RJ1028383</t>
        </is>
      </c>
      <c r="D1141" t="inlineStr">
        <is>
          <t>PED</t>
        </is>
      </c>
      <c r="E1141" t="inlineStr">
        <is>
          <t>Rua Doutor Milton de Souza Pacheco, 6</t>
        </is>
      </c>
      <c r="F1141" t="inlineStr">
        <is>
          <t>Centro</t>
        </is>
      </c>
      <c r="G1141" t="inlineStr">
        <is>
          <t>Maricá</t>
        </is>
      </c>
      <c r="H1141" t="inlineStr">
        <is>
          <t>RJ</t>
        </is>
      </c>
      <c r="I1141" t="n">
        <v>5613</v>
      </c>
      <c r="J1141" t="inlineStr">
        <is>
          <t>CAT 5</t>
        </is>
      </c>
      <c r="K1141" t="inlineStr">
        <is>
          <t>Sim</t>
        </is>
      </c>
    </row>
    <row r="1142">
      <c r="A1142" s="1">
        <f>HYPERLINK("https://eurofarma-latam-crm.veevavault.com/#object/account__v/V4TZ0000191404S", "Leticia de Araujo")</f>
        <v/>
      </c>
      <c r="B1142" s="1">
        <f>HYPERLINK("https://eurofarma-latam-crm.veevavault.com/#object/account__v/V4TZ0000191404S", "Leticia Portelli Magalhaes de Araujo")</f>
        <v/>
      </c>
      <c r="C1142" t="inlineStr">
        <is>
          <t>RJ0911151</t>
        </is>
      </c>
      <c r="D1142" t="inlineStr">
        <is>
          <t>PSQ</t>
        </is>
      </c>
      <c r="E1142" t="inlineStr">
        <is>
          <t>Avenida Almirante Tamandaré, 521 - Loja 101</t>
        </is>
      </c>
      <c r="F1142" t="inlineStr">
        <is>
          <t>Piratininga</t>
        </is>
      </c>
      <c r="G1142" t="inlineStr">
        <is>
          <t>Niterói</t>
        </is>
      </c>
      <c r="H1142" t="inlineStr">
        <is>
          <t>RJ</t>
        </is>
      </c>
      <c r="I1142" t="n">
        <v>5613</v>
      </c>
      <c r="J1142" t="inlineStr">
        <is>
          <t>CAT 4</t>
        </is>
      </c>
      <c r="K1142" t="inlineStr">
        <is>
          <t>Sim</t>
        </is>
      </c>
    </row>
    <row r="1143">
      <c r="A1143" s="1">
        <f>HYPERLINK("https://eurofarma-latam-crm.veevavault.com/#object/account__v/V4TZ00001912WBU", "Leticia Lima")</f>
        <v/>
      </c>
      <c r="B1143" s="1">
        <f>HYPERLINK("https://eurofarma-latam-crm.veevavault.com/#object/account__v/V4TZ00001912WBU", "Leticia de Barcellos Lima")</f>
        <v/>
      </c>
      <c r="C1143" t="inlineStr">
        <is>
          <t>RJ0639753</t>
        </is>
      </c>
      <c r="D1143" t="inlineStr">
        <is>
          <t>GER</t>
        </is>
      </c>
      <c r="E1143" t="inlineStr">
        <is>
          <t>Avenida Quintino Bocaiúva, 325 - Sala 303</t>
        </is>
      </c>
      <c r="F1143" t="inlineStr">
        <is>
          <t>São Francisco</t>
        </is>
      </c>
      <c r="G1143" t="inlineStr">
        <is>
          <t>Niterói</t>
        </is>
      </c>
      <c r="H1143" t="inlineStr">
        <is>
          <t>RJ</t>
        </is>
      </c>
      <c r="I1143" t="n">
        <v>5613</v>
      </c>
      <c r="J1143" t="inlineStr">
        <is>
          <t>CAT 3</t>
        </is>
      </c>
      <c r="K1143" t="inlineStr">
        <is>
          <t>Sim</t>
        </is>
      </c>
    </row>
    <row r="1144">
      <c r="A1144" s="1">
        <f>HYPERLINK("https://eurofarma-latam-crm.veevavault.com/#object/account__v/V4TZ00001912XFS", "Lilian Souza")</f>
        <v/>
      </c>
      <c r="B1144" s="1">
        <f>HYPERLINK("https://eurofarma-latam-crm.veevavault.com/#object/account__v/V4TZ00001912XFS", "Lilian Maria Cruz de Souza")</f>
        <v/>
      </c>
      <c r="C1144" t="inlineStr">
        <is>
          <t>RJ0609228</t>
        </is>
      </c>
      <c r="D1144" t="inlineStr">
        <is>
          <t>PSQ</t>
        </is>
      </c>
      <c r="E1144" t="inlineStr">
        <is>
          <t>Rua Van Lerbergue, 2 - Lote 2 Quadra 34</t>
        </is>
      </c>
      <c r="F1144" t="inlineStr">
        <is>
          <t>Barroco (Itaipuaçu)</t>
        </is>
      </c>
      <c r="G1144" t="inlineStr">
        <is>
          <t>Maricá</t>
        </is>
      </c>
      <c r="H1144" t="inlineStr">
        <is>
          <t>RJ</t>
        </is>
      </c>
      <c r="I1144" t="n">
        <v>5613</v>
      </c>
      <c r="J1144" t="inlineStr">
        <is>
          <t>CAT 4</t>
        </is>
      </c>
      <c r="K1144" t="inlineStr">
        <is>
          <t>N�o</t>
        </is>
      </c>
    </row>
    <row r="1145">
      <c r="A1145" s="1">
        <f>HYPERLINK("https://eurofarma-latam-crm.veevavault.com/#object/account__v/V4TZ0000191566K", "Liliane Villela")</f>
        <v/>
      </c>
      <c r="B1145" s="1">
        <f>HYPERLINK("https://eurofarma-latam-crm.veevavault.com/#object/account__v/V4TZ0000191566K", "Liliane Santos Villela")</f>
        <v/>
      </c>
      <c r="C1145" t="inlineStr">
        <is>
          <t>RJ1057286</t>
        </is>
      </c>
      <c r="D1145" t="inlineStr">
        <is>
          <t>CLG / PA</t>
        </is>
      </c>
      <c r="E1145" t="inlineStr">
        <is>
          <t>Rua da Gamboa, 303</t>
        </is>
      </c>
      <c r="F1145" t="inlineStr">
        <is>
          <t>Gamboa</t>
        </is>
      </c>
      <c r="G1145" t="inlineStr">
        <is>
          <t>Rio de Janeiro</t>
        </is>
      </c>
      <c r="H1145" t="inlineStr">
        <is>
          <t>RJ</t>
        </is>
      </c>
      <c r="I1145" t="n">
        <v>5613</v>
      </c>
      <c r="J1145" t="inlineStr">
        <is>
          <t>CAT 4</t>
        </is>
      </c>
      <c r="K1145" t="inlineStr">
        <is>
          <t>Sim</t>
        </is>
      </c>
    </row>
    <row r="1146">
      <c r="A1146" s="1">
        <f>HYPERLINK("https://eurofarma-latam-crm.veevavault.com/#object/account__v/V4TZ000018NXO5H", "Liz Rocha")</f>
        <v/>
      </c>
      <c r="B1146" s="1">
        <f>HYPERLINK("https://eurofarma-latam-crm.veevavault.com/#object/account__v/V4TZ000018NXO5H", "Liz Helena de Moraes Pessôa Rocha")</f>
        <v/>
      </c>
      <c r="C1146" t="inlineStr">
        <is>
          <t>RJ0927392</t>
        </is>
      </c>
      <c r="D1146" t="inlineStr">
        <is>
          <t>PSQ</t>
        </is>
      </c>
      <c r="E1146" t="inlineStr">
        <is>
          <t>Avenida Carlos Marighella, 1153</t>
        </is>
      </c>
      <c r="F1146" t="inlineStr">
        <is>
          <t>Barroco (Itaipuaçu)</t>
        </is>
      </c>
      <c r="G1146" t="inlineStr">
        <is>
          <t>Maricá</t>
        </is>
      </c>
      <c r="H1146" t="inlineStr">
        <is>
          <t>RJ</t>
        </is>
      </c>
      <c r="I1146" t="n">
        <v>5613</v>
      </c>
      <c r="J1146" t="inlineStr">
        <is>
          <t>CAT 3</t>
        </is>
      </c>
      <c r="K1146" t="inlineStr">
        <is>
          <t>Sim</t>
        </is>
      </c>
    </row>
    <row r="1147">
      <c r="A1147" s="1">
        <f>HYPERLINK("https://eurofarma-latam-crm.veevavault.com/#object/account__v/V4TZ025E8BS8IRT", "Lorran Gago")</f>
        <v/>
      </c>
      <c r="B1147" s="1">
        <f>HYPERLINK("https://eurofarma-latam-crm.veevavault.com/#object/account__v/V4TZ025E8BS8IRT", "Lorran Ramos Gago")</f>
        <v/>
      </c>
      <c r="C1147" t="inlineStr">
        <is>
          <t>RJ1357190</t>
        </is>
      </c>
      <c r="D1147" t="inlineStr">
        <is>
          <t>CLG / PA</t>
        </is>
      </c>
      <c r="E1147" t="inlineStr">
        <is>
          <t>Rua Euclides Paulo da Silva, S/N</t>
        </is>
      </c>
      <c r="F1147" t="inlineStr">
        <is>
          <t>Inoã (Inoã)</t>
        </is>
      </c>
      <c r="G1147" t="inlineStr">
        <is>
          <t>Maricá</t>
        </is>
      </c>
      <c r="H1147" t="inlineStr">
        <is>
          <t>RJ</t>
        </is>
      </c>
      <c r="I1147" t="n">
        <v>5613</v>
      </c>
      <c r="J1147" t="inlineStr">
        <is>
          <t>CAT 5</t>
        </is>
      </c>
      <c r="K1147" t="inlineStr">
        <is>
          <t>N�o</t>
        </is>
      </c>
    </row>
    <row r="1148">
      <c r="A1148" s="1">
        <f>HYPERLINK("https://eurofarma-latam-crm.veevavault.com/#object/account__v/V4TZ025E8B6SGPN", "Luana do Nascimento")</f>
        <v/>
      </c>
      <c r="B1148" s="1">
        <f>HYPERLINK("https://eurofarma-latam-crm.veevavault.com/#object/account__v/V4TZ025E8B6SGPN", "Luana Rodrigues Gusmão do Nascimento")</f>
        <v/>
      </c>
      <c r="C1148" t="inlineStr">
        <is>
          <t>RJ1355627</t>
        </is>
      </c>
      <c r="D1148" t="inlineStr">
        <is>
          <t>PED</t>
        </is>
      </c>
      <c r="E1148" t="inlineStr">
        <is>
          <t>Condominio Sitio Santa Paula, S/N - Setor A</t>
        </is>
      </c>
      <c r="F1148" t="inlineStr">
        <is>
          <t>Santa Paula (Inoã)</t>
        </is>
      </c>
      <c r="G1148" t="inlineStr">
        <is>
          <t>Maricá</t>
        </is>
      </c>
      <c r="H1148" t="inlineStr">
        <is>
          <t>RJ</t>
        </is>
      </c>
      <c r="I1148" t="n">
        <v>5613</v>
      </c>
      <c r="J1148" t="inlineStr"/>
      <c r="K1148" t="inlineStr"/>
    </row>
    <row r="1149">
      <c r="A1149" s="1">
        <f>HYPERLINK("https://eurofarma-latam-crm.veevavault.com/#object/account__v/V4TZ025E8DETRKI", "Luana Fonseca")</f>
        <v/>
      </c>
      <c r="B1149" s="1">
        <f>HYPERLINK("https://eurofarma-latam-crm.veevavault.com/#object/account__v/V4TZ025E8DETRKI", "Luana Machado Fonseca")</f>
        <v/>
      </c>
      <c r="C1149" t="inlineStr">
        <is>
          <t>RJ1359258</t>
        </is>
      </c>
      <c r="D1149" t="inlineStr">
        <is>
          <t>CLG / PA</t>
        </is>
      </c>
      <c r="E1149" t="inlineStr">
        <is>
          <t>Rua Baster Pillar, S/N</t>
        </is>
      </c>
      <c r="F1149" t="inlineStr">
        <is>
          <t>Parque Hotel</t>
        </is>
      </c>
      <c r="G1149" t="inlineStr">
        <is>
          <t>Araruama</t>
        </is>
      </c>
      <c r="H1149" t="inlineStr">
        <is>
          <t>RJ</t>
        </is>
      </c>
      <c r="I1149" t="n">
        <v>5613</v>
      </c>
      <c r="J1149" t="inlineStr">
        <is>
          <t>CAT 5</t>
        </is>
      </c>
      <c r="K1149" t="inlineStr">
        <is>
          <t>N�o</t>
        </is>
      </c>
    </row>
    <row r="1150">
      <c r="A1150" s="1">
        <f>HYPERLINK("https://eurofarma-latam-crm.veevavault.com/#object/account__v/V4TZ00001912W3D", "Lucia de Ornellas")</f>
        <v/>
      </c>
      <c r="B1150" s="1">
        <f>HYPERLINK("https://eurofarma-latam-crm.veevavault.com/#object/account__v/V4TZ00001912W3D", "Lucia Maria Cardoso de Ornellas")</f>
        <v/>
      </c>
      <c r="C1150" t="inlineStr">
        <is>
          <t>RJ0333449</t>
        </is>
      </c>
      <c r="D1150" t="inlineStr">
        <is>
          <t>PED</t>
        </is>
      </c>
      <c r="E1150" t="inlineStr">
        <is>
          <t>Estrada Francisco da Cruz Nunes, 6501 - Sala 313</t>
        </is>
      </c>
      <c r="F1150" t="inlineStr">
        <is>
          <t>Piratininga</t>
        </is>
      </c>
      <c r="G1150" t="inlineStr">
        <is>
          <t>Niterói</t>
        </is>
      </c>
      <c r="H1150" t="inlineStr">
        <is>
          <t>RJ</t>
        </is>
      </c>
      <c r="I1150" t="n">
        <v>5613</v>
      </c>
      <c r="J1150" t="inlineStr">
        <is>
          <t>CAT 5</t>
        </is>
      </c>
      <c r="K1150" t="inlineStr">
        <is>
          <t>Sim</t>
        </is>
      </c>
    </row>
    <row r="1151">
      <c r="A1151" s="1">
        <f>HYPERLINK("https://eurofarma-latam-crm.veevavault.com/#object/account__v/V4TZ000018NZ15K", "Lucia Sanguedo")</f>
        <v/>
      </c>
      <c r="B1151" s="1">
        <f>HYPERLINK("https://eurofarma-latam-crm.veevavault.com/#object/account__v/V4TZ000018NZ15K", "Lucia Azevedo Sanguedo")</f>
        <v/>
      </c>
      <c r="C1151" t="inlineStr">
        <is>
          <t>RJ0449416</t>
        </is>
      </c>
      <c r="D1151" t="inlineStr">
        <is>
          <t>CLG</t>
        </is>
      </c>
      <c r="E1151" t="inlineStr">
        <is>
          <t>Rua Manoel de Abreu, 9 - Parte</t>
        </is>
      </c>
      <c r="F1151" t="inlineStr">
        <is>
          <t>Centro</t>
        </is>
      </c>
      <c r="G1151" t="inlineStr">
        <is>
          <t>Niterói</t>
        </is>
      </c>
      <c r="H1151" t="inlineStr">
        <is>
          <t>RJ</t>
        </is>
      </c>
      <c r="I1151" t="n">
        <v>5613</v>
      </c>
      <c r="J1151" t="inlineStr">
        <is>
          <t>CAT 5</t>
        </is>
      </c>
      <c r="K1151" t="inlineStr">
        <is>
          <t>N�o</t>
        </is>
      </c>
    </row>
    <row r="1152">
      <c r="A1152" s="1">
        <f>HYPERLINK("https://eurofarma-latam-crm.veevavault.com/#object/account__v/V4TZ000018NYZ8S", "Luciana Osolins")</f>
        <v/>
      </c>
      <c r="B1152" s="1">
        <f>HYPERLINK("https://eurofarma-latam-crm.veevavault.com/#object/account__v/V4TZ000018NYZ8S", "Luciana Furtado Osolins")</f>
        <v/>
      </c>
      <c r="C1152" t="inlineStr">
        <is>
          <t>RJ1235567</t>
        </is>
      </c>
      <c r="D1152" t="inlineStr">
        <is>
          <t>CLG / PA</t>
        </is>
      </c>
      <c r="E1152" t="inlineStr">
        <is>
          <t>Rua Dagmar da Fonseca, 192</t>
        </is>
      </c>
      <c r="F1152" t="inlineStr">
        <is>
          <t>Madureira</t>
        </is>
      </c>
      <c r="G1152" t="inlineStr">
        <is>
          <t>Rio de Janeiro</t>
        </is>
      </c>
      <c r="H1152" t="inlineStr">
        <is>
          <t>RJ</t>
        </is>
      </c>
      <c r="I1152" t="n">
        <v>5613</v>
      </c>
      <c r="J1152" t="inlineStr">
        <is>
          <t>CAT 4</t>
        </is>
      </c>
      <c r="K1152" t="inlineStr">
        <is>
          <t>Sim</t>
        </is>
      </c>
    </row>
    <row r="1153">
      <c r="A1153" s="1">
        <f>HYPERLINK("https://eurofarma-latam-crm.veevavault.com/#object/account__v/V4TZ00001914L8B", "Lucio Barbosa")</f>
        <v/>
      </c>
      <c r="B1153" s="1">
        <f>HYPERLINK("https://eurofarma-latam-crm.veevavault.com/#object/account__v/V4TZ00001914L8B", "Lucio Tavares Barbosa")</f>
        <v/>
      </c>
      <c r="C1153" t="inlineStr">
        <is>
          <t>MG0021395,RJ0467584</t>
        </is>
      </c>
      <c r="D1153" t="inlineStr">
        <is>
          <t>ORL</t>
        </is>
      </c>
      <c r="E1153" t="inlineStr">
        <is>
          <t>Rua Rodrigues da Fonseca, 338</t>
        </is>
      </c>
      <c r="F1153" t="inlineStr">
        <is>
          <t>Zé Garoto</t>
        </is>
      </c>
      <c r="G1153" t="inlineStr">
        <is>
          <t>São Gonçalo</t>
        </is>
      </c>
      <c r="H1153" t="inlineStr">
        <is>
          <t>RJ</t>
        </is>
      </c>
      <c r="I1153" t="n">
        <v>5613</v>
      </c>
      <c r="J1153" t="inlineStr">
        <is>
          <t>CAT 3</t>
        </is>
      </c>
      <c r="K1153" t="inlineStr">
        <is>
          <t>Sim</t>
        </is>
      </c>
    </row>
    <row r="1154">
      <c r="A1154" s="1">
        <f>HYPERLINK("https://eurofarma-latam-crm.veevavault.com/#object/account__v/V4TZ000018NYPY7", "Ludmila Morada")</f>
        <v/>
      </c>
      <c r="B1154" s="1">
        <f>HYPERLINK("https://eurofarma-latam-crm.veevavault.com/#object/account__v/V4TZ000018NYPY7", "Ludmila Martins Bueri Aguiar Morada")</f>
        <v/>
      </c>
      <c r="C1154" t="inlineStr">
        <is>
          <t>RJ1017594</t>
        </is>
      </c>
      <c r="D1154" t="inlineStr">
        <is>
          <t>PSQ</t>
        </is>
      </c>
      <c r="E1154" t="inlineStr">
        <is>
          <t>Rua Reverendo Armando Ferreira, 30</t>
        </is>
      </c>
      <c r="F1154" t="inlineStr">
        <is>
          <t>Largo da Batalha</t>
        </is>
      </c>
      <c r="G1154" t="inlineStr">
        <is>
          <t>Niterói</t>
        </is>
      </c>
      <c r="H1154" t="inlineStr">
        <is>
          <t>RJ</t>
        </is>
      </c>
      <c r="I1154" t="n">
        <v>5613</v>
      </c>
      <c r="J1154" t="inlineStr">
        <is>
          <t>CAT 3</t>
        </is>
      </c>
      <c r="K1154" t="inlineStr">
        <is>
          <t>Sim</t>
        </is>
      </c>
    </row>
    <row r="1155">
      <c r="A1155" s="1">
        <f>HYPERLINK("https://eurofarma-latam-crm.veevavault.com/#object/account__v/V4TZ025E83WNN62", "Luís Carlos dos Santos")</f>
        <v/>
      </c>
      <c r="B1155" s="1">
        <f>HYPERLINK("https://eurofarma-latam-crm.veevavault.com/#object/account__v/V4TZ025E83WNN62", "Luís Carlos Rodrigues dos Santos")</f>
        <v/>
      </c>
      <c r="C1155" t="inlineStr">
        <is>
          <t>RJ1178849</t>
        </is>
      </c>
      <c r="D1155" t="inlineStr">
        <is>
          <t>PSQ</t>
        </is>
      </c>
      <c r="E1155" t="inlineStr">
        <is>
          <t>Estrada Francisco da Cruz Nunes, 5428</t>
        </is>
      </c>
      <c r="F1155" t="inlineStr">
        <is>
          <t>Santo Antônio</t>
        </is>
      </c>
      <c r="G1155" t="inlineStr">
        <is>
          <t>Niterói</t>
        </is>
      </c>
      <c r="H1155" t="inlineStr">
        <is>
          <t>RJ</t>
        </is>
      </c>
      <c r="I1155" t="n">
        <v>5613</v>
      </c>
      <c r="J1155" t="inlineStr">
        <is>
          <t>CAT 2</t>
        </is>
      </c>
      <c r="K1155" t="inlineStr">
        <is>
          <t>Sim</t>
        </is>
      </c>
    </row>
    <row r="1156">
      <c r="A1156" s="1">
        <f>HYPERLINK("https://eurofarma-latam-crm.veevavault.com/#object/account__v/V4TZ025E84E5YWX", "Luísa Aguiar")</f>
        <v/>
      </c>
      <c r="B1156" s="1">
        <f>HYPERLINK("https://eurofarma-latam-crm.veevavault.com/#object/account__v/V4TZ025E84E5YWX", "Luísa de Castro Aguiar")</f>
        <v/>
      </c>
      <c r="C1156" t="inlineStr">
        <is>
          <t>RJ1297376</t>
        </is>
      </c>
      <c r="D1156" t="inlineStr">
        <is>
          <t>CLG / PA</t>
        </is>
      </c>
      <c r="E1156" t="inlineStr">
        <is>
          <t>Rua Doutor Nilo Peçanha, 442 - Parte</t>
        </is>
      </c>
      <c r="F1156" t="inlineStr">
        <is>
          <t>Estrela do Norte</t>
        </is>
      </c>
      <c r="G1156" t="inlineStr">
        <is>
          <t>São Gonçalo</t>
        </is>
      </c>
      <c r="H1156" t="inlineStr">
        <is>
          <t>RJ</t>
        </is>
      </c>
      <c r="I1156" t="n">
        <v>5613</v>
      </c>
      <c r="J1156" t="inlineStr">
        <is>
          <t>CAT 5</t>
        </is>
      </c>
      <c r="K1156" t="inlineStr">
        <is>
          <t>N�o</t>
        </is>
      </c>
    </row>
    <row r="1157">
      <c r="A1157" s="1">
        <f>HYPERLINK("https://eurofarma-latam-crm.veevavault.com/#object/account__v/V4TZ000018NXORN", "Luiz Carvalho")</f>
        <v/>
      </c>
      <c r="B1157" s="1">
        <f>HYPERLINK("https://eurofarma-latam-crm.veevavault.com/#object/account__v/V4TZ000018NXORN", "Luiz Felipe Moreira Carvalho")</f>
        <v/>
      </c>
      <c r="C1157" t="inlineStr">
        <is>
          <t>RJ0970875</t>
        </is>
      </c>
      <c r="D1157" t="inlineStr">
        <is>
          <t>PED</t>
        </is>
      </c>
      <c r="E1157" t="inlineStr">
        <is>
          <t>Estrada do Pacheco, 216</t>
        </is>
      </c>
      <c r="F1157" t="inlineStr">
        <is>
          <t>Lagoinha</t>
        </is>
      </c>
      <c r="G1157" t="inlineStr">
        <is>
          <t>São Gonçalo</t>
        </is>
      </c>
      <c r="H1157" t="inlineStr">
        <is>
          <t>RJ</t>
        </is>
      </c>
      <c r="I1157" t="n">
        <v>5613</v>
      </c>
      <c r="J1157" t="inlineStr">
        <is>
          <t>CAT 5</t>
        </is>
      </c>
      <c r="K1157" t="inlineStr">
        <is>
          <t>Sim</t>
        </is>
      </c>
    </row>
    <row r="1158">
      <c r="A1158" s="1">
        <f>HYPERLINK("https://eurofarma-latam-crm.veevavault.com/#object/account__v/V4TZ0000191476A", "Luiz Manoel de Freitas")</f>
        <v/>
      </c>
      <c r="B1158" s="1">
        <f>HYPERLINK("https://eurofarma-latam-crm.veevavault.com/#object/account__v/V4TZ0000191476A", "Luiz Manoel Malatesta de Freitas")</f>
        <v/>
      </c>
      <c r="C1158" t="inlineStr">
        <is>
          <t>RJ1159658</t>
        </is>
      </c>
      <c r="D1158" t="inlineStr">
        <is>
          <t>PSQ</t>
        </is>
      </c>
      <c r="E1158" t="inlineStr">
        <is>
          <t>Avenida Quintino Bocaiúva, 325 - 409</t>
        </is>
      </c>
      <c r="F1158" t="inlineStr">
        <is>
          <t>São Francisco</t>
        </is>
      </c>
      <c r="G1158" t="inlineStr">
        <is>
          <t>Niterói</t>
        </is>
      </c>
      <c r="H1158" t="inlineStr">
        <is>
          <t>RJ</t>
        </is>
      </c>
      <c r="I1158" t="n">
        <v>5613</v>
      </c>
      <c r="J1158" t="inlineStr">
        <is>
          <t>CAT 3</t>
        </is>
      </c>
      <c r="K1158" t="inlineStr">
        <is>
          <t>Sim</t>
        </is>
      </c>
    </row>
    <row r="1159">
      <c r="A1159" s="1">
        <f>HYPERLINK("https://eurofarma-latam-crm.veevavault.com/#object/account__v/V4TZ000018NXYEN", "Luiz Morgado")</f>
        <v/>
      </c>
      <c r="B1159" s="1">
        <f>HYPERLINK("https://eurofarma-latam-crm.veevavault.com/#object/account__v/V4TZ000018NXYEN", "Luiz Morgado")</f>
        <v/>
      </c>
      <c r="C1159" t="inlineStr">
        <is>
          <t>RJ0032736</t>
        </is>
      </c>
      <c r="D1159" t="inlineStr">
        <is>
          <t>ORT</t>
        </is>
      </c>
      <c r="E1159" t="inlineStr">
        <is>
          <t>Rua Doutor Nilo Peçanha, 346</t>
        </is>
      </c>
      <c r="F1159" t="inlineStr">
        <is>
          <t>Estrela do Norte</t>
        </is>
      </c>
      <c r="G1159" t="inlineStr">
        <is>
          <t>São Gonçalo</t>
        </is>
      </c>
      <c r="H1159" t="inlineStr">
        <is>
          <t>RJ</t>
        </is>
      </c>
      <c r="I1159" t="n">
        <v>5613</v>
      </c>
      <c r="J1159" t="inlineStr">
        <is>
          <t>CAT 5</t>
        </is>
      </c>
      <c r="K1159" t="inlineStr">
        <is>
          <t>Sim</t>
        </is>
      </c>
    </row>
    <row r="1160">
      <c r="A1160" s="1">
        <f>HYPERLINK("https://eurofarma-latam-crm.veevavault.com/#object/account__v/V4TZ00001915UPF", "Luiz Pinto")</f>
        <v/>
      </c>
      <c r="B1160" s="1">
        <f>HYPERLINK("https://eurofarma-latam-crm.veevavault.com/#object/account__v/V4TZ00001915UPF", "Luiz Daniel Queiroz Pinto")</f>
        <v/>
      </c>
      <c r="C1160" t="inlineStr">
        <is>
          <t>RJ0685259</t>
        </is>
      </c>
      <c r="D1160" t="inlineStr">
        <is>
          <t>ORT</t>
        </is>
      </c>
      <c r="E1160" t="inlineStr">
        <is>
          <t>Rua Azamor José da Silva, 229</t>
        </is>
      </c>
      <c r="F1160" t="inlineStr">
        <is>
          <t>Araçatiba</t>
        </is>
      </c>
      <c r="G1160" t="inlineStr">
        <is>
          <t>Maricá</t>
        </is>
      </c>
      <c r="H1160" t="inlineStr">
        <is>
          <t>RJ</t>
        </is>
      </c>
      <c r="I1160" t="n">
        <v>5613</v>
      </c>
      <c r="J1160" t="inlineStr">
        <is>
          <t>CAT 3</t>
        </is>
      </c>
      <c r="K1160" t="inlineStr">
        <is>
          <t>Sim</t>
        </is>
      </c>
    </row>
    <row r="1161">
      <c r="A1161" s="1">
        <f>HYPERLINK("https://eurofarma-latam-crm.veevavault.com/#object/account__v/V4TZ025E82P1L12", "Luíza Gobato")</f>
        <v/>
      </c>
      <c r="B1161" s="1">
        <f>HYPERLINK("https://eurofarma-latam-crm.veevavault.com/#object/account__v/V4TZ025E82P1L12", "Luíza Marins Gobato")</f>
        <v/>
      </c>
      <c r="C1161" t="inlineStr">
        <is>
          <t>RJ1265806</t>
        </is>
      </c>
      <c r="D1161" t="inlineStr">
        <is>
          <t>PSQ</t>
        </is>
      </c>
      <c r="E1161" t="inlineStr">
        <is>
          <t>Rua Gavião Peixoto, 70 - Sala 907</t>
        </is>
      </c>
      <c r="F1161" t="inlineStr">
        <is>
          <t>Icaraí</t>
        </is>
      </c>
      <c r="G1161" t="inlineStr">
        <is>
          <t>Niterói</t>
        </is>
      </c>
      <c r="H1161" t="inlineStr">
        <is>
          <t>RJ</t>
        </is>
      </c>
      <c r="I1161" t="n">
        <v>5613</v>
      </c>
      <c r="J1161" t="inlineStr">
        <is>
          <t>CAT 3</t>
        </is>
      </c>
      <c r="K1161" t="inlineStr">
        <is>
          <t>Sim</t>
        </is>
      </c>
    </row>
    <row r="1162">
      <c r="A1162" s="1">
        <f>HYPERLINK("https://eurofarma-latam-crm.veevavault.com/#object/account__v/V4TZ025E84NQYWB", "Luiza Paim")</f>
        <v/>
      </c>
      <c r="B1162" s="1">
        <f>HYPERLINK("https://eurofarma-latam-crm.veevavault.com/#object/account__v/V4TZ025E84NQYWB", "Luiza Cruz Teixeira Paim")</f>
        <v/>
      </c>
      <c r="C1162" t="inlineStr">
        <is>
          <t>RJ1298690</t>
        </is>
      </c>
      <c r="D1162" t="inlineStr">
        <is>
          <t>CLG / PA</t>
        </is>
      </c>
      <c r="E1162" t="inlineStr">
        <is>
          <t>Rua Ataíde Parreiras, 266 - Bloco 1</t>
        </is>
      </c>
      <c r="F1162" t="inlineStr">
        <is>
          <t>Fátima</t>
        </is>
      </c>
      <c r="G1162" t="inlineStr">
        <is>
          <t>Niterói</t>
        </is>
      </c>
      <c r="H1162" t="inlineStr">
        <is>
          <t>RJ</t>
        </is>
      </c>
      <c r="I1162" t="n">
        <v>5613</v>
      </c>
      <c r="J1162" t="inlineStr">
        <is>
          <t>CAT 5</t>
        </is>
      </c>
      <c r="K1162" t="inlineStr">
        <is>
          <t>N�o</t>
        </is>
      </c>
    </row>
    <row r="1163">
      <c r="A1163" s="1">
        <f>HYPERLINK("https://eurofarma-latam-crm.veevavault.com/#object/account__v/V4TZ04ASGLUE5D2", "Luize Rocha")</f>
        <v/>
      </c>
      <c r="B1163" s="1">
        <f>HYPERLINK("https://eurofarma-latam-crm.veevavault.com/#object/account__v/V4TZ04ASGLUE5D2", "Luize de Moraes Pessoa Rocha")</f>
        <v/>
      </c>
      <c r="C1163" t="inlineStr">
        <is>
          <t>RJ0683850</t>
        </is>
      </c>
      <c r="D1163" t="inlineStr">
        <is>
          <t>CLG / END</t>
        </is>
      </c>
      <c r="E1163" t="inlineStr">
        <is>
          <t>Avenida Zumbi dos Palmares, 94</t>
        </is>
      </c>
      <c r="F1163" t="inlineStr">
        <is>
          <t>Barroco (Itaipuaçu)</t>
        </is>
      </c>
      <c r="G1163" t="inlineStr">
        <is>
          <t>Maricá</t>
        </is>
      </c>
      <c r="H1163" t="inlineStr">
        <is>
          <t>RJ</t>
        </is>
      </c>
      <c r="I1163" t="n">
        <v>5613</v>
      </c>
      <c r="J1163" t="inlineStr">
        <is>
          <t>CAT 5</t>
        </is>
      </c>
      <c r="K1163" t="inlineStr">
        <is>
          <t>Sim</t>
        </is>
      </c>
    </row>
    <row r="1164">
      <c r="A1164" s="1">
        <f>HYPERLINK("https://eurofarma-latam-crm.veevavault.com/#object/account__v/V4TZ00001915043", "Manuela Bento")</f>
        <v/>
      </c>
      <c r="B1164" s="1">
        <f>HYPERLINK("https://eurofarma-latam-crm.veevavault.com/#object/account__v/V4TZ00001915043", "Manuela Barros de Alarcao Bento")</f>
        <v/>
      </c>
      <c r="C1164" t="inlineStr">
        <is>
          <t>RJ1055437</t>
        </is>
      </c>
      <c r="D1164" t="inlineStr">
        <is>
          <t>PED</t>
        </is>
      </c>
      <c r="E1164" t="inlineStr">
        <is>
          <t>Avenida Quintino Bocaiúva, 311 - Sala 501</t>
        </is>
      </c>
      <c r="F1164" t="inlineStr">
        <is>
          <t>São Francisco</t>
        </is>
      </c>
      <c r="G1164" t="inlineStr">
        <is>
          <t>Niterói</t>
        </is>
      </c>
      <c r="H1164" t="inlineStr">
        <is>
          <t>RJ</t>
        </is>
      </c>
      <c r="I1164" t="n">
        <v>5613</v>
      </c>
      <c r="J1164" t="inlineStr">
        <is>
          <t>CAT 4</t>
        </is>
      </c>
      <c r="K1164" t="inlineStr">
        <is>
          <t>Sim</t>
        </is>
      </c>
    </row>
    <row r="1165">
      <c r="A1165" s="1">
        <f>HYPERLINK("https://eurofarma-latam-crm.veevavault.com/#object/account__v/V4TZ00001915H4L", "Marcela Guimaraes")</f>
        <v/>
      </c>
      <c r="B1165" s="1">
        <f>HYPERLINK("https://eurofarma-latam-crm.veevavault.com/#object/account__v/V4TZ00001915H4L", "Marcela Manhone Zambrotti Guimaraes")</f>
        <v/>
      </c>
      <c r="C1165" t="inlineStr">
        <is>
          <t>RJ0819298</t>
        </is>
      </c>
      <c r="D1165" t="inlineStr">
        <is>
          <t>CLG</t>
        </is>
      </c>
      <c r="E1165" t="inlineStr">
        <is>
          <t>Avenida Carlos Ermelindo Marins , S/N</t>
        </is>
      </c>
      <c r="F1165" t="inlineStr">
        <is>
          <t>Jurujuba</t>
        </is>
      </c>
      <c r="G1165" t="inlineStr">
        <is>
          <t>Niterói</t>
        </is>
      </c>
      <c r="H1165" t="inlineStr">
        <is>
          <t>RJ</t>
        </is>
      </c>
      <c r="I1165" t="n">
        <v>5613</v>
      </c>
      <c r="J1165" t="inlineStr">
        <is>
          <t>CAT 5</t>
        </is>
      </c>
      <c r="K1165" t="inlineStr">
        <is>
          <t>Sim</t>
        </is>
      </c>
    </row>
    <row r="1166">
      <c r="A1166" s="1">
        <f>HYPERLINK("https://eurofarma-latam-crm.veevavault.com/#object/account__v/V4TZ00001912YIG", "Marcelo Alves")</f>
        <v/>
      </c>
      <c r="B1166" s="1">
        <f>HYPERLINK("https://eurofarma-latam-crm.veevavault.com/#object/account__v/V4TZ00001912YIG", "Marcelo Couto Alves")</f>
        <v/>
      </c>
      <c r="C1166" t="inlineStr">
        <is>
          <t>RJ0834939</t>
        </is>
      </c>
      <c r="D1166" t="inlineStr">
        <is>
          <t>CLG / PA</t>
        </is>
      </c>
      <c r="E1166" t="inlineStr">
        <is>
          <t>Rua Professor José Leandro, 1055</t>
        </is>
      </c>
      <c r="F1166" t="inlineStr">
        <is>
          <t>Canal</t>
        </is>
      </c>
      <c r="G1166" t="inlineStr">
        <is>
          <t>Magé</t>
        </is>
      </c>
      <c r="H1166" t="inlineStr">
        <is>
          <t>RJ</t>
        </is>
      </c>
      <c r="I1166" t="n">
        <v>5613</v>
      </c>
      <c r="J1166" t="inlineStr">
        <is>
          <t>CAT 5</t>
        </is>
      </c>
      <c r="K1166" t="inlineStr">
        <is>
          <t>Sim</t>
        </is>
      </c>
    </row>
    <row r="1167">
      <c r="A1167" s="1">
        <f>HYPERLINK("https://eurofarma-latam-crm.veevavault.com/#object/account__v/V4TZ00001914RKA", "Marcelo da Cunha")</f>
        <v/>
      </c>
      <c r="B1167" s="1">
        <f>HYPERLINK("https://eurofarma-latam-crm.veevavault.com/#object/account__v/V4TZ00001914RKA", "Marcelo Pacheco da Cunha")</f>
        <v/>
      </c>
      <c r="C1167" t="inlineStr">
        <is>
          <t>RJ0696617</t>
        </is>
      </c>
      <c r="D1167" t="inlineStr">
        <is>
          <t>URO</t>
        </is>
      </c>
      <c r="E1167" t="inlineStr">
        <is>
          <t>Rua Doutor Milton de Souza Pacheco, 6</t>
        </is>
      </c>
      <c r="F1167" t="inlineStr">
        <is>
          <t>Centro</t>
        </is>
      </c>
      <c r="G1167" t="inlineStr">
        <is>
          <t>Maricá</t>
        </is>
      </c>
      <c r="H1167" t="inlineStr">
        <is>
          <t>RJ</t>
        </is>
      </c>
      <c r="I1167" t="n">
        <v>5613</v>
      </c>
      <c r="J1167" t="inlineStr">
        <is>
          <t>CAT 5</t>
        </is>
      </c>
      <c r="K1167" t="inlineStr">
        <is>
          <t>Sim</t>
        </is>
      </c>
    </row>
    <row r="1168">
      <c r="A1168" s="1">
        <f>HYPERLINK("https://eurofarma-latam-crm.veevavault.com/#object/account__v/V4TZ00001913IL4", "Marcelo da Rocha")</f>
        <v/>
      </c>
      <c r="B1168" s="1">
        <f>HYPERLINK("https://eurofarma-latam-crm.veevavault.com/#object/account__v/V4TZ00001913IL4", "Marcelo Teotônio Prunes da Rocha")</f>
        <v/>
      </c>
      <c r="C1168" t="inlineStr">
        <is>
          <t>RJ0665746</t>
        </is>
      </c>
      <c r="D1168" t="inlineStr">
        <is>
          <t>GER</t>
        </is>
      </c>
      <c r="E1168" t="inlineStr">
        <is>
          <t>Rua Manoel de Abreu, 9 - Parte</t>
        </is>
      </c>
      <c r="F1168" t="inlineStr">
        <is>
          <t>Centro</t>
        </is>
      </c>
      <c r="G1168" t="inlineStr">
        <is>
          <t>Niterói</t>
        </is>
      </c>
      <c r="H1168" t="inlineStr">
        <is>
          <t>RJ</t>
        </is>
      </c>
      <c r="I1168" t="n">
        <v>5613</v>
      </c>
      <c r="J1168" t="inlineStr">
        <is>
          <t>CAT 2</t>
        </is>
      </c>
      <c r="K1168" t="inlineStr">
        <is>
          <t>Sim</t>
        </is>
      </c>
    </row>
    <row r="1169">
      <c r="A1169" s="1">
        <f>HYPERLINK("https://eurofarma-latam-crm.veevavault.com/#object/account__v/V4TZ04ASGMUXZ4B", "Marcelo de Figueiredo")</f>
        <v/>
      </c>
      <c r="B1169" s="1">
        <f>HYPERLINK("https://eurofarma-latam-crm.veevavault.com/#object/account__v/V4TZ04ASGMUXZ4B", "Marcelo Kuhne de Figueiredo")</f>
        <v/>
      </c>
      <c r="C1169" t="inlineStr">
        <is>
          <t>RJ0811238</t>
        </is>
      </c>
      <c r="D1169" t="inlineStr">
        <is>
          <t>ORT</t>
        </is>
      </c>
      <c r="E1169" t="inlineStr">
        <is>
          <t>Rua Domício da Gama, 433</t>
        </is>
      </c>
      <c r="F1169" t="inlineStr">
        <is>
          <t>Araçatiba</t>
        </is>
      </c>
      <c r="G1169" t="inlineStr">
        <is>
          <t>Maricá</t>
        </is>
      </c>
      <c r="H1169" t="inlineStr">
        <is>
          <t>RJ</t>
        </is>
      </c>
      <c r="I1169" t="n">
        <v>5613</v>
      </c>
      <c r="J1169" t="inlineStr">
        <is>
          <t>CAT 5</t>
        </is>
      </c>
      <c r="K1169" t="inlineStr">
        <is>
          <t>Sim</t>
        </is>
      </c>
    </row>
    <row r="1170">
      <c r="A1170" s="1">
        <f>HYPERLINK("https://eurofarma-latam-crm.veevavault.com/#object/account__v/V4TZ00001914DHJ", "Marcelo Herszenhut")</f>
        <v/>
      </c>
      <c r="B1170" s="1">
        <f>HYPERLINK("https://eurofarma-latam-crm.veevavault.com/#object/account__v/V4TZ00001914DHJ", "Marcelo Herszenhut")</f>
        <v/>
      </c>
      <c r="C1170" t="inlineStr">
        <is>
          <t>RJ0400456</t>
        </is>
      </c>
      <c r="D1170" t="inlineStr">
        <is>
          <t>END</t>
        </is>
      </c>
      <c r="E1170" t="inlineStr">
        <is>
          <t>Rua Manoel Pacheco de Carvalho, 327</t>
        </is>
      </c>
      <c r="F1170" t="inlineStr">
        <is>
          <t>Piratininga</t>
        </is>
      </c>
      <c r="G1170" t="inlineStr">
        <is>
          <t>Niterói</t>
        </is>
      </c>
      <c r="H1170" t="inlineStr">
        <is>
          <t>RJ</t>
        </is>
      </c>
      <c r="I1170" t="n">
        <v>5613</v>
      </c>
      <c r="J1170" t="inlineStr">
        <is>
          <t>CAT 3</t>
        </is>
      </c>
      <c r="K1170" t="inlineStr">
        <is>
          <t>Sim</t>
        </is>
      </c>
    </row>
    <row r="1171">
      <c r="A1171" s="1">
        <f>HYPERLINK("https://eurofarma-latam-crm.veevavault.com/#object/account__v/V4TZ00001915H1S", "Marcelo Mouzinho")</f>
        <v/>
      </c>
      <c r="B1171" s="1">
        <f>HYPERLINK("https://eurofarma-latam-crm.veevavault.com/#object/account__v/V4TZ00001915H1S", "Marcelo Lopes Mouzinho")</f>
        <v/>
      </c>
      <c r="C1171" t="inlineStr">
        <is>
          <t>RJ0571913</t>
        </is>
      </c>
      <c r="D1171" t="inlineStr">
        <is>
          <t>CLG / END</t>
        </is>
      </c>
      <c r="E1171" t="inlineStr">
        <is>
          <t>Rua Barão de Itapagipe, 225</t>
        </is>
      </c>
      <c r="F1171" t="inlineStr">
        <is>
          <t>Rio Comprido</t>
        </is>
      </c>
      <c r="G1171" t="inlineStr">
        <is>
          <t>Rio de Janeiro</t>
        </is>
      </c>
      <c r="H1171" t="inlineStr">
        <is>
          <t>RJ</t>
        </is>
      </c>
      <c r="I1171" t="n">
        <v>5613</v>
      </c>
      <c r="J1171" t="inlineStr">
        <is>
          <t>CAT 5</t>
        </is>
      </c>
      <c r="K1171" t="inlineStr">
        <is>
          <t>N�o</t>
        </is>
      </c>
    </row>
    <row r="1172">
      <c r="A1172" s="1">
        <f>HYPERLINK("https://eurofarma-latam-crm.veevavault.com/#object/account__v/V4TZ000018NY0J6", "Márcia Beatriz de Senna Fernandes")</f>
        <v/>
      </c>
      <c r="B1172" s="1">
        <f>HYPERLINK("https://eurofarma-latam-crm.veevavault.com/#object/account__v/V4TZ000018NY0J6", "Márcia Beatriz Moreira da Cruz de Senna Fernandes")</f>
        <v/>
      </c>
      <c r="C1172" t="inlineStr">
        <is>
          <t>RJ0588109</t>
        </is>
      </c>
      <c r="D1172" t="inlineStr">
        <is>
          <t>PED</t>
        </is>
      </c>
      <c r="E1172" t="inlineStr">
        <is>
          <t>Rua Manoel de Abreu, 9 - Parte</t>
        </is>
      </c>
      <c r="F1172" t="inlineStr">
        <is>
          <t>Centro</t>
        </is>
      </c>
      <c r="G1172" t="inlineStr">
        <is>
          <t>Niterói</t>
        </is>
      </c>
      <c r="H1172" t="inlineStr">
        <is>
          <t>RJ</t>
        </is>
      </c>
      <c r="I1172" t="n">
        <v>5613</v>
      </c>
      <c r="J1172" t="inlineStr">
        <is>
          <t>CAT 5</t>
        </is>
      </c>
      <c r="K1172" t="inlineStr">
        <is>
          <t>Sim</t>
        </is>
      </c>
    </row>
    <row r="1173">
      <c r="A1173" s="1">
        <f>HYPERLINK("https://eurofarma-latam-crm.veevavault.com/#object/account__v/V4TZ000018NXSZC", "Marcio da Cunha")</f>
        <v/>
      </c>
      <c r="B1173" s="1">
        <f>HYPERLINK("https://eurofarma-latam-crm.veevavault.com/#object/account__v/V4TZ000018NXSZC", "Marcio Vieira da Cunha")</f>
        <v/>
      </c>
      <c r="C1173" t="inlineStr">
        <is>
          <t>RJ0555883</t>
        </is>
      </c>
      <c r="D1173" t="inlineStr">
        <is>
          <t>ORT</t>
        </is>
      </c>
      <c r="E1173" t="inlineStr">
        <is>
          <t>Rua Dr Arruda Negreiros, S/N</t>
        </is>
      </c>
      <c r="F1173" t="inlineStr">
        <is>
          <t>São Jorge</t>
        </is>
      </c>
      <c r="G1173" t="inlineStr">
        <is>
          <t>Japeri</t>
        </is>
      </c>
      <c r="H1173" t="inlineStr">
        <is>
          <t>RJ</t>
        </is>
      </c>
      <c r="I1173" t="n">
        <v>5613</v>
      </c>
      <c r="J1173" t="inlineStr">
        <is>
          <t>CAT 5</t>
        </is>
      </c>
      <c r="K1173" t="inlineStr">
        <is>
          <t>N�o</t>
        </is>
      </c>
    </row>
    <row r="1174">
      <c r="A1174" s="1">
        <f>HYPERLINK("https://eurofarma-latam-crm.veevavault.com/#object/account__v/V4TZ0000191684K", "Marcos Antonio Cordeiro")</f>
        <v/>
      </c>
      <c r="B1174" s="1">
        <f>HYPERLINK("https://eurofarma-latam-crm.veevavault.com/#object/account__v/V4TZ0000191684K", "Marcos Antonio do Rosario Cordeiro")</f>
        <v/>
      </c>
      <c r="C1174" t="inlineStr">
        <is>
          <t>RJ0397691</t>
        </is>
      </c>
      <c r="D1174" t="inlineStr">
        <is>
          <t>ORT</t>
        </is>
      </c>
      <c r="E1174" t="inlineStr">
        <is>
          <t>Rua Gabriel Henrique de Farias Júnior, 31 - Casa 01 s Quadra 81 Lote 21</t>
        </is>
      </c>
      <c r="F1174" t="inlineStr">
        <is>
          <t>Centro</t>
        </is>
      </c>
      <c r="G1174" t="inlineStr">
        <is>
          <t>Maricá</t>
        </is>
      </c>
      <c r="H1174" t="inlineStr">
        <is>
          <t>RJ</t>
        </is>
      </c>
      <c r="I1174" t="n">
        <v>5613</v>
      </c>
      <c r="J1174" t="inlineStr">
        <is>
          <t>CAT 4</t>
        </is>
      </c>
      <c r="K1174" t="inlineStr">
        <is>
          <t>Sim</t>
        </is>
      </c>
    </row>
    <row r="1175">
      <c r="A1175" s="1">
        <f>HYPERLINK("https://eurofarma-latam-crm.veevavault.com/#object/account__v/V4TZ000019148BO", "Marcos Barros")</f>
        <v/>
      </c>
      <c r="B1175" s="1">
        <f>HYPERLINK("https://eurofarma-latam-crm.veevavault.com/#object/account__v/V4TZ000019148BO", "Marcos Paulo da Silva Barros")</f>
        <v/>
      </c>
      <c r="C1175" t="inlineStr">
        <is>
          <t>RJ1268260</t>
        </is>
      </c>
      <c r="D1175" t="inlineStr">
        <is>
          <t>PED</t>
        </is>
      </c>
      <c r="E1175" t="inlineStr">
        <is>
          <t>Rua Fábio Lúcio dos Santos, 158 - Barreira</t>
        </is>
      </c>
      <c r="F1175" t="inlineStr">
        <is>
          <t>Verde Vale (Bacaxá)</t>
        </is>
      </c>
      <c r="G1175" t="inlineStr">
        <is>
          <t>Saquarema</t>
        </is>
      </c>
      <c r="H1175" t="inlineStr">
        <is>
          <t>RJ</t>
        </is>
      </c>
      <c r="I1175" t="n">
        <v>5613</v>
      </c>
      <c r="J1175" t="inlineStr">
        <is>
          <t>CAT 5</t>
        </is>
      </c>
      <c r="K1175" t="inlineStr">
        <is>
          <t>N�o</t>
        </is>
      </c>
    </row>
    <row r="1176">
      <c r="A1176" s="1">
        <f>HYPERLINK("https://eurofarma-latam-crm.veevavault.com/#object/account__v/V4TZ00001914JKP", "Marcos Pires")</f>
        <v/>
      </c>
      <c r="B1176" s="1">
        <f>HYPERLINK("https://eurofarma-latam-crm.veevavault.com/#object/account__v/V4TZ00001914JKP", "Marcos de Souza Pires")</f>
        <v/>
      </c>
      <c r="C1176" t="inlineStr">
        <is>
          <t>RJ0292213</t>
        </is>
      </c>
      <c r="D1176" t="inlineStr">
        <is>
          <t>CLG / END</t>
        </is>
      </c>
      <c r="E1176" t="inlineStr">
        <is>
          <t>Rua Doutor Milton de Souza Pacheco, 6</t>
        </is>
      </c>
      <c r="F1176" t="inlineStr">
        <is>
          <t>Centro</t>
        </is>
      </c>
      <c r="G1176" t="inlineStr">
        <is>
          <t>Maricá</t>
        </is>
      </c>
      <c r="H1176" t="inlineStr">
        <is>
          <t>RJ</t>
        </is>
      </c>
      <c r="I1176" t="n">
        <v>5613</v>
      </c>
      <c r="J1176" t="inlineStr">
        <is>
          <t>CAT 5</t>
        </is>
      </c>
      <c r="K1176" t="inlineStr">
        <is>
          <t>N�o</t>
        </is>
      </c>
    </row>
    <row r="1177">
      <c r="A1177" s="1">
        <f>HYPERLINK("https://eurofarma-latam-crm.veevavault.com/#object/account__v/V4TZ000018NY1CG", "Marcos Silveira")</f>
        <v/>
      </c>
      <c r="B1177" s="1">
        <f>HYPERLINK("https://eurofarma-latam-crm.veevavault.com/#object/account__v/V4TZ000018NY1CG", "Marcos Venicio Tonassi da Silveira")</f>
        <v/>
      </c>
      <c r="C1177" t="inlineStr">
        <is>
          <t>RJ0565344</t>
        </is>
      </c>
      <c r="D1177" t="inlineStr">
        <is>
          <t>ORL</t>
        </is>
      </c>
      <c r="E1177" t="inlineStr">
        <is>
          <t>Avenida Londres, 616</t>
        </is>
      </c>
      <c r="F1177" t="inlineStr">
        <is>
          <t>Bonsucesso</t>
        </is>
      </c>
      <c r="G1177" t="inlineStr">
        <is>
          <t>Rio de Janeiro</t>
        </is>
      </c>
      <c r="H1177" t="inlineStr">
        <is>
          <t>RJ</t>
        </is>
      </c>
      <c r="I1177" t="n">
        <v>5613</v>
      </c>
      <c r="J1177" t="inlineStr">
        <is>
          <t>CAT 5</t>
        </is>
      </c>
      <c r="K1177" t="inlineStr">
        <is>
          <t>Sim</t>
        </is>
      </c>
    </row>
    <row r="1178">
      <c r="A1178" s="1">
        <f>HYPERLINK("https://eurofarma-latam-crm.veevavault.com/#object/account__v/V4TZ000018NY7JY", "Marcus Vinicius Santos")</f>
        <v/>
      </c>
      <c r="B1178" s="1">
        <f>HYPERLINK("https://eurofarma-latam-crm.veevavault.com/#object/account__v/V4TZ000018NY7JY", "Marcus Vinicius da Silva Santos")</f>
        <v/>
      </c>
      <c r="C1178" t="inlineStr">
        <is>
          <t>RJ0908908</t>
        </is>
      </c>
      <c r="D1178" t="inlineStr">
        <is>
          <t>END</t>
        </is>
      </c>
      <c r="E1178" t="inlineStr">
        <is>
          <t>Rua Madre Maria Victoria, 90 - Sala 205 E 206</t>
        </is>
      </c>
      <c r="F1178" t="inlineStr">
        <is>
          <t>Charitas</t>
        </is>
      </c>
      <c r="G1178" t="inlineStr">
        <is>
          <t>Niterói</t>
        </is>
      </c>
      <c r="H1178" t="inlineStr">
        <is>
          <t>RJ</t>
        </is>
      </c>
      <c r="I1178" t="n">
        <v>5613</v>
      </c>
      <c r="J1178" t="inlineStr">
        <is>
          <t>CAT 1</t>
        </is>
      </c>
      <c r="K1178" t="inlineStr">
        <is>
          <t>Sim</t>
        </is>
      </c>
    </row>
    <row r="1179">
      <c r="A1179" s="1">
        <f>HYPERLINK("https://eurofarma-latam-crm.veevavault.com/#object/account__v/V4TZ00001915L4G", "Marcus Vinícius Simões")</f>
        <v/>
      </c>
      <c r="B1179" s="1">
        <f>HYPERLINK("https://eurofarma-latam-crm.veevavault.com/#object/account__v/V4TZ00001915L4G", "Marcus Vinícius Silveira Simões")</f>
        <v/>
      </c>
      <c r="C1179" t="inlineStr">
        <is>
          <t>RJ1008455,RS0057359,SC0043757</t>
        </is>
      </c>
      <c r="D1179" t="inlineStr">
        <is>
          <t>ORT</t>
        </is>
      </c>
      <c r="E1179" t="inlineStr">
        <is>
          <t>Rua Jardim Botânico, 501</t>
        </is>
      </c>
      <c r="F1179" t="inlineStr">
        <is>
          <t>Jardim Botânico</t>
        </is>
      </c>
      <c r="G1179" t="inlineStr">
        <is>
          <t>Rio de Janeiro</t>
        </is>
      </c>
      <c r="H1179" t="inlineStr">
        <is>
          <t>RJ</t>
        </is>
      </c>
      <c r="I1179" t="n">
        <v>5613</v>
      </c>
      <c r="J1179" t="inlineStr">
        <is>
          <t>CAT 5</t>
        </is>
      </c>
      <c r="K1179" t="inlineStr">
        <is>
          <t>N�o</t>
        </is>
      </c>
    </row>
    <row r="1180">
      <c r="A1180" s="1">
        <f>HYPERLINK("https://eurofarma-latam-crm.veevavault.com/#object/account__v/V4TZ000018NXMPP", "Maria Cardoso")</f>
        <v/>
      </c>
      <c r="B1180" s="1">
        <f>HYPERLINK("https://eurofarma-latam-crm.veevavault.com/#object/account__v/V4TZ000018NXMPP", "Maria Celia Marinho Cardoso")</f>
        <v/>
      </c>
      <c r="C1180" t="inlineStr">
        <is>
          <t>RJ0397225</t>
        </is>
      </c>
      <c r="D1180" t="inlineStr">
        <is>
          <t>PED</t>
        </is>
      </c>
      <c r="E1180" t="inlineStr">
        <is>
          <t>Rua Doutor Nilo Peçanha, 232</t>
        </is>
      </c>
      <c r="F1180" t="inlineStr">
        <is>
          <t>Centro</t>
        </is>
      </c>
      <c r="G1180" t="inlineStr">
        <is>
          <t>São Gonçalo</t>
        </is>
      </c>
      <c r="H1180" t="inlineStr">
        <is>
          <t>RJ</t>
        </is>
      </c>
      <c r="I1180" t="n">
        <v>5613</v>
      </c>
      <c r="J1180" t="inlineStr">
        <is>
          <t>CAT 5</t>
        </is>
      </c>
      <c r="K1180" t="inlineStr">
        <is>
          <t>Sim</t>
        </is>
      </c>
    </row>
    <row r="1181">
      <c r="A1181" s="1">
        <f>HYPERLINK("https://eurofarma-latam-crm.veevavault.com/#object/account__v/V4TZ00001914LCF", "Maria Carolina Gomes")</f>
        <v/>
      </c>
      <c r="B1181" s="1">
        <f>HYPERLINK("https://eurofarma-latam-crm.veevavault.com/#object/account__v/V4TZ00001914LCF", "Maria Carolina Oliveira Ribeiro Gomes")</f>
        <v/>
      </c>
      <c r="C1181" t="inlineStr">
        <is>
          <t>RJ1269135</t>
        </is>
      </c>
      <c r="D1181" t="inlineStr">
        <is>
          <t>PED</t>
        </is>
      </c>
      <c r="E1181" t="inlineStr">
        <is>
          <t>Rua Euclides Paulo da Silva, S/N</t>
        </is>
      </c>
      <c r="F1181" t="inlineStr">
        <is>
          <t>Inoã (Inoã)</t>
        </is>
      </c>
      <c r="G1181" t="inlineStr">
        <is>
          <t>Maricá</t>
        </is>
      </c>
      <c r="H1181" t="inlineStr">
        <is>
          <t>RJ</t>
        </is>
      </c>
      <c r="I1181" t="n">
        <v>5613</v>
      </c>
      <c r="J1181" t="inlineStr">
        <is>
          <t>CAT 5</t>
        </is>
      </c>
      <c r="K1181" t="inlineStr">
        <is>
          <t>N�o</t>
        </is>
      </c>
    </row>
    <row r="1182">
      <c r="A1182" s="1">
        <f>HYPERLINK("https://eurofarma-latam-crm.veevavault.com/#object/account__v/V4TZ025E8F8KQFW", "Maria Cosendey")</f>
        <v/>
      </c>
      <c r="B1182" s="1">
        <f>HYPERLINK("https://eurofarma-latam-crm.veevavault.com/#object/account__v/V4TZ025E8F8KQFW", "Maria Eduarda Sousa Cosendey")</f>
        <v/>
      </c>
      <c r="C1182" t="inlineStr">
        <is>
          <t>RJ1383200</t>
        </is>
      </c>
      <c r="D1182" t="inlineStr">
        <is>
          <t>CLG / PA</t>
        </is>
      </c>
      <c r="E1182" t="inlineStr">
        <is>
          <t>Rua Primeiro de Maio, 34</t>
        </is>
      </c>
      <c r="F1182" t="inlineStr">
        <is>
          <t>Centro</t>
        </is>
      </c>
      <c r="G1182" t="inlineStr">
        <is>
          <t>Tanguá</t>
        </is>
      </c>
      <c r="H1182" t="inlineStr">
        <is>
          <t>RJ</t>
        </is>
      </c>
      <c r="I1182" t="n">
        <v>5613</v>
      </c>
      <c r="J1182" t="inlineStr">
        <is>
          <t>CAT 5</t>
        </is>
      </c>
      <c r="K1182" t="inlineStr">
        <is>
          <t>N�o</t>
        </is>
      </c>
    </row>
    <row r="1183">
      <c r="A1183" s="1">
        <f>HYPERLINK("https://eurofarma-latam-crm.veevavault.com/#object/account__v/V4TZ0000191N8B9", "Maria Cristina Vianna")</f>
        <v/>
      </c>
      <c r="B1183" s="1">
        <f>HYPERLINK("https://eurofarma-latam-crm.veevavault.com/#object/account__v/V4TZ0000191N8B9", "Maria Cristina Coelho Vianna")</f>
        <v/>
      </c>
      <c r="C1183" t="inlineStr">
        <is>
          <t>RJ0427840</t>
        </is>
      </c>
      <c r="D1183" t="inlineStr">
        <is>
          <t>PED</t>
        </is>
      </c>
      <c r="E1183" t="inlineStr">
        <is>
          <t>Rua Azamor José da Silva, 229</t>
        </is>
      </c>
      <c r="F1183" t="inlineStr">
        <is>
          <t>Araçatiba</t>
        </is>
      </c>
      <c r="G1183" t="inlineStr">
        <is>
          <t>Maricá</t>
        </is>
      </c>
      <c r="H1183" t="inlineStr">
        <is>
          <t>RJ</t>
        </is>
      </c>
      <c r="I1183" t="n">
        <v>5613</v>
      </c>
      <c r="J1183" t="inlineStr">
        <is>
          <t>CAT 5</t>
        </is>
      </c>
      <c r="K1183" t="inlineStr">
        <is>
          <t>Sim</t>
        </is>
      </c>
    </row>
    <row r="1184">
      <c r="A1184" s="1">
        <f>HYPERLINK("https://eurofarma-latam-crm.veevavault.com/#object/account__v/V4TZ025E8F7W2Y2", "Maria Guimarães")</f>
        <v/>
      </c>
      <c r="B1184" s="1">
        <f>HYPERLINK("https://eurofarma-latam-crm.veevavault.com/#object/account__v/V4TZ025E8F7W2Y2", "Maria Teresa Alonso Guimarães")</f>
        <v/>
      </c>
      <c r="C1184" t="inlineStr">
        <is>
          <t>RJ1377984</t>
        </is>
      </c>
      <c r="D1184" t="inlineStr">
        <is>
          <t>CLG / END</t>
        </is>
      </c>
      <c r="E1184" t="inlineStr">
        <is>
          <t>Estrada Francisco da Cruz Nunes, S/N</t>
        </is>
      </c>
      <c r="F1184" t="inlineStr">
        <is>
          <t>Piratininga</t>
        </is>
      </c>
      <c r="G1184" t="inlineStr">
        <is>
          <t>Niterói</t>
        </is>
      </c>
      <c r="H1184" t="inlineStr">
        <is>
          <t>RJ</t>
        </is>
      </c>
      <c r="I1184" t="n">
        <v>5613</v>
      </c>
      <c r="J1184" t="inlineStr">
        <is>
          <t>CAT 5</t>
        </is>
      </c>
      <c r="K1184" t="inlineStr">
        <is>
          <t>N�o</t>
        </is>
      </c>
    </row>
    <row r="1185">
      <c r="A1185" s="1">
        <f>HYPERLINK("https://eurofarma-latam-crm.veevavault.com/#object/account__v/V4TZ000018NXV6T", "Maria Latini")</f>
        <v/>
      </c>
      <c r="B1185" s="1">
        <f>HYPERLINK("https://eurofarma-latam-crm.veevavault.com/#object/account__v/V4TZ000018NXV6T", "Maria Emilia Latini")</f>
        <v/>
      </c>
      <c r="C1185" t="inlineStr">
        <is>
          <t>RJ0510969</t>
        </is>
      </c>
      <c r="D1185" t="inlineStr">
        <is>
          <t>PED</t>
        </is>
      </c>
      <c r="E1185" t="inlineStr">
        <is>
          <t>Avenida Roberto Silveira, 591</t>
        </is>
      </c>
      <c r="F1185" t="inlineStr">
        <is>
          <t>Centro</t>
        </is>
      </c>
      <c r="G1185" t="inlineStr">
        <is>
          <t>Maricá</t>
        </is>
      </c>
      <c r="H1185" t="inlineStr">
        <is>
          <t>RJ</t>
        </is>
      </c>
      <c r="I1185" t="n">
        <v>5613</v>
      </c>
      <c r="J1185" t="inlineStr">
        <is>
          <t>CAT 5</t>
        </is>
      </c>
      <c r="K1185" t="inlineStr">
        <is>
          <t>Sim</t>
        </is>
      </c>
    </row>
    <row r="1186">
      <c r="A1186" s="1">
        <f>HYPERLINK("https://eurofarma-latam-crm.veevavault.com/#object/account__v/V4TZ00001913LY4", "Maria Lucia Pinto")</f>
        <v/>
      </c>
      <c r="B1186" s="1">
        <f>HYPERLINK("https://eurofarma-latam-crm.veevavault.com/#object/account__v/V4TZ00001913LY4", "Maria Lucia Nicolau Pinto")</f>
        <v/>
      </c>
      <c r="C1186" t="inlineStr">
        <is>
          <t>RJ0308492</t>
        </is>
      </c>
      <c r="D1186" t="inlineStr">
        <is>
          <t>PED</t>
        </is>
      </c>
      <c r="E1186" t="inlineStr">
        <is>
          <t>Estrada Francisco da Cruz Nunes, 6501 - Sala 336</t>
        </is>
      </c>
      <c r="F1186" t="inlineStr">
        <is>
          <t>Piratininga</t>
        </is>
      </c>
      <c r="G1186" t="inlineStr">
        <is>
          <t>Niterói</t>
        </is>
      </c>
      <c r="H1186" t="inlineStr">
        <is>
          <t>RJ</t>
        </is>
      </c>
      <c r="I1186" t="n">
        <v>5613</v>
      </c>
      <c r="J1186" t="inlineStr">
        <is>
          <t>CAT 5</t>
        </is>
      </c>
      <c r="K1186" t="inlineStr">
        <is>
          <t>N�o</t>
        </is>
      </c>
    </row>
    <row r="1187">
      <c r="A1187" s="1">
        <f>HYPERLINK("https://eurofarma-latam-crm.veevavault.com/#object/account__v/V4TZ025E8897FIU", "Maria Marques")</f>
        <v/>
      </c>
      <c r="B1187" s="1">
        <f>HYPERLINK("https://eurofarma-latam-crm.veevavault.com/#object/account__v/V4TZ025E8897FIU", "Maria de Fatima Salvador Marques")</f>
        <v/>
      </c>
      <c r="C1187" t="inlineStr">
        <is>
          <t>RJ1013548</t>
        </is>
      </c>
      <c r="D1187" t="inlineStr">
        <is>
          <t>PED</t>
        </is>
      </c>
      <c r="E1187" t="inlineStr">
        <is>
          <t>Avenida Amaro Cavalcanti, 495</t>
        </is>
      </c>
      <c r="F1187" t="inlineStr">
        <is>
          <t>Méier</t>
        </is>
      </c>
      <c r="G1187" t="inlineStr">
        <is>
          <t>Rio de Janeiro</t>
        </is>
      </c>
      <c r="H1187" t="inlineStr">
        <is>
          <t>RJ</t>
        </is>
      </c>
      <c r="I1187" t="n">
        <v>5613</v>
      </c>
      <c r="J1187" t="inlineStr">
        <is>
          <t>CAT 4</t>
        </is>
      </c>
      <c r="K1187" t="inlineStr">
        <is>
          <t>N�o</t>
        </is>
      </c>
    </row>
    <row r="1188">
      <c r="A1188" s="1">
        <f>HYPERLINK("https://eurofarma-latam-crm.veevavault.com/#object/account__v/V4TZ025E83O2PHO", "Maria Moret")</f>
        <v/>
      </c>
      <c r="B1188" s="1">
        <f>HYPERLINK("https://eurofarma-latam-crm.veevavault.com/#object/account__v/V4TZ025E83O2PHO", "Maria Eduarda de Azevedo Moret")</f>
        <v/>
      </c>
      <c r="C1188" t="inlineStr">
        <is>
          <t>RJ1298550</t>
        </is>
      </c>
      <c r="D1188" t="inlineStr">
        <is>
          <t>CLG / PA</t>
        </is>
      </c>
      <c r="E1188" t="inlineStr">
        <is>
          <t>Rua Domício da Gama, 433</t>
        </is>
      </c>
      <c r="F1188" t="inlineStr">
        <is>
          <t>Araçatiba</t>
        </is>
      </c>
      <c r="G1188" t="inlineStr">
        <is>
          <t>Maricá</t>
        </is>
      </c>
      <c r="H1188" t="inlineStr">
        <is>
          <t>RJ</t>
        </is>
      </c>
      <c r="I1188" t="n">
        <v>5613</v>
      </c>
      <c r="J1188" t="inlineStr">
        <is>
          <t>CAT 4</t>
        </is>
      </c>
      <c r="K1188" t="inlineStr">
        <is>
          <t>Sim</t>
        </is>
      </c>
    </row>
    <row r="1189">
      <c r="A1189" s="1">
        <f>HYPERLINK("https://eurofarma-latam-crm.veevavault.com/#object/account__v/V4TZ00001914FXX", "Maria Neide Gonçalves")</f>
        <v/>
      </c>
      <c r="B1189" s="1">
        <f>HYPERLINK("https://eurofarma-latam-crm.veevavault.com/#object/account__v/V4TZ00001914FXX", "Maria Neide Franco Gonçalves")</f>
        <v/>
      </c>
      <c r="C1189" t="inlineStr">
        <is>
          <t>RJ0308670</t>
        </is>
      </c>
      <c r="D1189" t="inlineStr">
        <is>
          <t>PSQ</t>
        </is>
      </c>
      <c r="E1189" t="inlineStr">
        <is>
          <t>Rua Heitor Levi, 34</t>
        </is>
      </c>
      <c r="F1189" t="inlineStr">
        <is>
          <t>Sete Pontes</t>
        </is>
      </c>
      <c r="G1189" t="inlineStr">
        <is>
          <t>São Gonçalo</t>
        </is>
      </c>
      <c r="H1189" t="inlineStr">
        <is>
          <t>RJ</t>
        </is>
      </c>
      <c r="I1189" t="n">
        <v>5613</v>
      </c>
      <c r="J1189" t="inlineStr">
        <is>
          <t>CAT 2</t>
        </is>
      </c>
      <c r="K1189" t="inlineStr">
        <is>
          <t>Sim</t>
        </is>
      </c>
    </row>
    <row r="1190">
      <c r="A1190" s="1">
        <f>HYPERLINK("https://eurofarma-latam-crm.veevavault.com/#object/account__v/V4TZ025E87IPXO4", "Maria Teresa Gonçalves")</f>
        <v/>
      </c>
      <c r="B1190" s="1">
        <f>HYPERLINK("https://eurofarma-latam-crm.veevavault.com/#object/account__v/V4TZ025E87IPXO4", "Maria Teresa Pereira Alvarez Gonçalves")</f>
        <v/>
      </c>
      <c r="C1190" t="inlineStr">
        <is>
          <t>RJ0751197</t>
        </is>
      </c>
      <c r="D1190" t="inlineStr">
        <is>
          <t>GAS</t>
        </is>
      </c>
      <c r="E1190" t="inlineStr">
        <is>
          <t>Rua Almirante Baltazar, 333 - Salas 711 á 831</t>
        </is>
      </c>
      <c r="F1190" t="inlineStr">
        <is>
          <t>São Cristóvão</t>
        </is>
      </c>
      <c r="G1190" t="inlineStr">
        <is>
          <t>Rio de Janeiro</t>
        </is>
      </c>
      <c r="H1190" t="inlineStr">
        <is>
          <t>RJ</t>
        </is>
      </c>
      <c r="I1190" t="n">
        <v>5613</v>
      </c>
      <c r="J1190" t="inlineStr">
        <is>
          <t>CAT 5</t>
        </is>
      </c>
      <c r="K1190" t="inlineStr">
        <is>
          <t>N�o</t>
        </is>
      </c>
    </row>
    <row r="1191">
      <c r="A1191" s="1">
        <f>HYPERLINK("https://eurofarma-latam-crm.veevavault.com/#object/account__v/V4TZ000019169OW", "Mariana de Sá")</f>
        <v/>
      </c>
      <c r="B1191" s="1">
        <f>HYPERLINK("https://eurofarma-latam-crm.veevavault.com/#object/account__v/V4TZ000019169OW", "Mariana Lucena de Sá")</f>
        <v/>
      </c>
      <c r="C1191" t="inlineStr">
        <is>
          <t>RJ1099752</t>
        </is>
      </c>
      <c r="D1191" t="inlineStr">
        <is>
          <t>CLG / PA</t>
        </is>
      </c>
      <c r="E1191" t="inlineStr">
        <is>
          <t>Rua 36, S/N - Quadra 433</t>
        </is>
      </c>
      <c r="F1191" t="inlineStr">
        <is>
          <t>Jardim Atlântico Central (Itaipuaçu)</t>
        </is>
      </c>
      <c r="G1191" t="inlineStr">
        <is>
          <t>Maricá</t>
        </is>
      </c>
      <c r="H1191" t="inlineStr">
        <is>
          <t>RJ</t>
        </is>
      </c>
      <c r="I1191" t="n">
        <v>5613</v>
      </c>
      <c r="J1191" t="inlineStr">
        <is>
          <t>CAT 5</t>
        </is>
      </c>
      <c r="K1191" t="inlineStr">
        <is>
          <t>N�o</t>
        </is>
      </c>
    </row>
    <row r="1192">
      <c r="A1192" s="1">
        <f>HYPERLINK("https://eurofarma-latam-crm.veevavault.com/#object/account__v/V4TZ025E8B9PPLI", "Mariana Martins")</f>
        <v/>
      </c>
      <c r="B1192" s="1">
        <f>HYPERLINK("https://eurofarma-latam-crm.veevavault.com/#object/account__v/V4TZ025E8B9PPLI", "Mariana Machareth Martins")</f>
        <v/>
      </c>
      <c r="C1192" t="inlineStr">
        <is>
          <t>RJ1325086</t>
        </is>
      </c>
      <c r="D1192" t="inlineStr">
        <is>
          <t>CLG / PA</t>
        </is>
      </c>
      <c r="E1192" t="inlineStr">
        <is>
          <t>Rua Domício da Gama, 433</t>
        </is>
      </c>
      <c r="F1192" t="inlineStr">
        <is>
          <t>Araçatiba</t>
        </is>
      </c>
      <c r="G1192" t="inlineStr">
        <is>
          <t>Maricá</t>
        </is>
      </c>
      <c r="H1192" t="inlineStr">
        <is>
          <t>RJ</t>
        </is>
      </c>
      <c r="I1192" t="n">
        <v>5613</v>
      </c>
      <c r="J1192" t="inlineStr">
        <is>
          <t>CAT 5</t>
        </is>
      </c>
      <c r="K1192" t="inlineStr">
        <is>
          <t>Sim</t>
        </is>
      </c>
    </row>
    <row r="1193">
      <c r="A1193" s="1">
        <f>HYPERLINK("https://eurofarma-latam-crm.veevavault.com/#object/account__v/V4TZ025E8ATZH3V", "Mariana Rodriguez")</f>
        <v/>
      </c>
      <c r="B1193" s="1">
        <f>HYPERLINK("https://eurofarma-latam-crm.veevavault.com/#object/account__v/V4TZ025E8ATZH3V", "Mariana Elizabeth Justiniano Rodriguez")</f>
        <v/>
      </c>
      <c r="C1193" t="inlineStr">
        <is>
          <t>RJ0826332</t>
        </is>
      </c>
      <c r="D1193" t="inlineStr">
        <is>
          <t>CLG / PA</t>
        </is>
      </c>
      <c r="E1193" t="inlineStr">
        <is>
          <t>Estrada Velha de Maricá, 51</t>
        </is>
      </c>
      <c r="F1193" t="inlineStr">
        <is>
          <t>São José do Imbassaí</t>
        </is>
      </c>
      <c r="G1193" t="inlineStr">
        <is>
          <t>Maricá</t>
        </is>
      </c>
      <c r="H1193" t="inlineStr">
        <is>
          <t>RJ</t>
        </is>
      </c>
      <c r="I1193" t="n">
        <v>5613</v>
      </c>
      <c r="J1193" t="inlineStr">
        <is>
          <t>CAT 5</t>
        </is>
      </c>
      <c r="K1193" t="inlineStr">
        <is>
          <t>N�o</t>
        </is>
      </c>
    </row>
    <row r="1194">
      <c r="A1194" s="1">
        <f>HYPERLINK("https://eurofarma-latam-crm.veevavault.com/#object/account__v/V4TZ00001913TCA", "Mariana Sobreiro")</f>
        <v/>
      </c>
      <c r="B1194" s="1">
        <f>HYPERLINK("https://eurofarma-latam-crm.veevavault.com/#object/account__v/V4TZ00001913TCA", "Mariana da Silva Sobreiro")</f>
        <v/>
      </c>
      <c r="C1194" t="inlineStr">
        <is>
          <t>RJ1068938</t>
        </is>
      </c>
      <c r="D1194" t="inlineStr">
        <is>
          <t>GER</t>
        </is>
      </c>
      <c r="E1194" t="inlineStr">
        <is>
          <t>Rua 36, S/N - Quadra 433</t>
        </is>
      </c>
      <c r="F1194" t="inlineStr">
        <is>
          <t>Jardim Atlântico Central (Itaipuaçu)</t>
        </is>
      </c>
      <c r="G1194" t="inlineStr">
        <is>
          <t>Maricá</t>
        </is>
      </c>
      <c r="H1194" t="inlineStr">
        <is>
          <t>RJ</t>
        </is>
      </c>
      <c r="I1194" t="n">
        <v>5613</v>
      </c>
      <c r="J1194" t="inlineStr">
        <is>
          <t>CAT 5</t>
        </is>
      </c>
      <c r="K1194" t="inlineStr">
        <is>
          <t>N�o</t>
        </is>
      </c>
    </row>
    <row r="1195">
      <c r="A1195" s="1">
        <f>HYPERLINK("https://eurofarma-latam-crm.veevavault.com/#object/account__v/V4TZ025E8C9STCH", "Marianna da Rosa")</f>
        <v/>
      </c>
      <c r="B1195" s="1">
        <f>HYPERLINK("https://eurofarma-latam-crm.veevavault.com/#object/account__v/V4TZ025E8C9STCH", "Marianna Cupello da Rosa")</f>
        <v/>
      </c>
      <c r="C1195" t="inlineStr">
        <is>
          <t>RJ1083627</t>
        </is>
      </c>
      <c r="D1195" t="inlineStr">
        <is>
          <t>CLG / END</t>
        </is>
      </c>
      <c r="E1195" t="inlineStr">
        <is>
          <t>Rua Manoel Pacheco de Carvalho, 107</t>
        </is>
      </c>
      <c r="F1195" t="inlineStr">
        <is>
          <t>Piratininga</t>
        </is>
      </c>
      <c r="G1195" t="inlineStr">
        <is>
          <t>Niterói</t>
        </is>
      </c>
      <c r="H1195" t="inlineStr">
        <is>
          <t>RJ</t>
        </is>
      </c>
      <c r="I1195" t="n">
        <v>5613</v>
      </c>
      <c r="J1195" t="inlineStr">
        <is>
          <t>CAT 5</t>
        </is>
      </c>
      <c r="K1195" t="inlineStr">
        <is>
          <t>N�o</t>
        </is>
      </c>
    </row>
    <row r="1196">
      <c r="A1196" s="1">
        <f>HYPERLINK("https://eurofarma-latam-crm.veevavault.com/#object/account__v/V4TZ025E84KN5O3", "Marianna Melo")</f>
        <v/>
      </c>
      <c r="B1196" s="1">
        <f>HYPERLINK("https://eurofarma-latam-crm.veevavault.com/#object/account__v/V4TZ025E84KN5O3", "Marianna Ecard Melo")</f>
        <v/>
      </c>
      <c r="C1196" t="inlineStr">
        <is>
          <t>RJ1065769</t>
        </is>
      </c>
      <c r="D1196" t="inlineStr">
        <is>
          <t>PSQ</t>
        </is>
      </c>
      <c r="E1196" t="inlineStr">
        <is>
          <t>Avenida Embaixador Abelardo Bueno, 1 - Edifício Lagoa I Sala 725D</t>
        </is>
      </c>
      <c r="F1196" t="inlineStr">
        <is>
          <t>Barra Olímpica</t>
        </is>
      </c>
      <c r="G1196" t="inlineStr">
        <is>
          <t>Rio de Janeiro</t>
        </is>
      </c>
      <c r="H1196" t="inlineStr">
        <is>
          <t>RJ</t>
        </is>
      </c>
      <c r="I1196" t="n">
        <v>5613</v>
      </c>
      <c r="J1196" t="inlineStr">
        <is>
          <t>CAT 3</t>
        </is>
      </c>
      <c r="K1196" t="inlineStr">
        <is>
          <t>Sim</t>
        </is>
      </c>
    </row>
    <row r="1197">
      <c r="A1197" s="1">
        <f>HYPERLINK("https://eurofarma-latam-crm.veevavault.com/#object/account__v/V4TZ000018NXPGI", "Marinete de Souza")</f>
        <v/>
      </c>
      <c r="B1197" s="1">
        <f>HYPERLINK("https://eurofarma-latam-crm.veevavault.com/#object/account__v/V4TZ000018NXPGI", "Marinete Manhaes Nogueira de Souza")</f>
        <v/>
      </c>
      <c r="C1197" t="inlineStr">
        <is>
          <t>RJ0544767</t>
        </is>
      </c>
      <c r="D1197" t="inlineStr">
        <is>
          <t>END</t>
        </is>
      </c>
      <c r="E1197" t="inlineStr">
        <is>
          <t>Rua Expedicionário Luiz Manoel Ferreira, 05</t>
        </is>
      </c>
      <c r="F1197" t="inlineStr">
        <is>
          <t>Centro</t>
        </is>
      </c>
      <c r="G1197" t="inlineStr">
        <is>
          <t>Maricá</t>
        </is>
      </c>
      <c r="H1197" t="inlineStr">
        <is>
          <t>RJ</t>
        </is>
      </c>
      <c r="I1197" t="n">
        <v>5613</v>
      </c>
      <c r="J1197" t="inlineStr">
        <is>
          <t>CAT 4</t>
        </is>
      </c>
      <c r="K1197" t="inlineStr">
        <is>
          <t>Sim</t>
        </is>
      </c>
    </row>
    <row r="1198">
      <c r="A1198" s="1">
        <f>HYPERLINK("https://eurofarma-latam-crm.veevavault.com/#object/account__v/V4TZ025E888ZOFF", "Mario Fonte")</f>
        <v/>
      </c>
      <c r="B1198" s="1">
        <f>HYPERLINK("https://eurofarma-latam-crm.veevavault.com/#object/account__v/V4TZ025E888ZOFF", "Mario Medeiros Fonte")</f>
        <v/>
      </c>
      <c r="C1198" t="inlineStr">
        <is>
          <t>RJ1233220</t>
        </is>
      </c>
      <c r="D1198" t="inlineStr">
        <is>
          <t>CLG / PA</t>
        </is>
      </c>
      <c r="E1198" t="inlineStr">
        <is>
          <t>Rua Pedro Luiz Souza, 108</t>
        </is>
      </c>
      <c r="F1198" t="inlineStr">
        <is>
          <t>Centro</t>
        </is>
      </c>
      <c r="G1198" t="inlineStr">
        <is>
          <t>Araruama</t>
        </is>
      </c>
      <c r="H1198" t="inlineStr">
        <is>
          <t>RJ</t>
        </is>
      </c>
      <c r="I1198" t="n">
        <v>5613</v>
      </c>
      <c r="J1198" t="inlineStr">
        <is>
          <t>CAT 5</t>
        </is>
      </c>
      <c r="K1198" t="inlineStr">
        <is>
          <t>N�o</t>
        </is>
      </c>
    </row>
    <row r="1199">
      <c r="A1199" s="1">
        <f>HYPERLINK("https://eurofarma-latam-crm.veevavault.com/#object/account__v/V4TZ00001912YZJ", "Martha Liliana Gonzalez")</f>
        <v/>
      </c>
      <c r="B1199" s="1">
        <f>HYPERLINK("https://eurofarma-latam-crm.veevavault.com/#object/account__v/V4TZ00001912YZJ", "Martha Liliana Santamaria Gonzalez")</f>
        <v/>
      </c>
      <c r="C1199" t="inlineStr">
        <is>
          <t>RJ0759503</t>
        </is>
      </c>
      <c r="D1199" t="inlineStr">
        <is>
          <t>CLG / PA</t>
        </is>
      </c>
      <c r="E1199" t="inlineStr">
        <is>
          <t>Rua Coronel Rodrigues, 422 - Sala 911</t>
        </is>
      </c>
      <c r="F1199" t="inlineStr">
        <is>
          <t>Centro</t>
        </is>
      </c>
      <c r="G1199" t="inlineStr">
        <is>
          <t>São Gonçalo</t>
        </is>
      </c>
      <c r="H1199" t="inlineStr">
        <is>
          <t>RJ</t>
        </is>
      </c>
      <c r="I1199" t="n">
        <v>5613</v>
      </c>
      <c r="J1199" t="inlineStr">
        <is>
          <t>CAT 4</t>
        </is>
      </c>
      <c r="K1199" t="inlineStr">
        <is>
          <t>Sim</t>
        </is>
      </c>
    </row>
    <row r="1200">
      <c r="A1200" s="1">
        <f>HYPERLINK("https://eurofarma-latam-crm.veevavault.com/#object/account__v/V4TZ00001915KD4", "Mauro Rocha")</f>
        <v/>
      </c>
      <c r="B1200" s="1">
        <f>HYPERLINK("https://eurofarma-latam-crm.veevavault.com/#object/account__v/V4TZ00001915KD4", "Mauro Pessoa Rocha")</f>
        <v/>
      </c>
      <c r="C1200" t="inlineStr">
        <is>
          <t>RJ0460783</t>
        </is>
      </c>
      <c r="D1200" t="inlineStr">
        <is>
          <t>PED</t>
        </is>
      </c>
      <c r="E1200" t="inlineStr">
        <is>
          <t>Avenida Zumbi dos Palmares, S/N - Quadra 13 Lote 1B</t>
        </is>
      </c>
      <c r="F1200" t="inlineStr">
        <is>
          <t>Barroco (Itaipuaçu)</t>
        </is>
      </c>
      <c r="G1200" t="inlineStr">
        <is>
          <t>Maricá</t>
        </is>
      </c>
      <c r="H1200" t="inlineStr">
        <is>
          <t>RJ</t>
        </is>
      </c>
      <c r="I1200" t="n">
        <v>5613</v>
      </c>
      <c r="J1200" t="inlineStr">
        <is>
          <t>CAT 5</t>
        </is>
      </c>
      <c r="K1200" t="inlineStr">
        <is>
          <t>Sim</t>
        </is>
      </c>
    </row>
    <row r="1201">
      <c r="A1201" s="1">
        <f>HYPERLINK("https://eurofarma-latam-crm.veevavault.com/#object/account__v/V4TZ025E8DSBDCW", "Michel Santos")</f>
        <v/>
      </c>
      <c r="B1201" s="1">
        <f>HYPERLINK("https://eurofarma-latam-crm.veevavault.com/#object/account__v/V4TZ025E8DSBDCW", "Michel Simões dos Santos")</f>
        <v/>
      </c>
      <c r="C1201" t="inlineStr">
        <is>
          <t>MG0108271,RJ1324640</t>
        </is>
      </c>
      <c r="D1201" t="inlineStr">
        <is>
          <t>CLG / PA</t>
        </is>
      </c>
      <c r="E1201" t="inlineStr">
        <is>
          <t>Rua Georgilei Rodrigues, 433</t>
        </is>
      </c>
      <c r="F1201" t="inlineStr">
        <is>
          <t>Jardim Atlântico Central (Itaipuaçu)</t>
        </is>
      </c>
      <c r="G1201" t="inlineStr">
        <is>
          <t>Maricá</t>
        </is>
      </c>
      <c r="H1201" t="inlineStr">
        <is>
          <t>RJ</t>
        </is>
      </c>
      <c r="I1201" t="n">
        <v>5613</v>
      </c>
      <c r="J1201" t="inlineStr">
        <is>
          <t>CAT 5</t>
        </is>
      </c>
      <c r="K1201" t="inlineStr">
        <is>
          <t>N�o</t>
        </is>
      </c>
    </row>
    <row r="1202">
      <c r="A1202" s="1">
        <f>HYPERLINK("https://eurofarma-latam-crm.veevavault.com/#object/account__v/V4TZ000018NZ80W", "Michelle Lobo")</f>
        <v/>
      </c>
      <c r="B1202" s="1">
        <f>HYPERLINK("https://eurofarma-latam-crm.veevavault.com/#object/account__v/V4TZ000018NZ80W", "Michelle Faria Lobo")</f>
        <v/>
      </c>
      <c r="C1202" t="inlineStr">
        <is>
          <t>RJ0815683</t>
        </is>
      </c>
      <c r="D1202" t="inlineStr">
        <is>
          <t>PED</t>
        </is>
      </c>
      <c r="E1202" t="inlineStr">
        <is>
          <t>Rua Manoel de Abreu, 9</t>
        </is>
      </c>
      <c r="F1202" t="inlineStr">
        <is>
          <t>Centro</t>
        </is>
      </c>
      <c r="G1202" t="inlineStr">
        <is>
          <t>Niterói</t>
        </is>
      </c>
      <c r="H1202" t="inlineStr">
        <is>
          <t>RJ</t>
        </is>
      </c>
      <c r="I1202" t="n">
        <v>5613</v>
      </c>
      <c r="J1202" t="inlineStr">
        <is>
          <t>CAT 4</t>
        </is>
      </c>
      <c r="K1202" t="inlineStr">
        <is>
          <t>Sim</t>
        </is>
      </c>
    </row>
    <row r="1203">
      <c r="A1203" s="1">
        <f>HYPERLINK("https://eurofarma-latam-crm.veevavault.com/#object/account__v/V4TZ00001915P0P", "Monika de Oliveira")</f>
        <v/>
      </c>
      <c r="B1203" s="1">
        <f>HYPERLINK("https://eurofarma-latam-crm.veevavault.com/#object/account__v/V4TZ00001915P0P", "Monika Moreira de Oliveira")</f>
        <v/>
      </c>
      <c r="C1203" t="inlineStr">
        <is>
          <t>RJ0715263</t>
        </is>
      </c>
      <c r="D1203" t="inlineStr">
        <is>
          <t>PED</t>
        </is>
      </c>
      <c r="E1203" t="inlineStr">
        <is>
          <t>Estrada Francisco da Cruz Nunes, S/N</t>
        </is>
      </c>
      <c r="F1203" t="inlineStr">
        <is>
          <t>Piratininga</t>
        </is>
      </c>
      <c r="G1203" t="inlineStr">
        <is>
          <t>Niterói</t>
        </is>
      </c>
      <c r="H1203" t="inlineStr">
        <is>
          <t>RJ</t>
        </is>
      </c>
      <c r="I1203" t="n">
        <v>5613</v>
      </c>
      <c r="J1203" t="inlineStr">
        <is>
          <t>CAT 5</t>
        </is>
      </c>
      <c r="K1203" t="inlineStr">
        <is>
          <t>Sim</t>
        </is>
      </c>
    </row>
    <row r="1204">
      <c r="A1204" s="1">
        <f>HYPERLINK("https://eurofarma-latam-crm.veevavault.com/#object/account__v/V4TZ025E8BRRRAT", "Monique Pereira")</f>
        <v/>
      </c>
      <c r="B1204" s="1">
        <f>HYPERLINK("https://eurofarma-latam-crm.veevavault.com/#object/account__v/V4TZ025E8BRRRAT", "Monique Garcia Pereira")</f>
        <v/>
      </c>
      <c r="C1204" t="inlineStr">
        <is>
          <t>RJ0135573,RJ1355732</t>
        </is>
      </c>
      <c r="D1204" t="inlineStr">
        <is>
          <t>CLG / PA</t>
        </is>
      </c>
      <c r="E1204" t="inlineStr">
        <is>
          <t>Avenida Menezes Cortes, 3245</t>
        </is>
      </c>
      <c r="F1204" t="inlineStr">
        <is>
          <t>Jacarepaguá</t>
        </is>
      </c>
      <c r="G1204" t="inlineStr">
        <is>
          <t>Rio de Janeiro</t>
        </is>
      </c>
      <c r="H1204" t="inlineStr">
        <is>
          <t>RJ</t>
        </is>
      </c>
      <c r="I1204" t="n">
        <v>5613</v>
      </c>
      <c r="J1204" t="inlineStr">
        <is>
          <t>CAT 5</t>
        </is>
      </c>
      <c r="K1204" t="inlineStr">
        <is>
          <t>Sim</t>
        </is>
      </c>
    </row>
    <row r="1205">
      <c r="A1205" s="1">
        <f>HYPERLINK("https://eurofarma-latam-crm.veevavault.com/#object/account__v/V4TZ00001913PMI", "Murillo Oliveira")</f>
        <v/>
      </c>
      <c r="B1205" s="1">
        <f>HYPERLINK("https://eurofarma-latam-crm.veevavault.com/#object/account__v/V4TZ00001913PMI", "Murillo de Azevedo Oliveira")</f>
        <v/>
      </c>
      <c r="C1205" t="inlineStr">
        <is>
          <t>RJ1110683</t>
        </is>
      </c>
      <c r="D1205" t="inlineStr">
        <is>
          <t>PSQ</t>
        </is>
      </c>
      <c r="E1205" t="inlineStr">
        <is>
          <t>Estrada Caetano Monteiro, 1800</t>
        </is>
      </c>
      <c r="F1205" t="inlineStr">
        <is>
          <t>Badu</t>
        </is>
      </c>
      <c r="G1205" t="inlineStr">
        <is>
          <t>Niterói</t>
        </is>
      </c>
      <c r="H1205" t="inlineStr">
        <is>
          <t>RJ</t>
        </is>
      </c>
      <c r="I1205" t="n">
        <v>5613</v>
      </c>
      <c r="J1205" t="inlineStr">
        <is>
          <t>CAT 4</t>
        </is>
      </c>
      <c r="K1205" t="inlineStr">
        <is>
          <t>Sim</t>
        </is>
      </c>
    </row>
    <row r="1206">
      <c r="A1206" s="1">
        <f>HYPERLINK("https://eurofarma-latam-crm.veevavault.com/#object/account__v/V4TZ00001915UE0", "Náiade Couto")</f>
        <v/>
      </c>
      <c r="B1206" s="1">
        <f>HYPERLINK("https://eurofarma-latam-crm.veevavault.com/#object/account__v/V4TZ00001915UE0", "Náiade Andrade Couto")</f>
        <v/>
      </c>
      <c r="C1206" t="inlineStr">
        <is>
          <t>RJ1044893</t>
        </is>
      </c>
      <c r="D1206" t="inlineStr">
        <is>
          <t>NEU</t>
        </is>
      </c>
      <c r="E1206" t="inlineStr">
        <is>
          <t>Avenida Sete de Setembro, 301</t>
        </is>
      </c>
      <c r="F1206" t="inlineStr">
        <is>
          <t>Icaraí</t>
        </is>
      </c>
      <c r="G1206" t="inlineStr">
        <is>
          <t>Niterói</t>
        </is>
      </c>
      <c r="H1206" t="inlineStr">
        <is>
          <t>RJ</t>
        </is>
      </c>
      <c r="I1206" t="n">
        <v>5613</v>
      </c>
      <c r="J1206" t="inlineStr">
        <is>
          <t>CAT 3</t>
        </is>
      </c>
      <c r="K1206" t="inlineStr">
        <is>
          <t>Sim</t>
        </is>
      </c>
    </row>
    <row r="1207">
      <c r="A1207" s="1">
        <f>HYPERLINK("https://eurofarma-latam-crm.veevavault.com/#object/account__v/V4TZ025E89QBY53", "Naiana Rodrigues")</f>
        <v/>
      </c>
      <c r="B1207" s="1">
        <f>HYPERLINK("https://eurofarma-latam-crm.veevavault.com/#object/account__v/V4TZ025E89QBY53", "Naiana da Silva Castro Rodrigues")</f>
        <v/>
      </c>
      <c r="C1207" t="inlineStr">
        <is>
          <t>RJ1334409</t>
        </is>
      </c>
      <c r="D1207" t="inlineStr">
        <is>
          <t>CLG / PA</t>
        </is>
      </c>
      <c r="E1207" t="inlineStr">
        <is>
          <t>Avenida Zumbi dos Palmares, 563 - Loja 301 Quadra 0070 Lote 01a</t>
        </is>
      </c>
      <c r="F1207" t="inlineStr">
        <is>
          <t>Barroco (Itaipuaçu)</t>
        </is>
      </c>
      <c r="G1207" t="inlineStr">
        <is>
          <t>Maricá</t>
        </is>
      </c>
      <c r="H1207" t="inlineStr">
        <is>
          <t>RJ</t>
        </is>
      </c>
      <c r="I1207" t="n">
        <v>5613</v>
      </c>
      <c r="J1207" t="inlineStr">
        <is>
          <t>CAT 5</t>
        </is>
      </c>
      <c r="K1207" t="inlineStr">
        <is>
          <t>Sim</t>
        </is>
      </c>
    </row>
    <row r="1208">
      <c r="A1208" s="1">
        <f>HYPERLINK("https://eurofarma-latam-crm.veevavault.com/#object/account__v/V4TZ00001914COM", "Natália Carvalho")</f>
        <v/>
      </c>
      <c r="B1208" s="1">
        <f>HYPERLINK("https://eurofarma-latam-crm.veevavault.com/#object/account__v/V4TZ00001914COM", "Natália Fochi Nonato Carvalho")</f>
        <v/>
      </c>
      <c r="C1208" t="inlineStr">
        <is>
          <t>RJ1268171</t>
        </is>
      </c>
      <c r="D1208" t="inlineStr">
        <is>
          <t>CLG</t>
        </is>
      </c>
      <c r="E1208" t="inlineStr">
        <is>
          <t>Rua Doutor Nilo Peçanha, 232</t>
        </is>
      </c>
      <c r="F1208" t="inlineStr">
        <is>
          <t>Centro</t>
        </is>
      </c>
      <c r="G1208" t="inlineStr">
        <is>
          <t>São Gonçalo</t>
        </is>
      </c>
      <c r="H1208" t="inlineStr">
        <is>
          <t>RJ</t>
        </is>
      </c>
      <c r="I1208" t="n">
        <v>5613</v>
      </c>
      <c r="J1208" t="inlineStr">
        <is>
          <t>CAT 4</t>
        </is>
      </c>
      <c r="K1208" t="inlineStr">
        <is>
          <t>Sim</t>
        </is>
      </c>
    </row>
    <row r="1209">
      <c r="A1209" s="1">
        <f>HYPERLINK("https://eurofarma-latam-crm.veevavault.com/#object/account__v/V4TZ000018NYFMD", "Natalia Machado")</f>
        <v/>
      </c>
      <c r="B1209" s="1">
        <f>HYPERLINK("https://eurofarma-latam-crm.veevavault.com/#object/account__v/V4TZ000018NYFMD", "Natalia de Oliveira Machado")</f>
        <v/>
      </c>
      <c r="C1209" t="inlineStr">
        <is>
          <t>RJ1210130</t>
        </is>
      </c>
      <c r="D1209" t="inlineStr">
        <is>
          <t>PED</t>
        </is>
      </c>
      <c r="E1209" t="inlineStr">
        <is>
          <t>Rua Vinte e Cinco-A, 23 - Sala 503, 506 e 510</t>
        </is>
      </c>
      <c r="F1209" t="inlineStr">
        <is>
          <t>Vila Santa Cecília</t>
        </is>
      </c>
      <c r="G1209" t="inlineStr">
        <is>
          <t>Volta Redonda</t>
        </is>
      </c>
      <c r="H1209" t="inlineStr">
        <is>
          <t>RJ</t>
        </is>
      </c>
      <c r="I1209" t="n">
        <v>5613</v>
      </c>
      <c r="J1209" t="inlineStr">
        <is>
          <t>CAT 5</t>
        </is>
      </c>
      <c r="K1209" t="inlineStr">
        <is>
          <t>Sim</t>
        </is>
      </c>
    </row>
    <row r="1210">
      <c r="A1210" s="1">
        <f>HYPERLINK("https://eurofarma-latam-crm.veevavault.com/#object/account__v/V4TZ00001914DBY", "Natalia Marie Minehira")</f>
        <v/>
      </c>
      <c r="B1210" s="1">
        <f>HYPERLINK("https://eurofarma-latam-crm.veevavault.com/#object/account__v/V4TZ00001914DBY", "Natalia Marie Minehira")</f>
        <v/>
      </c>
      <c r="C1210" t="inlineStr">
        <is>
          <t>RJ1162306,SP0213666</t>
        </is>
      </c>
      <c r="D1210" t="inlineStr">
        <is>
          <t>CLG / END</t>
        </is>
      </c>
      <c r="E1210" t="inlineStr">
        <is>
          <t>Avenida Doutor Raul de Oliveira Rodrigues, 12 - Lote 161 Qd 144</t>
        </is>
      </c>
      <c r="F1210" t="inlineStr">
        <is>
          <t>Piratininga</t>
        </is>
      </c>
      <c r="G1210" t="inlineStr">
        <is>
          <t>Niterói</t>
        </is>
      </c>
      <c r="H1210" t="inlineStr">
        <is>
          <t>RJ</t>
        </is>
      </c>
      <c r="I1210" t="n">
        <v>5613</v>
      </c>
      <c r="J1210" t="inlineStr">
        <is>
          <t>CAT 5</t>
        </is>
      </c>
      <c r="K1210" t="inlineStr">
        <is>
          <t>N�o</t>
        </is>
      </c>
    </row>
    <row r="1211">
      <c r="A1211" s="1">
        <f>HYPERLINK("https://eurofarma-latam-crm.veevavault.com/#object/account__v/V4TZ025E8EV03XO", "Natan de Souza")</f>
        <v/>
      </c>
      <c r="B1211" s="1">
        <f>HYPERLINK("https://eurofarma-latam-crm.veevavault.com/#object/account__v/V4TZ025E8EV03XO", "Natan Amaral de Souza")</f>
        <v/>
      </c>
      <c r="C1211" t="inlineStr">
        <is>
          <t>RJ1372845</t>
        </is>
      </c>
      <c r="D1211" t="inlineStr">
        <is>
          <t>CLG / PA</t>
        </is>
      </c>
      <c r="E1211" t="inlineStr">
        <is>
          <t>Avenida Bispo Dom João da Mata, S/N</t>
        </is>
      </c>
      <c r="F1211" t="inlineStr">
        <is>
          <t>Laranjal</t>
        </is>
      </c>
      <c r="G1211" t="inlineStr">
        <is>
          <t>São Gonçalo</t>
        </is>
      </c>
      <c r="H1211" t="inlineStr">
        <is>
          <t>RJ</t>
        </is>
      </c>
      <c r="I1211" t="n">
        <v>5613</v>
      </c>
      <c r="J1211" t="inlineStr">
        <is>
          <t>CAT 5</t>
        </is>
      </c>
      <c r="K1211" t="inlineStr">
        <is>
          <t>N�o</t>
        </is>
      </c>
    </row>
    <row r="1212">
      <c r="A1212" s="1">
        <f>HYPERLINK("https://eurofarma-latam-crm.veevavault.com/#object/account__v/V4TZ000018NXY2P", "Natasha do Amaral")</f>
        <v/>
      </c>
      <c r="B1212" s="1">
        <f>HYPERLINK("https://eurofarma-latam-crm.veevavault.com/#object/account__v/V4TZ000018NXY2P", "Natasha de Souza Abreu do Amaral")</f>
        <v/>
      </c>
      <c r="C1212" t="inlineStr">
        <is>
          <t>RJ1007009</t>
        </is>
      </c>
      <c r="D1212" t="inlineStr">
        <is>
          <t>END</t>
        </is>
      </c>
      <c r="E1212" t="inlineStr">
        <is>
          <t>Rua Adelaide Bezerra, 134</t>
        </is>
      </c>
      <c r="F1212" t="inlineStr">
        <is>
          <t>Centro</t>
        </is>
      </c>
      <c r="G1212" t="inlineStr">
        <is>
          <t>Maricá</t>
        </is>
      </c>
      <c r="H1212" t="inlineStr">
        <is>
          <t>RJ</t>
        </is>
      </c>
      <c r="I1212" t="n">
        <v>5613</v>
      </c>
      <c r="J1212" t="inlineStr">
        <is>
          <t>CAT 3</t>
        </is>
      </c>
      <c r="K1212" t="inlineStr">
        <is>
          <t>Sim</t>
        </is>
      </c>
    </row>
    <row r="1213">
      <c r="A1213" s="1">
        <f>HYPERLINK("https://eurofarma-latam-crm.veevavault.com/#object/account__v/V4TZ00001913G98", "Natasha Pimenta")</f>
        <v/>
      </c>
      <c r="B1213" s="1">
        <f>HYPERLINK("https://eurofarma-latam-crm.veevavault.com/#object/account__v/V4TZ00001913G98", "Natasha Geisel Pimenta")</f>
        <v/>
      </c>
      <c r="C1213" t="inlineStr">
        <is>
          <t>RJ0960780</t>
        </is>
      </c>
      <c r="D1213" t="inlineStr">
        <is>
          <t>NEU</t>
        </is>
      </c>
      <c r="E1213" t="inlineStr">
        <is>
          <t>Estrada Francisco da Cruz Nunes, 6501 - Sala 305</t>
        </is>
      </c>
      <c r="F1213" t="inlineStr">
        <is>
          <t>Piratininga</t>
        </is>
      </c>
      <c r="G1213" t="inlineStr">
        <is>
          <t>Niterói</t>
        </is>
      </c>
      <c r="H1213" t="inlineStr">
        <is>
          <t>RJ</t>
        </is>
      </c>
      <c r="I1213" t="n">
        <v>5613</v>
      </c>
      <c r="J1213" t="inlineStr">
        <is>
          <t>CAT 4</t>
        </is>
      </c>
      <c r="K1213" t="inlineStr">
        <is>
          <t>Sim</t>
        </is>
      </c>
    </row>
    <row r="1214">
      <c r="A1214" s="1">
        <f>HYPERLINK("https://eurofarma-latam-crm.veevavault.com/#object/account__v/V4TZ000018NYTTP", "Nathalia de Paula Guimarães")</f>
        <v/>
      </c>
      <c r="B1214" s="1">
        <f>HYPERLINK("https://eurofarma-latam-crm.veevavault.com/#object/account__v/V4TZ000018NYTTP", "Nathalia de Paula Guimarães")</f>
        <v/>
      </c>
      <c r="C1214" t="inlineStr">
        <is>
          <t>RJ0795534</t>
        </is>
      </c>
      <c r="D1214" t="inlineStr">
        <is>
          <t>NEU</t>
        </is>
      </c>
      <c r="E1214" t="inlineStr">
        <is>
          <t>Rua Rubem Risemberg, 46</t>
        </is>
      </c>
      <c r="F1214" t="inlineStr">
        <is>
          <t>Piratininga</t>
        </is>
      </c>
      <c r="G1214" t="inlineStr">
        <is>
          <t>Niterói</t>
        </is>
      </c>
      <c r="H1214" t="inlineStr">
        <is>
          <t>RJ</t>
        </is>
      </c>
      <c r="I1214" t="n">
        <v>5613</v>
      </c>
      <c r="J1214" t="inlineStr">
        <is>
          <t>CAT 2</t>
        </is>
      </c>
      <c r="K1214" t="inlineStr">
        <is>
          <t>Sim</t>
        </is>
      </c>
    </row>
    <row r="1215">
      <c r="A1215" s="1">
        <f>HYPERLINK("https://eurofarma-latam-crm.veevavault.com/#object/account__v/V4T00000001P219", "Nayara Priscila Marinho")</f>
        <v/>
      </c>
      <c r="B1215" s="1">
        <f>HYPERLINK("https://eurofarma-latam-crm.veevavault.com/#object/account__v/V4T00000001P219", "Nayara Priscila Resende Marinho")</f>
        <v/>
      </c>
      <c r="C1215" t="inlineStr">
        <is>
          <t>RJ1416471</t>
        </is>
      </c>
      <c r="D1215" t="inlineStr">
        <is>
          <t>CLG / PA</t>
        </is>
      </c>
      <c r="E1215" t="inlineStr">
        <is>
          <t>Rua Domício da Gama, 433</t>
        </is>
      </c>
      <c r="F1215" t="inlineStr">
        <is>
          <t>Araçatiba</t>
        </is>
      </c>
      <c r="G1215" t="inlineStr">
        <is>
          <t>Maricá</t>
        </is>
      </c>
      <c r="H1215" t="inlineStr">
        <is>
          <t>RJ</t>
        </is>
      </c>
      <c r="I1215" t="n">
        <v>5613</v>
      </c>
      <c r="J1215" t="inlineStr"/>
      <c r="K1215" t="inlineStr"/>
    </row>
    <row r="1216">
      <c r="A1216" s="1">
        <f>HYPERLINK("https://eurofarma-latam-crm.veevavault.com/#object/account__v/V4TZ025E8D358IN", "Nicolas Andrade")</f>
        <v/>
      </c>
      <c r="B1216" s="1">
        <f>HYPERLINK("https://eurofarma-latam-crm.veevavault.com/#object/account__v/V4TZ025E8D358IN", "Nicolas Alencar Moraes Andrade")</f>
        <v/>
      </c>
      <c r="C1216" t="inlineStr">
        <is>
          <t>RJ1357280</t>
        </is>
      </c>
      <c r="D1216" t="inlineStr">
        <is>
          <t>CLG / PA</t>
        </is>
      </c>
      <c r="E1216" t="inlineStr">
        <is>
          <t>Rua Reverendo Armando Ferreira, S/N</t>
        </is>
      </c>
      <c r="F1216" t="inlineStr">
        <is>
          <t>Largo da Batalha</t>
        </is>
      </c>
      <c r="G1216" t="inlineStr">
        <is>
          <t>Niterói</t>
        </is>
      </c>
      <c r="H1216" t="inlineStr">
        <is>
          <t>RJ</t>
        </is>
      </c>
      <c r="I1216" t="n">
        <v>5613</v>
      </c>
      <c r="J1216" t="inlineStr">
        <is>
          <t>CAT 5</t>
        </is>
      </c>
      <c r="K1216" t="inlineStr">
        <is>
          <t>Sim</t>
        </is>
      </c>
    </row>
    <row r="1217">
      <c r="A1217" s="1">
        <f>HYPERLINK("https://eurofarma-latam-crm.veevavault.com/#object/account__v/V4TZ025E8C2VB0M", "Nicole Cardozo")</f>
        <v/>
      </c>
      <c r="B1217" s="1">
        <f>HYPERLINK("https://eurofarma-latam-crm.veevavault.com/#object/account__v/V4TZ025E8C2VB0M", "Nicole Ribeiro Cardozo")</f>
        <v/>
      </c>
      <c r="C1217" t="inlineStr">
        <is>
          <t>RJ1357492</t>
        </is>
      </c>
      <c r="D1217" t="inlineStr">
        <is>
          <t>CLG / PA</t>
        </is>
      </c>
      <c r="E1217" t="inlineStr">
        <is>
          <t>Rua Reverendo Armando Ferreira, S/N</t>
        </is>
      </c>
      <c r="F1217" t="inlineStr">
        <is>
          <t>Largo da Batalha</t>
        </is>
      </c>
      <c r="G1217" t="inlineStr">
        <is>
          <t>Niterói</t>
        </is>
      </c>
      <c r="H1217" t="inlineStr">
        <is>
          <t>RJ</t>
        </is>
      </c>
      <c r="I1217" t="n">
        <v>5613</v>
      </c>
      <c r="J1217" t="inlineStr">
        <is>
          <t>CAT 4</t>
        </is>
      </c>
      <c r="K1217" t="inlineStr">
        <is>
          <t>N�o</t>
        </is>
      </c>
    </row>
    <row r="1218">
      <c r="A1218" s="1">
        <f>HYPERLINK("https://eurofarma-latam-crm.veevavault.com/#object/account__v/V4TZ00001914XWU", "Nina de Menezes")</f>
        <v/>
      </c>
      <c r="B1218" s="1">
        <f>HYPERLINK("https://eurofarma-latam-crm.veevavault.com/#object/account__v/V4TZ00001914XWU", "Nina Martins Bezerra de Menezes")</f>
        <v/>
      </c>
      <c r="C1218" t="inlineStr">
        <is>
          <t>RJ0822540</t>
        </is>
      </c>
      <c r="D1218" t="inlineStr">
        <is>
          <t>PED</t>
        </is>
      </c>
      <c r="E1218" t="inlineStr">
        <is>
          <t>Rua Marechal Raul de Albuquerque, 2</t>
        </is>
      </c>
      <c r="F1218" t="inlineStr">
        <is>
          <t>Charitas</t>
        </is>
      </c>
      <c r="G1218" t="inlineStr">
        <is>
          <t>Niterói</t>
        </is>
      </c>
      <c r="H1218" t="inlineStr">
        <is>
          <t>RJ</t>
        </is>
      </c>
      <c r="I1218" t="n">
        <v>5613</v>
      </c>
      <c r="J1218" t="inlineStr">
        <is>
          <t>CAT 4</t>
        </is>
      </c>
      <c r="K1218" t="inlineStr">
        <is>
          <t>Sim</t>
        </is>
      </c>
    </row>
    <row r="1219">
      <c r="A1219" s="1">
        <f>HYPERLINK("https://eurofarma-latam-crm.veevavault.com/#object/account__v/V4TZ00001914BRT", "Odara Memmel")</f>
        <v/>
      </c>
      <c r="B1219" s="1">
        <f>HYPERLINK("https://eurofarma-latam-crm.veevavault.com/#object/account__v/V4TZ00001914BRT", "Odara da Costa Memmel")</f>
        <v/>
      </c>
      <c r="C1219" t="inlineStr">
        <is>
          <t>RJ1196570</t>
        </is>
      </c>
      <c r="D1219" t="inlineStr">
        <is>
          <t>CLG / SNC</t>
        </is>
      </c>
      <c r="E1219" t="inlineStr">
        <is>
          <t>Avenida Irene Lopes Sodré, S/N</t>
        </is>
      </c>
      <c r="F1219" t="inlineStr">
        <is>
          <t>Engenho do Mato</t>
        </is>
      </c>
      <c r="G1219" t="inlineStr">
        <is>
          <t>Niterói</t>
        </is>
      </c>
      <c r="H1219" t="inlineStr">
        <is>
          <t>RJ</t>
        </is>
      </c>
      <c r="I1219" t="n">
        <v>5613</v>
      </c>
      <c r="J1219" t="inlineStr">
        <is>
          <t>CAT 4</t>
        </is>
      </c>
      <c r="K1219" t="inlineStr">
        <is>
          <t>Sim</t>
        </is>
      </c>
    </row>
    <row r="1220">
      <c r="A1220" s="1">
        <f>HYPERLINK("https://eurofarma-latam-crm.veevavault.com/#object/account__v/V4TZ000019151V1", "Oliver Cavalcanti")</f>
        <v/>
      </c>
      <c r="B1220" s="1">
        <f>HYPERLINK("https://eurofarma-latam-crm.veevavault.com/#object/account__v/V4TZ000019151V1", "Oliver Souza Cavalcanti")</f>
        <v/>
      </c>
      <c r="C1220" t="inlineStr">
        <is>
          <t>RJ1199331</t>
        </is>
      </c>
      <c r="D1220" t="inlineStr">
        <is>
          <t>CLG / PA</t>
        </is>
      </c>
      <c r="E1220" t="inlineStr">
        <is>
          <t>Rua Reverendo Armando Ferreira, S/N</t>
        </is>
      </c>
      <c r="F1220" t="inlineStr">
        <is>
          <t>Largo da Batalha</t>
        </is>
      </c>
      <c r="G1220" t="inlineStr">
        <is>
          <t>Niterói</t>
        </is>
      </c>
      <c r="H1220" t="inlineStr">
        <is>
          <t>RJ</t>
        </is>
      </c>
      <c r="I1220" t="n">
        <v>5613</v>
      </c>
      <c r="J1220" t="inlineStr">
        <is>
          <t>CAT 5</t>
        </is>
      </c>
      <c r="K1220" t="inlineStr">
        <is>
          <t>N�o</t>
        </is>
      </c>
    </row>
    <row r="1221">
      <c r="A1221" s="1">
        <f>HYPERLINK("https://eurofarma-latam-crm.veevavault.com/#object/account__v/V4TZ000018NYNEV", "Palmerio de Souza Neto")</f>
        <v/>
      </c>
      <c r="B1221" s="1">
        <f>HYPERLINK("https://eurofarma-latam-crm.veevavault.com/#object/account__v/V4TZ000018NYNEV", "Palmerio Neves de Souza Neto")</f>
        <v/>
      </c>
      <c r="C1221" t="inlineStr">
        <is>
          <t>RJ0658243</t>
        </is>
      </c>
      <c r="D1221" t="inlineStr">
        <is>
          <t>ORT</t>
        </is>
      </c>
      <c r="E1221" t="inlineStr">
        <is>
          <t>Rua Mário A. da Costa, 1</t>
        </is>
      </c>
      <c r="F1221" t="inlineStr">
        <is>
          <t>Centro</t>
        </is>
      </c>
      <c r="G1221" t="inlineStr">
        <is>
          <t>Cachoeiras de Macacu</t>
        </is>
      </c>
      <c r="H1221" t="inlineStr">
        <is>
          <t>RJ</t>
        </is>
      </c>
      <c r="I1221" t="n">
        <v>5613</v>
      </c>
      <c r="J1221" t="inlineStr">
        <is>
          <t>CAT 5</t>
        </is>
      </c>
      <c r="K1221" t="inlineStr">
        <is>
          <t>N�o</t>
        </is>
      </c>
    </row>
    <row r="1222">
      <c r="A1222" s="1">
        <f>HYPERLINK("https://eurofarma-latam-crm.veevavault.com/#object/account__v/V4TZ000018NYXS7", "Paula Figueiredo")</f>
        <v/>
      </c>
      <c r="B1222" s="1">
        <f>HYPERLINK("https://eurofarma-latam-crm.veevavault.com/#object/account__v/V4TZ000018NYXS7", "Paula Silva Figueiredo")</f>
        <v/>
      </c>
      <c r="C1222" t="inlineStr">
        <is>
          <t>RJ1174266</t>
        </is>
      </c>
      <c r="D1222" t="inlineStr">
        <is>
          <t>CLG / PA</t>
        </is>
      </c>
      <c r="E1222" t="inlineStr">
        <is>
          <t>Rua Domício da Gama, 433</t>
        </is>
      </c>
      <c r="F1222" t="inlineStr">
        <is>
          <t>Araçatiba</t>
        </is>
      </c>
      <c r="G1222" t="inlineStr">
        <is>
          <t>Maricá</t>
        </is>
      </c>
      <c r="H1222" t="inlineStr">
        <is>
          <t>RJ</t>
        </is>
      </c>
      <c r="I1222" t="n">
        <v>5613</v>
      </c>
      <c r="J1222" t="inlineStr">
        <is>
          <t>CAT 5</t>
        </is>
      </c>
      <c r="K1222" t="inlineStr">
        <is>
          <t>Sim</t>
        </is>
      </c>
    </row>
    <row r="1223">
      <c r="A1223" s="1">
        <f>HYPERLINK("https://eurofarma-latam-crm.veevavault.com/#object/account__v/V4TZ00001913R9R", "Paula Mendes")</f>
        <v/>
      </c>
      <c r="B1223" s="1">
        <f>HYPERLINK("https://eurofarma-latam-crm.veevavault.com/#object/account__v/V4TZ00001913R9R", "Paula da Costa Porto Mendes")</f>
        <v/>
      </c>
      <c r="C1223" t="inlineStr">
        <is>
          <t>RJ1145118</t>
        </is>
      </c>
      <c r="D1223" t="inlineStr">
        <is>
          <t>ORL</t>
        </is>
      </c>
      <c r="E1223" t="inlineStr">
        <is>
          <t>Rua Doutor Alfredo Backer, 191 - Sobreloja</t>
        </is>
      </c>
      <c r="F1223" t="inlineStr">
        <is>
          <t>Mutondo</t>
        </is>
      </c>
      <c r="G1223" t="inlineStr">
        <is>
          <t>São Gonçalo</t>
        </is>
      </c>
      <c r="H1223" t="inlineStr">
        <is>
          <t>RJ</t>
        </is>
      </c>
      <c r="I1223" t="n">
        <v>5613</v>
      </c>
      <c r="J1223" t="inlineStr">
        <is>
          <t>CAT 3</t>
        </is>
      </c>
      <c r="K1223" t="inlineStr">
        <is>
          <t>Sim</t>
        </is>
      </c>
    </row>
    <row r="1224">
      <c r="A1224" s="1">
        <f>HYPERLINK("https://eurofarma-latam-crm.veevavault.com/#object/account__v/V4TZ000019144B2", "Paulo Dias Junior")</f>
        <v/>
      </c>
      <c r="B1224" s="1">
        <f>HYPERLINK("https://eurofarma-latam-crm.veevavault.com/#object/account__v/V4TZ000019144B2", "Paulo Fernando Ferreira Dias Junior")</f>
        <v/>
      </c>
      <c r="C1224" t="inlineStr">
        <is>
          <t>RJ1021478</t>
        </is>
      </c>
      <c r="D1224" t="inlineStr">
        <is>
          <t>PED</t>
        </is>
      </c>
      <c r="E1224" t="inlineStr">
        <is>
          <t>Rua Setenta e Cinco, S/N</t>
        </is>
      </c>
      <c r="F1224" t="inlineStr">
        <is>
          <t>Araçatiba</t>
        </is>
      </c>
      <c r="G1224" t="inlineStr">
        <is>
          <t>Maricá</t>
        </is>
      </c>
      <c r="H1224" t="inlineStr">
        <is>
          <t>RJ</t>
        </is>
      </c>
      <c r="I1224" t="n">
        <v>5613</v>
      </c>
      <c r="J1224" t="inlineStr">
        <is>
          <t>CAT 5</t>
        </is>
      </c>
      <c r="K1224" t="inlineStr">
        <is>
          <t>N�o</t>
        </is>
      </c>
    </row>
    <row r="1225">
      <c r="A1225" s="1">
        <f>HYPERLINK("https://eurofarma-latam-crm.veevavault.com/#object/account__v/V4TZ00001915BD2", "Paulo Pereira")</f>
        <v/>
      </c>
      <c r="B1225" s="1">
        <f>HYPERLINK("https://eurofarma-latam-crm.veevavault.com/#object/account__v/V4TZ00001915BD2", "Paulo Cesar Rodrigues Pereira")</f>
        <v/>
      </c>
      <c r="C1225" t="inlineStr">
        <is>
          <t>RJ0310885</t>
        </is>
      </c>
      <c r="D1225" t="inlineStr">
        <is>
          <t>CLG</t>
        </is>
      </c>
      <c r="E1225" t="inlineStr">
        <is>
          <t>Rua Manoel Pacheco de Carvalho, 327</t>
        </is>
      </c>
      <c r="F1225" t="inlineStr">
        <is>
          <t>Piratininga</t>
        </is>
      </c>
      <c r="G1225" t="inlineStr">
        <is>
          <t>Niterói</t>
        </is>
      </c>
      <c r="H1225" t="inlineStr">
        <is>
          <t>RJ</t>
        </is>
      </c>
      <c r="I1225" t="n">
        <v>5613</v>
      </c>
      <c r="J1225" t="inlineStr">
        <is>
          <t>CAT 5</t>
        </is>
      </c>
      <c r="K1225" t="inlineStr">
        <is>
          <t>N�o</t>
        </is>
      </c>
    </row>
    <row r="1226">
      <c r="A1226" s="1">
        <f>HYPERLINK("https://eurofarma-latam-crm.veevavault.com/#object/account__v/V4TZ00001915SG3", "Paulo Roberto Antunes")</f>
        <v/>
      </c>
      <c r="B1226" s="1">
        <f>HYPERLINK("https://eurofarma-latam-crm.veevavault.com/#object/account__v/V4TZ00001915SG3", "Paulo Roberto Machado Antunes")</f>
        <v/>
      </c>
      <c r="C1226" t="inlineStr">
        <is>
          <t>RJ0252403</t>
        </is>
      </c>
      <c r="D1226" t="inlineStr">
        <is>
          <t>CLG / END</t>
        </is>
      </c>
      <c r="E1226" t="inlineStr">
        <is>
          <t>Avenida Ernani do Amaral Peixoto, 169</t>
        </is>
      </c>
      <c r="F1226" t="inlineStr">
        <is>
          <t>Centro</t>
        </is>
      </c>
      <c r="G1226" t="inlineStr">
        <is>
          <t>Niterói</t>
        </is>
      </c>
      <c r="H1226" t="inlineStr">
        <is>
          <t>RJ</t>
        </is>
      </c>
      <c r="I1226" t="n">
        <v>5613</v>
      </c>
      <c r="J1226" t="inlineStr">
        <is>
          <t>CAT 2</t>
        </is>
      </c>
      <c r="K1226" t="inlineStr">
        <is>
          <t>Sim</t>
        </is>
      </c>
    </row>
    <row r="1227">
      <c r="A1227" s="1">
        <f>HYPERLINK("https://eurofarma-latam-crm.veevavault.com/#object/account__v/V4TZ025E85MDBNE", "Pedro de Oliveira")</f>
        <v/>
      </c>
      <c r="B1227" s="1">
        <f>HYPERLINK("https://eurofarma-latam-crm.veevavault.com/#object/account__v/V4TZ025E85MDBNE", "Pedro Moreira de Oliveira")</f>
        <v/>
      </c>
      <c r="C1227" t="inlineStr">
        <is>
          <t>RJ1314319</t>
        </is>
      </c>
      <c r="D1227" t="inlineStr">
        <is>
          <t>ORT</t>
        </is>
      </c>
      <c r="E1227" t="inlineStr">
        <is>
          <t>Rua do Império, S/N</t>
        </is>
      </c>
      <c r="F1227" t="inlineStr">
        <is>
          <t>Santa Cruz</t>
        </is>
      </c>
      <c r="G1227" t="inlineStr">
        <is>
          <t>Rio de Janeiro</t>
        </is>
      </c>
      <c r="H1227" t="inlineStr">
        <is>
          <t>RJ</t>
        </is>
      </c>
      <c r="I1227" t="n">
        <v>5613</v>
      </c>
      <c r="J1227" t="inlineStr"/>
      <c r="K1227" t="inlineStr"/>
    </row>
    <row r="1228">
      <c r="A1228" s="1">
        <f>HYPERLINK("https://eurofarma-latam-crm.veevavault.com/#object/account__v/V4TZ000018NY50I", "Pedro Henrique Rocha")</f>
        <v/>
      </c>
      <c r="B1228" s="1">
        <f>HYPERLINK("https://eurofarma-latam-crm.veevavault.com/#object/account__v/V4TZ000018NY50I", "Pedro Henrique de Moraes Pessoa Rocha")</f>
        <v/>
      </c>
      <c r="C1228" t="inlineStr">
        <is>
          <t>RJ0955302</t>
        </is>
      </c>
      <c r="D1228" t="inlineStr">
        <is>
          <t>CLG / END</t>
        </is>
      </c>
      <c r="E1228" t="inlineStr">
        <is>
          <t>Avenida Carlos Marighella, 1153 - Quadra13 Lote 1B Loja 02 Parte</t>
        </is>
      </c>
      <c r="F1228" t="inlineStr">
        <is>
          <t>Barroco (Itaipuaçu)</t>
        </is>
      </c>
      <c r="G1228" t="inlineStr">
        <is>
          <t>Maricá</t>
        </is>
      </c>
      <c r="H1228" t="inlineStr">
        <is>
          <t>RJ</t>
        </is>
      </c>
      <c r="I1228" t="n">
        <v>5613</v>
      </c>
      <c r="J1228" t="inlineStr">
        <is>
          <t>CAT 4</t>
        </is>
      </c>
      <c r="K1228" t="inlineStr">
        <is>
          <t>Sim</t>
        </is>
      </c>
    </row>
    <row r="1229">
      <c r="A1229" s="1">
        <f>HYPERLINK("https://eurofarma-latam-crm.veevavault.com/#object/account__v/V4TZ0000191429J", "Pedro Paulo Gonçalves")</f>
        <v/>
      </c>
      <c r="B1229" s="1">
        <f>HYPERLINK("https://eurofarma-latam-crm.veevavault.com/#object/account__v/V4TZ0000191429J", "Pedro Paulo Farias Gonçalves")</f>
        <v/>
      </c>
      <c r="C1229" t="inlineStr">
        <is>
          <t>RJ1168126</t>
        </is>
      </c>
      <c r="D1229" t="inlineStr"/>
      <c r="E1229" t="inlineStr">
        <is>
          <t>Avenida Presidente Kennedy, 143</t>
        </is>
      </c>
      <c r="F1229" t="inlineStr">
        <is>
          <t>Antonina</t>
        </is>
      </c>
      <c r="G1229" t="inlineStr">
        <is>
          <t>São Gonçalo</t>
        </is>
      </c>
      <c r="H1229" t="inlineStr">
        <is>
          <t>RJ</t>
        </is>
      </c>
      <c r="I1229" t="n">
        <v>5613</v>
      </c>
      <c r="J1229" t="inlineStr">
        <is>
          <t>CAT 2</t>
        </is>
      </c>
      <c r="K1229" t="inlineStr">
        <is>
          <t>Sim</t>
        </is>
      </c>
    </row>
    <row r="1230">
      <c r="A1230" s="1">
        <f>HYPERLINK("https://eurofarma-latam-crm.veevavault.com/#object/account__v/V4TZ000019130Z2", "Pedro Rangel")</f>
        <v/>
      </c>
      <c r="B1230" s="1">
        <f>HYPERLINK("https://eurofarma-latam-crm.veevavault.com/#object/account__v/V4TZ000019130Z2", "Pedro Ivo do Amaral Rangel")</f>
        <v/>
      </c>
      <c r="C1230" t="inlineStr">
        <is>
          <t>RJ1280457</t>
        </is>
      </c>
      <c r="D1230" t="inlineStr">
        <is>
          <t>CLG / PA</t>
        </is>
      </c>
      <c r="E1230" t="inlineStr">
        <is>
          <t>Estrada Prefeito Álvaro de Carvalho Júnior, S/N</t>
        </is>
      </c>
      <c r="F1230" t="inlineStr">
        <is>
          <t>Nancilândia</t>
        </is>
      </c>
      <c r="G1230" t="inlineStr">
        <is>
          <t>Itaboraí</t>
        </is>
      </c>
      <c r="H1230" t="inlineStr">
        <is>
          <t>RJ</t>
        </is>
      </c>
      <c r="I1230" t="n">
        <v>5613</v>
      </c>
      <c r="J1230" t="inlineStr">
        <is>
          <t>CAT 4</t>
        </is>
      </c>
      <c r="K1230" t="inlineStr">
        <is>
          <t>N�o</t>
        </is>
      </c>
    </row>
    <row r="1231">
      <c r="A1231" s="1">
        <f>HYPERLINK("https://eurofarma-latam-crm.veevavault.com/#object/account__v/V4TZ000019146F7", "Phillip Petraglia")</f>
        <v/>
      </c>
      <c r="B1231" s="1">
        <f>HYPERLINK("https://eurofarma-latam-crm.veevavault.com/#object/account__v/V4TZ000019146F7", "Phillip Petraglia")</f>
        <v/>
      </c>
      <c r="C1231" t="inlineStr">
        <is>
          <t>RJ0950645</t>
        </is>
      </c>
      <c r="D1231" t="inlineStr">
        <is>
          <t>CLG / END</t>
        </is>
      </c>
      <c r="E1231" t="inlineStr">
        <is>
          <t>Rua General José Cristino, 87</t>
        </is>
      </c>
      <c r="F1231" t="inlineStr">
        <is>
          <t>São Cristóvão</t>
        </is>
      </c>
      <c r="G1231" t="inlineStr">
        <is>
          <t>Rio de Janeiro</t>
        </is>
      </c>
      <c r="H1231" t="inlineStr">
        <is>
          <t>RJ</t>
        </is>
      </c>
      <c r="I1231" t="n">
        <v>5613</v>
      </c>
      <c r="J1231" t="inlineStr">
        <is>
          <t>CAT 5</t>
        </is>
      </c>
      <c r="K1231" t="inlineStr">
        <is>
          <t>Sim</t>
        </is>
      </c>
    </row>
    <row r="1232">
      <c r="A1232" s="1">
        <f>HYPERLINK("https://eurofarma-latam-crm.veevavault.com/#object/account__v/V4TZ00001914XKJ", "Rachel de Olivas")</f>
        <v/>
      </c>
      <c r="B1232" s="1">
        <f>HYPERLINK("https://eurofarma-latam-crm.veevavault.com/#object/account__v/V4TZ00001914XKJ", "Rachel Castro Faria Campos de Olivas")</f>
        <v/>
      </c>
      <c r="C1232" t="inlineStr">
        <is>
          <t>RJ0501686</t>
        </is>
      </c>
      <c r="D1232" t="inlineStr">
        <is>
          <t>PED</t>
        </is>
      </c>
      <c r="E1232" t="inlineStr">
        <is>
          <t>Rua Doutor Nilo Peçanha, 232</t>
        </is>
      </c>
      <c r="F1232" t="inlineStr">
        <is>
          <t>Centro</t>
        </is>
      </c>
      <c r="G1232" t="inlineStr">
        <is>
          <t>São Gonçalo</t>
        </is>
      </c>
      <c r="H1232" t="inlineStr">
        <is>
          <t>RJ</t>
        </is>
      </c>
      <c r="I1232" t="n">
        <v>5613</v>
      </c>
      <c r="J1232" t="inlineStr">
        <is>
          <t>CAT 4</t>
        </is>
      </c>
      <c r="K1232" t="inlineStr">
        <is>
          <t>Sim</t>
        </is>
      </c>
    </row>
    <row r="1233">
      <c r="A1233" s="1">
        <f>HYPERLINK("https://eurofarma-latam-crm.veevavault.com/#object/account__v/V4TZ000019166TA", "Rachel Vasconcelos")</f>
        <v/>
      </c>
      <c r="B1233" s="1">
        <f>HYPERLINK("https://eurofarma-latam-crm.veevavault.com/#object/account__v/V4TZ000019166TA", "Rachel Cunha Ramos de Vasconcelos")</f>
        <v/>
      </c>
      <c r="C1233" t="inlineStr">
        <is>
          <t>RJ0779121</t>
        </is>
      </c>
      <c r="D1233" t="inlineStr">
        <is>
          <t>CLG / PA</t>
        </is>
      </c>
      <c r="E1233" t="inlineStr">
        <is>
          <t>Estrada Sacramento, S/N</t>
        </is>
      </c>
      <c r="F1233" t="inlineStr">
        <is>
          <t>Sacramento</t>
        </is>
      </c>
      <c r="G1233" t="inlineStr">
        <is>
          <t>São Gonçalo</t>
        </is>
      </c>
      <c r="H1233" t="inlineStr">
        <is>
          <t>RJ</t>
        </is>
      </c>
      <c r="I1233" t="n">
        <v>5613</v>
      </c>
      <c r="J1233" t="inlineStr">
        <is>
          <t>CAT 2</t>
        </is>
      </c>
      <c r="K1233" t="inlineStr">
        <is>
          <t>Sim</t>
        </is>
      </c>
    </row>
    <row r="1234">
      <c r="A1234" s="1">
        <f>HYPERLINK("https://eurofarma-latam-crm.veevavault.com/#object/account__v/V4TZ00001916057", "Rafael Nascimento")</f>
        <v/>
      </c>
      <c r="B1234" s="1">
        <f>HYPERLINK("https://eurofarma-latam-crm.veevavault.com/#object/account__v/V4TZ00001916057", "Rafael Capelleiro Nascimento")</f>
        <v/>
      </c>
      <c r="C1234" t="inlineStr">
        <is>
          <t>RJ0859990</t>
        </is>
      </c>
      <c r="D1234" t="inlineStr">
        <is>
          <t>ORT</t>
        </is>
      </c>
      <c r="E1234" t="inlineStr">
        <is>
          <t>Rua Teixeira de Freitas, 30</t>
        </is>
      </c>
      <c r="F1234" t="inlineStr">
        <is>
          <t>Fonseca</t>
        </is>
      </c>
      <c r="G1234" t="inlineStr">
        <is>
          <t>Niterói</t>
        </is>
      </c>
      <c r="H1234" t="inlineStr">
        <is>
          <t>RJ</t>
        </is>
      </c>
      <c r="I1234" t="n">
        <v>5613</v>
      </c>
      <c r="J1234" t="inlineStr"/>
      <c r="K1234" t="inlineStr"/>
    </row>
    <row r="1235">
      <c r="A1235" s="1">
        <f>HYPERLINK("https://eurofarma-latam-crm.veevavault.com/#object/account__v/V4TZ025E8AMA3DR", "Raphael Marques")</f>
        <v/>
      </c>
      <c r="B1235" s="1">
        <f>HYPERLINK("https://eurofarma-latam-crm.veevavault.com/#object/account__v/V4TZ025E8AMA3DR", "Raphael Prestes Marques")</f>
        <v/>
      </c>
      <c r="C1235" t="inlineStr">
        <is>
          <t>RJ1331043</t>
        </is>
      </c>
      <c r="D1235" t="inlineStr">
        <is>
          <t>CLG / PA</t>
        </is>
      </c>
      <c r="E1235" t="inlineStr">
        <is>
          <t>Rua Doutor Nilo Peçanha, 442 - Parte</t>
        </is>
      </c>
      <c r="F1235" t="inlineStr">
        <is>
          <t>Estrela do Norte</t>
        </is>
      </c>
      <c r="G1235" t="inlineStr">
        <is>
          <t>São Gonçalo</t>
        </is>
      </c>
      <c r="H1235" t="inlineStr">
        <is>
          <t>RJ</t>
        </is>
      </c>
      <c r="I1235" t="n">
        <v>5613</v>
      </c>
      <c r="J1235" t="inlineStr"/>
      <c r="K1235" t="inlineStr"/>
    </row>
    <row r="1236">
      <c r="A1236" s="1">
        <f>HYPERLINK("https://eurofarma-latam-crm.veevavault.com/#object/account__v/V4TZ00001915UFM", "Regina Célia Figueiredo")</f>
        <v/>
      </c>
      <c r="B1236" s="1">
        <f>HYPERLINK("https://eurofarma-latam-crm.veevavault.com/#object/account__v/V4TZ00001915UFM", "Regina Célia Pereira Figueiredo")</f>
        <v/>
      </c>
      <c r="C1236" t="inlineStr">
        <is>
          <t>RJ0594920</t>
        </is>
      </c>
      <c r="D1236" t="inlineStr">
        <is>
          <t>CLG / END</t>
        </is>
      </c>
      <c r="E1236" t="inlineStr">
        <is>
          <t>Rua Mário Lopes de Fontoura, 117 - Casa 1 Lote 6 Quadra 1</t>
        </is>
      </c>
      <c r="F1236" t="inlineStr">
        <is>
          <t>Centro</t>
        </is>
      </c>
      <c r="G1236" t="inlineStr">
        <is>
          <t>Maricá</t>
        </is>
      </c>
      <c r="H1236" t="inlineStr">
        <is>
          <t>RJ</t>
        </is>
      </c>
      <c r="I1236" t="n">
        <v>5613</v>
      </c>
      <c r="J1236" t="inlineStr">
        <is>
          <t>CAT 5</t>
        </is>
      </c>
      <c r="K1236" t="inlineStr">
        <is>
          <t>N�o</t>
        </is>
      </c>
    </row>
    <row r="1237">
      <c r="A1237" s="1">
        <f>HYPERLINK("https://eurofarma-latam-crm.veevavault.com/#object/account__v/V4TZ00001913MUI", "Renan Ferreira")</f>
        <v/>
      </c>
      <c r="B1237" s="1">
        <f>HYPERLINK("https://eurofarma-latam-crm.veevavault.com/#object/account__v/V4TZ00001913MUI", "Renan Rios Guimarães Ferreira")</f>
        <v/>
      </c>
      <c r="C1237" t="inlineStr">
        <is>
          <t>RJ0800899</t>
        </is>
      </c>
      <c r="D1237" t="inlineStr">
        <is>
          <t>CLG / PA</t>
        </is>
      </c>
      <c r="E1237" t="inlineStr">
        <is>
          <t>Rua Mauricio De Abreu, 882</t>
        </is>
      </c>
      <c r="F1237" t="inlineStr">
        <is>
          <t>Mutuá</t>
        </is>
      </c>
      <c r="G1237" t="inlineStr">
        <is>
          <t>São Gonçalo</t>
        </is>
      </c>
      <c r="H1237" t="inlineStr">
        <is>
          <t>RJ</t>
        </is>
      </c>
      <c r="I1237" t="n">
        <v>5613</v>
      </c>
      <c r="J1237" t="inlineStr"/>
      <c r="K1237" t="inlineStr"/>
    </row>
    <row r="1238">
      <c r="A1238" s="1">
        <f>HYPERLINK("https://eurofarma-latam-crm.veevavault.com/#object/account__v/V4TZ00001914KC3", "Renan Rangel")</f>
        <v/>
      </c>
      <c r="B1238" s="1">
        <f>HYPERLINK("https://eurofarma-latam-crm.veevavault.com/#object/account__v/V4TZ00001914KC3", "Renan de Oliveira Rangel")</f>
        <v/>
      </c>
      <c r="C1238" t="inlineStr">
        <is>
          <t>RJ0405583</t>
        </is>
      </c>
      <c r="D1238" t="inlineStr">
        <is>
          <t>PED</t>
        </is>
      </c>
      <c r="E1238" t="inlineStr">
        <is>
          <t>Rua Joaquim Ferreira da Silva, 03 - Quadra 160 Lote 03</t>
        </is>
      </c>
      <c r="F1238" t="inlineStr">
        <is>
          <t>Centro</t>
        </is>
      </c>
      <c r="G1238" t="inlineStr">
        <is>
          <t>Maricá</t>
        </is>
      </c>
      <c r="H1238" t="inlineStr">
        <is>
          <t>RJ</t>
        </is>
      </c>
      <c r="I1238" t="n">
        <v>5613</v>
      </c>
      <c r="J1238" t="inlineStr">
        <is>
          <t>CAT 4</t>
        </is>
      </c>
      <c r="K1238" t="inlineStr">
        <is>
          <t>Sim</t>
        </is>
      </c>
    </row>
    <row r="1239">
      <c r="A1239" s="1">
        <f>HYPERLINK("https://eurofarma-latam-crm.veevavault.com/#object/account__v/V4TZ00001914JDR", "Renata de Olivas")</f>
        <v/>
      </c>
      <c r="B1239" s="1">
        <f>HYPERLINK("https://eurofarma-latam-crm.veevavault.com/#object/account__v/V4TZ00001914JDR", "Renata Castro Faria Campos de Olivas")</f>
        <v/>
      </c>
      <c r="C1239" t="inlineStr">
        <is>
          <t>RJ0929271</t>
        </is>
      </c>
      <c r="D1239" t="inlineStr">
        <is>
          <t>GAS</t>
        </is>
      </c>
      <c r="E1239" t="inlineStr">
        <is>
          <t>Parque Vital Brasil, S/N</t>
        </is>
      </c>
      <c r="F1239" t="inlineStr">
        <is>
          <t>Vital Brazil</t>
        </is>
      </c>
      <c r="G1239" t="inlineStr">
        <is>
          <t>Niterói</t>
        </is>
      </c>
      <c r="H1239" t="inlineStr">
        <is>
          <t>RJ</t>
        </is>
      </c>
      <c r="I1239" t="n">
        <v>5613</v>
      </c>
      <c r="J1239" t="inlineStr">
        <is>
          <t>CAT 5</t>
        </is>
      </c>
      <c r="K1239" t="inlineStr">
        <is>
          <t>Sim</t>
        </is>
      </c>
    </row>
    <row r="1240">
      <c r="A1240" s="1">
        <f>HYPERLINK("https://eurofarma-latam-crm.veevavault.com/#object/account__v/V4TZ0000191442T", "Renata Ortega")</f>
        <v/>
      </c>
      <c r="B1240" s="1">
        <f>HYPERLINK("https://eurofarma-latam-crm.veevavault.com/#object/account__v/V4TZ0000191442T", "Renata Candido de Andrade Ortega")</f>
        <v/>
      </c>
      <c r="C1240" t="inlineStr">
        <is>
          <t>RJ0610473</t>
        </is>
      </c>
      <c r="D1240" t="inlineStr">
        <is>
          <t>PSQ</t>
        </is>
      </c>
      <c r="E1240" t="inlineStr">
        <is>
          <t>Rua Reverendo Armando Ferreira, 30</t>
        </is>
      </c>
      <c r="F1240" t="inlineStr">
        <is>
          <t>Largo da Batalha</t>
        </is>
      </c>
      <c r="G1240" t="inlineStr">
        <is>
          <t>Niterói</t>
        </is>
      </c>
      <c r="H1240" t="inlineStr">
        <is>
          <t>RJ</t>
        </is>
      </c>
      <c r="I1240" t="n">
        <v>5613</v>
      </c>
      <c r="J1240" t="inlineStr">
        <is>
          <t>CAT 4</t>
        </is>
      </c>
      <c r="K1240" t="inlineStr">
        <is>
          <t>Sim</t>
        </is>
      </c>
    </row>
    <row r="1241">
      <c r="A1241" s="1">
        <f>HYPERLINK("https://eurofarma-latam-crm.veevavault.com/#object/account__v/V4TZ000018NYW4C", "Ricardo Jorge")</f>
        <v/>
      </c>
      <c r="B1241" s="1">
        <f>HYPERLINK("https://eurofarma-latam-crm.veevavault.com/#object/account__v/V4TZ000018NYW4C", "Ricardo de Carvalho Jorge")</f>
        <v/>
      </c>
      <c r="C1241" t="inlineStr">
        <is>
          <t>RJ0407872</t>
        </is>
      </c>
      <c r="D1241" t="inlineStr">
        <is>
          <t>CLG</t>
        </is>
      </c>
      <c r="E1241" t="inlineStr">
        <is>
          <t>Avenida Governador Roberto Silveira, 426</t>
        </is>
      </c>
      <c r="F1241" t="inlineStr">
        <is>
          <t>Campo do Prado</t>
        </is>
      </c>
      <c r="G1241" t="inlineStr">
        <is>
          <t>Cachoeiras de Macacu</t>
        </is>
      </c>
      <c r="H1241" t="inlineStr">
        <is>
          <t>RJ</t>
        </is>
      </c>
      <c r="I1241" t="n">
        <v>5613</v>
      </c>
      <c r="J1241" t="inlineStr"/>
      <c r="K1241" t="inlineStr"/>
    </row>
    <row r="1242">
      <c r="A1242" s="1">
        <f>HYPERLINK("https://eurofarma-latam-crm.veevavault.com/#object/account__v/V4TZ000018NYEF9", "Ricardo Peixoto")</f>
        <v/>
      </c>
      <c r="B1242" s="1">
        <f>HYPERLINK("https://eurofarma-latam-crm.veevavault.com/#object/account__v/V4TZ000018NYEF9", "Ricardo Rodrigues Peixoto")</f>
        <v/>
      </c>
      <c r="C1242" t="inlineStr">
        <is>
          <t>RJ0537543</t>
        </is>
      </c>
      <c r="D1242" t="inlineStr">
        <is>
          <t>CLG</t>
        </is>
      </c>
      <c r="E1242" t="inlineStr">
        <is>
          <t>Avenida Irene Lopes Sodré, S/N</t>
        </is>
      </c>
      <c r="F1242" t="inlineStr">
        <is>
          <t>Engenho do Mato</t>
        </is>
      </c>
      <c r="G1242" t="inlineStr">
        <is>
          <t>Niterói</t>
        </is>
      </c>
      <c r="H1242" t="inlineStr">
        <is>
          <t>RJ</t>
        </is>
      </c>
      <c r="I1242" t="n">
        <v>5613</v>
      </c>
      <c r="J1242" t="inlineStr">
        <is>
          <t>CAT 5</t>
        </is>
      </c>
      <c r="K1242" t="inlineStr">
        <is>
          <t>N�o</t>
        </is>
      </c>
    </row>
    <row r="1243">
      <c r="A1243" s="1">
        <f>HYPERLINK("https://eurofarma-latam-crm.veevavault.com/#object/account__v/V4TZ025E8AK0ABJ", "Ricardo Torviso")</f>
        <v/>
      </c>
      <c r="B1243" s="1">
        <f>HYPERLINK("https://eurofarma-latam-crm.veevavault.com/#object/account__v/V4TZ025E8AK0ABJ", "Ricardo Torviso")</f>
        <v/>
      </c>
      <c r="C1243" t="inlineStr">
        <is>
          <t>RJ0462405</t>
        </is>
      </c>
      <c r="D1243" t="inlineStr">
        <is>
          <t>CLG</t>
        </is>
      </c>
      <c r="E1243" t="inlineStr">
        <is>
          <t>Avenida Almirante Tamandaré, 521 - Loja 101</t>
        </is>
      </c>
      <c r="F1243" t="inlineStr">
        <is>
          <t>Piratininga</t>
        </is>
      </c>
      <c r="G1243" t="inlineStr">
        <is>
          <t>Niterói</t>
        </is>
      </c>
      <c r="H1243" t="inlineStr">
        <is>
          <t>RJ</t>
        </is>
      </c>
      <c r="I1243" t="n">
        <v>5613</v>
      </c>
      <c r="J1243" t="inlineStr"/>
      <c r="K1243" t="inlineStr"/>
    </row>
    <row r="1244">
      <c r="A1244" s="1">
        <f>HYPERLINK("https://eurofarma-latam-crm.veevavault.com/#object/account__v/V4TZ000019165KI", "Rikeslley Azevedo")</f>
        <v/>
      </c>
      <c r="B1244" s="1">
        <f>HYPERLINK("https://eurofarma-latam-crm.veevavault.com/#object/account__v/V4TZ000019165KI", "Rikeslley Lopes de Azevedo")</f>
        <v/>
      </c>
      <c r="C1244" t="inlineStr">
        <is>
          <t>RJ1242873</t>
        </is>
      </c>
      <c r="D1244" t="inlineStr">
        <is>
          <t>CLG / PA</t>
        </is>
      </c>
      <c r="E1244" t="inlineStr">
        <is>
          <t>Rua Euclides Paulo da Silva, S/N</t>
        </is>
      </c>
      <c r="F1244" t="inlineStr">
        <is>
          <t>Inoã (Inoã)</t>
        </is>
      </c>
      <c r="G1244" t="inlineStr">
        <is>
          <t>Maricá</t>
        </is>
      </c>
      <c r="H1244" t="inlineStr">
        <is>
          <t>RJ</t>
        </is>
      </c>
      <c r="I1244" t="n">
        <v>5613</v>
      </c>
      <c r="J1244" t="inlineStr">
        <is>
          <t>CAT 5</t>
        </is>
      </c>
      <c r="K1244" t="inlineStr">
        <is>
          <t>N�o</t>
        </is>
      </c>
    </row>
    <row r="1245">
      <c r="A1245" s="1">
        <f>HYPERLINK("https://eurofarma-latam-crm.veevavault.com/#object/account__v/V4TZ000018NXSS7", "Rita Malheiros")</f>
        <v/>
      </c>
      <c r="B1245" s="1">
        <f>HYPERLINK("https://eurofarma-latam-crm.veevavault.com/#object/account__v/V4TZ000018NXSS7", "Rita de Cassia Malheiros")</f>
        <v/>
      </c>
      <c r="C1245" t="inlineStr">
        <is>
          <t>RJ0586872</t>
        </is>
      </c>
      <c r="D1245" t="inlineStr">
        <is>
          <t>CLG / PA</t>
        </is>
      </c>
      <c r="E1245" t="inlineStr">
        <is>
          <t>Avenida Irene Lopes Sodré, S/N</t>
        </is>
      </c>
      <c r="F1245" t="inlineStr">
        <is>
          <t>Engenho do Mato</t>
        </is>
      </c>
      <c r="G1245" t="inlineStr">
        <is>
          <t>Niterói</t>
        </is>
      </c>
      <c r="H1245" t="inlineStr">
        <is>
          <t>RJ</t>
        </is>
      </c>
      <c r="I1245" t="n">
        <v>5613</v>
      </c>
      <c r="J1245" t="inlineStr">
        <is>
          <t>CAT 5</t>
        </is>
      </c>
      <c r="K1245" t="inlineStr">
        <is>
          <t>N�o</t>
        </is>
      </c>
    </row>
    <row r="1246">
      <c r="A1246" s="1">
        <f>HYPERLINK("https://eurofarma-latam-crm.veevavault.com/#object/account__v/V4TZ0000191611R", "Rivany Pires")</f>
        <v/>
      </c>
      <c r="B1246" s="1">
        <f>HYPERLINK("https://eurofarma-latam-crm.veevavault.com/#object/account__v/V4TZ0000191611R", "Rivany Pires")</f>
        <v/>
      </c>
      <c r="C1246" t="inlineStr">
        <is>
          <t>RJ1170180</t>
        </is>
      </c>
      <c r="D1246" t="inlineStr">
        <is>
          <t>CLG / SNC</t>
        </is>
      </c>
      <c r="E1246" t="inlineStr">
        <is>
          <t>Rua Doutor Nilo Peçanha, 232</t>
        </is>
      </c>
      <c r="F1246" t="inlineStr">
        <is>
          <t>Centro</t>
        </is>
      </c>
      <c r="G1246" t="inlineStr">
        <is>
          <t>São Gonçalo</t>
        </is>
      </c>
      <c r="H1246" t="inlineStr">
        <is>
          <t>RJ</t>
        </is>
      </c>
      <c r="I1246" t="n">
        <v>5613</v>
      </c>
      <c r="J1246" t="inlineStr">
        <is>
          <t>CAT 4</t>
        </is>
      </c>
      <c r="K1246" t="inlineStr">
        <is>
          <t>Sim</t>
        </is>
      </c>
    </row>
    <row r="1247">
      <c r="A1247" s="1">
        <f>HYPERLINK("https://eurofarma-latam-crm.veevavault.com/#object/account__v/V4TZ04ASGMYSF2B", "Roberta Medeiros")</f>
        <v/>
      </c>
      <c r="B1247" s="1">
        <f>HYPERLINK("https://eurofarma-latam-crm.veevavault.com/#object/account__v/V4TZ04ASGMYSF2B", "Roberta Martins de Medeiros")</f>
        <v/>
      </c>
      <c r="C1247" t="inlineStr">
        <is>
          <t>RJ1014609</t>
        </is>
      </c>
      <c r="D1247" t="inlineStr">
        <is>
          <t>END</t>
        </is>
      </c>
      <c r="E1247" t="inlineStr">
        <is>
          <t>Estrada Francisco da Cruz Nunes, 6723 - Loja 301 Loja 302</t>
        </is>
      </c>
      <c r="F1247" t="inlineStr">
        <is>
          <t>Itaipu</t>
        </is>
      </c>
      <c r="G1247" t="inlineStr">
        <is>
          <t>Niterói</t>
        </is>
      </c>
      <c r="H1247" t="inlineStr">
        <is>
          <t>RJ</t>
        </is>
      </c>
      <c r="I1247" t="n">
        <v>5613</v>
      </c>
      <c r="J1247" t="inlineStr">
        <is>
          <t>CAT 5</t>
        </is>
      </c>
      <c r="K1247" t="inlineStr">
        <is>
          <t>Sim</t>
        </is>
      </c>
    </row>
    <row r="1248">
      <c r="A1248" s="1">
        <f>HYPERLINK("https://eurofarma-latam-crm.veevavault.com/#object/account__v/V4TZ000019155HR", "Roberto Rocha Filho")</f>
        <v/>
      </c>
      <c r="B1248" s="1">
        <f>HYPERLINK("https://eurofarma-latam-crm.veevavault.com/#object/account__v/V4TZ000019155HR", "Roberto Navarro Rocha Filho")</f>
        <v/>
      </c>
      <c r="C1248" t="inlineStr">
        <is>
          <t>ES0017060,RJ1222813</t>
        </is>
      </c>
      <c r="D1248" t="inlineStr">
        <is>
          <t>NEU</t>
        </is>
      </c>
      <c r="E1248" t="inlineStr">
        <is>
          <t>Rua Pedro Luiz Souza, 108</t>
        </is>
      </c>
      <c r="F1248" t="inlineStr">
        <is>
          <t>Centro</t>
        </is>
      </c>
      <c r="G1248" t="inlineStr">
        <is>
          <t>Araruama</t>
        </is>
      </c>
      <c r="H1248" t="inlineStr">
        <is>
          <t>RJ</t>
        </is>
      </c>
      <c r="I1248" t="n">
        <v>5613</v>
      </c>
      <c r="J1248" t="inlineStr">
        <is>
          <t>CAT 3</t>
        </is>
      </c>
      <c r="K1248" t="inlineStr">
        <is>
          <t>Sim</t>
        </is>
      </c>
    </row>
    <row r="1249">
      <c r="A1249" s="1">
        <f>HYPERLINK("https://eurofarma-latam-crm.veevavault.com/#object/account__v/V4TZ000018NXH53", "Robson Gomes")</f>
        <v/>
      </c>
      <c r="B1249" s="1">
        <f>HYPERLINK("https://eurofarma-latam-crm.veevavault.com/#object/account__v/V4TZ000018NXH53", "Robson Vasconcellos Gomes")</f>
        <v/>
      </c>
      <c r="C1249" t="inlineStr">
        <is>
          <t>RJ0638706</t>
        </is>
      </c>
      <c r="D1249" t="inlineStr">
        <is>
          <t>URO</t>
        </is>
      </c>
      <c r="E1249" t="inlineStr">
        <is>
          <t>Rua Azamor José da Silva, 229</t>
        </is>
      </c>
      <c r="F1249" t="inlineStr">
        <is>
          <t>Araçatiba</t>
        </is>
      </c>
      <c r="G1249" t="inlineStr">
        <is>
          <t>Maricá</t>
        </is>
      </c>
      <c r="H1249" t="inlineStr">
        <is>
          <t>RJ</t>
        </is>
      </c>
      <c r="I1249" t="n">
        <v>5613</v>
      </c>
      <c r="J1249" t="inlineStr">
        <is>
          <t>CAT 3</t>
        </is>
      </c>
      <c r="K1249" t="inlineStr">
        <is>
          <t>Sim</t>
        </is>
      </c>
    </row>
    <row r="1250">
      <c r="A1250" s="1">
        <f>HYPERLINK("https://eurofarma-latam-crm.veevavault.com/#object/account__v/V4TZ000018NXJH2", "Rodolpho Pereira")</f>
        <v/>
      </c>
      <c r="B1250" s="1">
        <f>HYPERLINK("https://eurofarma-latam-crm.veevavault.com/#object/account__v/V4TZ000018NXJH2", "Rodolpho Pinto Ayres Pereira")</f>
        <v/>
      </c>
      <c r="C1250" t="inlineStr">
        <is>
          <t>RJ0409003</t>
        </is>
      </c>
      <c r="D1250" t="inlineStr">
        <is>
          <t>ORT</t>
        </is>
      </c>
      <c r="E1250" t="inlineStr">
        <is>
          <t>Avenida Quintino Bocaiúva, 325 - Sala 303</t>
        </is>
      </c>
      <c r="F1250" t="inlineStr">
        <is>
          <t>São Francisco</t>
        </is>
      </c>
      <c r="G1250" t="inlineStr">
        <is>
          <t>Niterói</t>
        </is>
      </c>
      <c r="H1250" t="inlineStr">
        <is>
          <t>RJ</t>
        </is>
      </c>
      <c r="I1250" t="n">
        <v>5613</v>
      </c>
      <c r="J1250" t="inlineStr">
        <is>
          <t>CAT 5</t>
        </is>
      </c>
      <c r="K1250" t="inlineStr">
        <is>
          <t>Sim</t>
        </is>
      </c>
    </row>
    <row r="1251">
      <c r="A1251" s="1">
        <f>HYPERLINK("https://eurofarma-latam-crm.veevavault.com/#object/account__v/V4TZ000018NYV0J", "Roiza Baldez")</f>
        <v/>
      </c>
      <c r="B1251" s="1">
        <f>HYPERLINK("https://eurofarma-latam-crm.veevavault.com/#object/account__v/V4TZ000018NYV0J", "Roiza Almeida Rodrigues Baldez")</f>
        <v/>
      </c>
      <c r="C1251" t="inlineStr">
        <is>
          <t>RJ0652512</t>
        </is>
      </c>
      <c r="D1251" t="inlineStr">
        <is>
          <t>NEU</t>
        </is>
      </c>
      <c r="E1251" t="inlineStr">
        <is>
          <t>Rua César Xará, 781 - Bloco 01</t>
        </is>
      </c>
      <c r="F1251" t="inlineStr">
        <is>
          <t>Quissamã</t>
        </is>
      </c>
      <c r="G1251" t="inlineStr">
        <is>
          <t>Itaboraí</t>
        </is>
      </c>
      <c r="H1251" t="inlineStr">
        <is>
          <t>RJ</t>
        </is>
      </c>
      <c r="I1251" t="n">
        <v>5613</v>
      </c>
      <c r="J1251" t="inlineStr">
        <is>
          <t>CAT 2</t>
        </is>
      </c>
      <c r="K1251" t="inlineStr">
        <is>
          <t>Sim</t>
        </is>
      </c>
    </row>
    <row r="1252">
      <c r="A1252" s="1">
        <f>HYPERLINK("https://eurofarma-latam-crm.veevavault.com/#object/account__v/V4TZ025E88NKCPA", "Roney Cavalcante")</f>
        <v/>
      </c>
      <c r="B1252" s="1">
        <f>HYPERLINK("https://eurofarma-latam-crm.veevavault.com/#object/account__v/V4TZ025E88NKCPA", "Roney Alves Cavalcante")</f>
        <v/>
      </c>
      <c r="C1252" t="inlineStr">
        <is>
          <t>RJ1322575</t>
        </is>
      </c>
      <c r="D1252" t="inlineStr">
        <is>
          <t>PED</t>
        </is>
      </c>
      <c r="E1252" t="inlineStr">
        <is>
          <t>Avenida Pastor Martin Luther King Jr, 10976</t>
        </is>
      </c>
      <c r="F1252" t="inlineStr">
        <is>
          <t>Acari</t>
        </is>
      </c>
      <c r="G1252" t="inlineStr">
        <is>
          <t>Rio de Janeiro</t>
        </is>
      </c>
      <c r="H1252" t="inlineStr">
        <is>
          <t>RJ</t>
        </is>
      </c>
      <c r="I1252" t="n">
        <v>5613</v>
      </c>
      <c r="J1252" t="inlineStr">
        <is>
          <t>CAT 5</t>
        </is>
      </c>
      <c r="K1252" t="inlineStr">
        <is>
          <t>N�o</t>
        </is>
      </c>
    </row>
    <row r="1253">
      <c r="A1253" s="1">
        <f>HYPERLINK("https://eurofarma-latam-crm.veevavault.com/#object/account__v/V4TZ000019132WP", "Ronielly Bozzi")</f>
        <v/>
      </c>
      <c r="B1253" s="1">
        <f>HYPERLINK("https://eurofarma-latam-crm.veevavault.com/#object/account__v/V4TZ000019132WP", "Ronielly Pereira Bozzi")</f>
        <v/>
      </c>
      <c r="C1253" t="inlineStr">
        <is>
          <t>RJ1126644</t>
        </is>
      </c>
      <c r="D1253" t="inlineStr">
        <is>
          <t>URO</t>
        </is>
      </c>
      <c r="E1253" t="inlineStr">
        <is>
          <t>Rua Manoel Pacheco de Carvalho, 327</t>
        </is>
      </c>
      <c r="F1253" t="inlineStr">
        <is>
          <t>Piratininga</t>
        </is>
      </c>
      <c r="G1253" t="inlineStr">
        <is>
          <t>Niterói</t>
        </is>
      </c>
      <c r="H1253" t="inlineStr">
        <is>
          <t>RJ</t>
        </is>
      </c>
      <c r="I1253" t="n">
        <v>5613</v>
      </c>
      <c r="J1253" t="inlineStr">
        <is>
          <t>CAT 5</t>
        </is>
      </c>
      <c r="K1253" t="inlineStr">
        <is>
          <t>N�o</t>
        </is>
      </c>
    </row>
    <row r="1254">
      <c r="A1254" s="1">
        <f>HYPERLINK("https://eurofarma-latam-crm.veevavault.com/#object/account__v/V4TZ00001913QYD", "Rosane Maria Barreto")</f>
        <v/>
      </c>
      <c r="B1254" s="1">
        <f>HYPERLINK("https://eurofarma-latam-crm.veevavault.com/#object/account__v/V4TZ00001913QYD", "Rosane Maria Aguiar Codeço Barreto")</f>
        <v/>
      </c>
      <c r="C1254" t="inlineStr">
        <is>
          <t>RJ0411980</t>
        </is>
      </c>
      <c r="D1254" t="inlineStr">
        <is>
          <t>CLG</t>
        </is>
      </c>
      <c r="E1254" t="inlineStr">
        <is>
          <t>Avenida Irene Lopes Sodré, S/N</t>
        </is>
      </c>
      <c r="F1254" t="inlineStr">
        <is>
          <t>Engenho do Mato</t>
        </is>
      </c>
      <c r="G1254" t="inlineStr">
        <is>
          <t>Niterói</t>
        </is>
      </c>
      <c r="H1254" t="inlineStr">
        <is>
          <t>RJ</t>
        </is>
      </c>
      <c r="I1254" t="n">
        <v>5613</v>
      </c>
      <c r="J1254" t="inlineStr">
        <is>
          <t>CAT 5</t>
        </is>
      </c>
      <c r="K1254" t="inlineStr">
        <is>
          <t>Sim</t>
        </is>
      </c>
    </row>
    <row r="1255">
      <c r="A1255" s="1">
        <f>HYPERLINK("https://eurofarma-latam-crm.veevavault.com/#object/account__v/V4TZ025E8EZ84E3", "Ruanna Silva")</f>
        <v/>
      </c>
      <c r="B1255" s="1">
        <f>HYPERLINK("https://eurofarma-latam-crm.veevavault.com/#object/account__v/V4TZ025E8EZ84E3", "Ruanna Fagundes Da Silva")</f>
        <v/>
      </c>
      <c r="C1255" t="inlineStr">
        <is>
          <t>RJ1383786</t>
        </is>
      </c>
      <c r="D1255" t="inlineStr">
        <is>
          <t>CLG / PA</t>
        </is>
      </c>
      <c r="E1255" t="inlineStr">
        <is>
          <t>Rua Reverendo Armando Ferreira, S/N</t>
        </is>
      </c>
      <c r="F1255" t="inlineStr">
        <is>
          <t>Largo da Batalha</t>
        </is>
      </c>
      <c r="G1255" t="inlineStr">
        <is>
          <t>Niterói</t>
        </is>
      </c>
      <c r="H1255" t="inlineStr">
        <is>
          <t>RJ</t>
        </is>
      </c>
      <c r="I1255" t="n">
        <v>5613</v>
      </c>
      <c r="J1255" t="inlineStr"/>
      <c r="K1255" t="inlineStr"/>
    </row>
    <row r="1256">
      <c r="A1256" s="1">
        <f>HYPERLINK("https://eurofarma-latam-crm.veevavault.com/#object/account__v/V4TZ0000191462D", "Rulliany Marins")</f>
        <v/>
      </c>
      <c r="B1256" s="1">
        <f>HYPERLINK("https://eurofarma-latam-crm.veevavault.com/#object/account__v/V4TZ0000191462D", "Rulliany Lizia Tinoco Marins")</f>
        <v/>
      </c>
      <c r="C1256" t="inlineStr">
        <is>
          <t>RJ1143220</t>
        </is>
      </c>
      <c r="D1256" t="inlineStr">
        <is>
          <t>CLG / PA</t>
        </is>
      </c>
      <c r="E1256" t="inlineStr">
        <is>
          <t>Rua Doutor Nilo Peçanha, 391</t>
        </is>
      </c>
      <c r="F1256" t="inlineStr">
        <is>
          <t>Antonina</t>
        </is>
      </c>
      <c r="G1256" t="inlineStr">
        <is>
          <t>São Gonçalo</t>
        </is>
      </c>
      <c r="H1256" t="inlineStr">
        <is>
          <t>RJ</t>
        </is>
      </c>
      <c r="I1256" t="n">
        <v>5613</v>
      </c>
      <c r="J1256" t="inlineStr">
        <is>
          <t>CAT 3</t>
        </is>
      </c>
      <c r="K1256" t="inlineStr">
        <is>
          <t>Sim</t>
        </is>
      </c>
    </row>
    <row r="1257">
      <c r="A1257" s="1">
        <f>HYPERLINK("https://eurofarma-latam-crm.veevavault.com/#object/account__v/V4TZ000018NYQ8W", "Ryan Esteves")</f>
        <v/>
      </c>
      <c r="B1257" s="1">
        <f>HYPERLINK("https://eurofarma-latam-crm.veevavault.com/#object/account__v/V4TZ000018NYQ8W", "Ryan Farias Esteves")</f>
        <v/>
      </c>
      <c r="C1257" t="inlineStr">
        <is>
          <t>RJ1247026</t>
        </is>
      </c>
      <c r="D1257" t="inlineStr">
        <is>
          <t>PED</t>
        </is>
      </c>
      <c r="E1257" t="inlineStr">
        <is>
          <t>Rua Doutor Nilo Peçanha, 1076</t>
        </is>
      </c>
      <c r="F1257" t="inlineStr">
        <is>
          <t>Estrela do Norte</t>
        </is>
      </c>
      <c r="G1257" t="inlineStr">
        <is>
          <t>São Gonçalo</t>
        </is>
      </c>
      <c r="H1257" t="inlineStr">
        <is>
          <t>RJ</t>
        </is>
      </c>
      <c r="I1257" t="n">
        <v>5613</v>
      </c>
      <c r="J1257" t="inlineStr">
        <is>
          <t>CAT 5</t>
        </is>
      </c>
      <c r="K1257" t="inlineStr">
        <is>
          <t>N�o</t>
        </is>
      </c>
    </row>
    <row r="1258">
      <c r="A1258" s="1">
        <f>HYPERLINK("https://eurofarma-latam-crm.veevavault.com/#object/account__v/V4TZ000018NXHY9", "Sabrina Guerreiro")</f>
        <v/>
      </c>
      <c r="B1258" s="1">
        <f>HYPERLINK("https://eurofarma-latam-crm.veevavault.com/#object/account__v/V4TZ000018NXHY9", "Sabrina Mendonça Guerreiro")</f>
        <v/>
      </c>
      <c r="C1258" t="inlineStr">
        <is>
          <t>RJ0952613</t>
        </is>
      </c>
      <c r="D1258" t="inlineStr">
        <is>
          <t>ORL</t>
        </is>
      </c>
      <c r="E1258" t="inlineStr">
        <is>
          <t>Rua Antônio Vieira Sobrinho, 32</t>
        </is>
      </c>
      <c r="F1258" t="inlineStr">
        <is>
          <t>Centro</t>
        </is>
      </c>
      <c r="G1258" t="inlineStr">
        <is>
          <t>Maricá</t>
        </is>
      </c>
      <c r="H1258" t="inlineStr">
        <is>
          <t>RJ</t>
        </is>
      </c>
      <c r="I1258" t="n">
        <v>5613</v>
      </c>
      <c r="J1258" t="inlineStr">
        <is>
          <t>CAT 5</t>
        </is>
      </c>
      <c r="K1258" t="inlineStr">
        <is>
          <t>Sim</t>
        </is>
      </c>
    </row>
    <row r="1259">
      <c r="A1259" s="1">
        <f>HYPERLINK("https://eurofarma-latam-crm.veevavault.com/#object/account__v/V4TZ000018NXHI2", "Sabrina Pontes")</f>
        <v/>
      </c>
      <c r="B1259" s="1">
        <f>HYPERLINK("https://eurofarma-latam-crm.veevavault.com/#object/account__v/V4TZ000018NXHI2", "Sabrina de Paula Pontes")</f>
        <v/>
      </c>
      <c r="C1259" t="inlineStr">
        <is>
          <t>RJ0826596</t>
        </is>
      </c>
      <c r="D1259" t="inlineStr">
        <is>
          <t>ORT</t>
        </is>
      </c>
      <c r="E1259" t="inlineStr">
        <is>
          <t>Rua Manoel Pacheco de Carvalho, 327</t>
        </is>
      </c>
      <c r="F1259" t="inlineStr">
        <is>
          <t>Piratininga</t>
        </is>
      </c>
      <c r="G1259" t="inlineStr">
        <is>
          <t>Niterói</t>
        </is>
      </c>
      <c r="H1259" t="inlineStr">
        <is>
          <t>RJ</t>
        </is>
      </c>
      <c r="I1259" t="n">
        <v>5613</v>
      </c>
      <c r="J1259" t="inlineStr">
        <is>
          <t>CAT 4</t>
        </is>
      </c>
      <c r="K1259" t="inlineStr">
        <is>
          <t>Sim</t>
        </is>
      </c>
    </row>
    <row r="1260">
      <c r="A1260" s="1">
        <f>HYPERLINK("https://eurofarma-latam-crm.veevavault.com/#object/account__v/V4TZ025E843PI4X", "Sandra Barbosa")</f>
        <v/>
      </c>
      <c r="B1260" s="1">
        <f>HYPERLINK("https://eurofarma-latam-crm.veevavault.com/#object/account__v/V4TZ025E843PI4X", "Sandra Barbosa")</f>
        <v/>
      </c>
      <c r="C1260" t="inlineStr">
        <is>
          <t>RJ1294172</t>
        </is>
      </c>
      <c r="D1260" t="inlineStr">
        <is>
          <t>CLG</t>
        </is>
      </c>
      <c r="E1260" t="inlineStr">
        <is>
          <t>Estrada Francisco da Cruz Nunes, S/N</t>
        </is>
      </c>
      <c r="F1260" t="inlineStr">
        <is>
          <t>Piratininga</t>
        </is>
      </c>
      <c r="G1260" t="inlineStr">
        <is>
          <t>Niterói</t>
        </is>
      </c>
      <c r="H1260" t="inlineStr">
        <is>
          <t>RJ</t>
        </is>
      </c>
      <c r="I1260" t="n">
        <v>5613</v>
      </c>
      <c r="J1260" t="inlineStr">
        <is>
          <t>CAT 5</t>
        </is>
      </c>
      <c r="K1260" t="inlineStr">
        <is>
          <t>Sim</t>
        </is>
      </c>
    </row>
    <row r="1261">
      <c r="A1261" s="1">
        <f>HYPERLINK("https://eurofarma-latam-crm.veevavault.com/#object/account__v/V4TZ00001914TE4", "Sandra Cunha")</f>
        <v/>
      </c>
      <c r="B1261" s="1">
        <f>HYPERLINK("https://eurofarma-latam-crm.veevavault.com/#object/account__v/V4TZ00001914TE4", "Sandra Regina Batista Cunha")</f>
        <v/>
      </c>
      <c r="C1261" t="inlineStr">
        <is>
          <t>RJ0479995</t>
        </is>
      </c>
      <c r="D1261" t="inlineStr">
        <is>
          <t>PED</t>
        </is>
      </c>
      <c r="E1261" t="inlineStr">
        <is>
          <t>Rua Teixeira de Freitas, S/N</t>
        </is>
      </c>
      <c r="F1261" t="inlineStr">
        <is>
          <t>Fonseca</t>
        </is>
      </c>
      <c r="G1261" t="inlineStr">
        <is>
          <t>Niterói</t>
        </is>
      </c>
      <c r="H1261" t="inlineStr">
        <is>
          <t>RJ</t>
        </is>
      </c>
      <c r="I1261" t="n">
        <v>5613</v>
      </c>
      <c r="J1261" t="inlineStr">
        <is>
          <t>CAT 4</t>
        </is>
      </c>
      <c r="K1261" t="inlineStr">
        <is>
          <t>Sim</t>
        </is>
      </c>
    </row>
    <row r="1262">
      <c r="A1262" s="1">
        <f>HYPERLINK("https://eurofarma-latam-crm.veevavault.com/#object/account__v/V4TZ000018NYCS0", "Sandra Solis")</f>
        <v/>
      </c>
      <c r="B1262" s="1">
        <f>HYPERLINK("https://eurofarma-latam-crm.veevavault.com/#object/account__v/V4TZ000018NYCS0", "Sandra Milena Torres Solis")</f>
        <v/>
      </c>
      <c r="C1262" t="inlineStr">
        <is>
          <t>RJ1063545</t>
        </is>
      </c>
      <c r="D1262" t="inlineStr">
        <is>
          <t>NEU</t>
        </is>
      </c>
      <c r="E1262" t="inlineStr">
        <is>
          <t>Rua Doutor March, 5 - Loja</t>
        </is>
      </c>
      <c r="F1262" t="inlineStr">
        <is>
          <t>Venda da Cruz</t>
        </is>
      </c>
      <c r="G1262" t="inlineStr">
        <is>
          <t>São Gonçalo</t>
        </is>
      </c>
      <c r="H1262" t="inlineStr">
        <is>
          <t>RJ</t>
        </is>
      </c>
      <c r="I1262" t="n">
        <v>5613</v>
      </c>
      <c r="J1262" t="inlineStr">
        <is>
          <t>CAT 2</t>
        </is>
      </c>
      <c r="K1262" t="inlineStr">
        <is>
          <t>Sim</t>
        </is>
      </c>
    </row>
    <row r="1263">
      <c r="A1263" s="1">
        <f>HYPERLINK("https://eurofarma-latam-crm.veevavault.com/#object/account__v/V4TZ00001914XHY", "Savio Miranda")</f>
        <v/>
      </c>
      <c r="B1263" s="1">
        <f>HYPERLINK("https://eurofarma-latam-crm.veevavault.com/#object/account__v/V4TZ00001914XHY", "Savio Porto Miranda")</f>
        <v/>
      </c>
      <c r="C1263" t="inlineStr">
        <is>
          <t>RJ0835587</t>
        </is>
      </c>
      <c r="D1263" t="inlineStr">
        <is>
          <t>GAS</t>
        </is>
      </c>
      <c r="E1263" t="inlineStr">
        <is>
          <t>Rua Alberto Torres, 1631 - Loja 1</t>
        </is>
      </c>
      <c r="F1263" t="inlineStr">
        <is>
          <t>Neves (Neves)</t>
        </is>
      </c>
      <c r="G1263" t="inlineStr">
        <is>
          <t>São Gonçalo</t>
        </is>
      </c>
      <c r="H1263" t="inlineStr">
        <is>
          <t>RJ</t>
        </is>
      </c>
      <c r="I1263" t="n">
        <v>5613</v>
      </c>
      <c r="J1263" t="inlineStr">
        <is>
          <t>CAT 2</t>
        </is>
      </c>
      <c r="K1263" t="inlineStr">
        <is>
          <t>Sim</t>
        </is>
      </c>
    </row>
    <row r="1264">
      <c r="A1264" s="1">
        <f>HYPERLINK("https://eurofarma-latam-crm.veevavault.com/#object/account__v/V4TZ000018NYK1J", "Sergio Augusto Monteiro")</f>
        <v/>
      </c>
      <c r="B1264" s="1">
        <f>HYPERLINK("https://eurofarma-latam-crm.veevavault.com/#object/account__v/V4TZ000018NYK1J", "Sergio Augusto Palmeira Monteiro")</f>
        <v/>
      </c>
      <c r="C1264" t="inlineStr">
        <is>
          <t>RJ0229634</t>
        </is>
      </c>
      <c r="D1264" t="inlineStr">
        <is>
          <t>NEU</t>
        </is>
      </c>
      <c r="E1264" t="inlineStr">
        <is>
          <t>Rua Dagmar da Fonseca, 192</t>
        </is>
      </c>
      <c r="F1264" t="inlineStr">
        <is>
          <t>Madureira</t>
        </is>
      </c>
      <c r="G1264" t="inlineStr">
        <is>
          <t>Rio de Janeiro</t>
        </is>
      </c>
      <c r="H1264" t="inlineStr">
        <is>
          <t>RJ</t>
        </is>
      </c>
      <c r="I1264" t="n">
        <v>5613</v>
      </c>
      <c r="J1264" t="inlineStr">
        <is>
          <t>CAT 3</t>
        </is>
      </c>
      <c r="K1264" t="inlineStr">
        <is>
          <t>Sim</t>
        </is>
      </c>
    </row>
    <row r="1265">
      <c r="A1265" s="1">
        <f>HYPERLINK("https://eurofarma-latam-crm.veevavault.com/#object/account__v/V4TZ000018NY3GW", "Sergio Bogado")</f>
        <v/>
      </c>
      <c r="B1265" s="1">
        <f>HYPERLINK("https://eurofarma-latam-crm.veevavault.com/#object/account__v/V4TZ000018NY3GW", "Sergio Luiz Guerreiro Bogado")</f>
        <v/>
      </c>
      <c r="C1265" t="inlineStr">
        <is>
          <t>RJ0350761</t>
        </is>
      </c>
      <c r="D1265" t="inlineStr">
        <is>
          <t>PED</t>
        </is>
      </c>
      <c r="E1265" t="inlineStr">
        <is>
          <t>Praça Estefania de Carvalho, 26</t>
        </is>
      </c>
      <c r="F1265" t="inlineStr">
        <is>
          <t>Zé Garoto</t>
        </is>
      </c>
      <c r="G1265" t="inlineStr">
        <is>
          <t>São Gonçalo</t>
        </is>
      </c>
      <c r="H1265" t="inlineStr">
        <is>
          <t>RJ</t>
        </is>
      </c>
      <c r="I1265" t="n">
        <v>5613</v>
      </c>
      <c r="J1265" t="inlineStr">
        <is>
          <t>CAT 5</t>
        </is>
      </c>
      <c r="K1265" t="inlineStr">
        <is>
          <t>N�o</t>
        </is>
      </c>
    </row>
    <row r="1266">
      <c r="A1266" s="1">
        <f>HYPERLINK("https://eurofarma-latam-crm.veevavault.com/#object/account__v/V4TZ000018NYM4K", "Sergio Goncalves")</f>
        <v/>
      </c>
      <c r="B1266" s="1">
        <f>HYPERLINK("https://eurofarma-latam-crm.veevavault.com/#object/account__v/V4TZ000018NYM4K", "Sergio Fleury Araujo Goncalves")</f>
        <v/>
      </c>
      <c r="C1266" t="inlineStr">
        <is>
          <t>RJ0783269</t>
        </is>
      </c>
      <c r="D1266" t="inlineStr">
        <is>
          <t>CLG / PA</t>
        </is>
      </c>
      <c r="E1266" t="inlineStr">
        <is>
          <t>Rua 36, S/N - Quadra 433</t>
        </is>
      </c>
      <c r="F1266" t="inlineStr">
        <is>
          <t>Jardim Atlântico Central (Itaipuaçu)</t>
        </is>
      </c>
      <c r="G1266" t="inlineStr">
        <is>
          <t>Maricá</t>
        </is>
      </c>
      <c r="H1266" t="inlineStr">
        <is>
          <t>RJ</t>
        </is>
      </c>
      <c r="I1266" t="n">
        <v>5613</v>
      </c>
      <c r="J1266" t="inlineStr">
        <is>
          <t>CAT 5</t>
        </is>
      </c>
      <c r="K1266" t="inlineStr">
        <is>
          <t>N�o</t>
        </is>
      </c>
    </row>
    <row r="1267">
      <c r="A1267" s="1">
        <f>HYPERLINK("https://eurofarma-latam-crm.veevavault.com/#object/account__v/V4TZ0000191FSQ6", "Sidio Machado")</f>
        <v/>
      </c>
      <c r="B1267" s="1">
        <f>HYPERLINK("https://eurofarma-latam-crm.veevavault.com/#object/account__v/V4TZ0000191FSQ6", "Sidio Werdes Sousa Machado")</f>
        <v/>
      </c>
      <c r="C1267" t="inlineStr">
        <is>
          <t>RJ0369878</t>
        </is>
      </c>
      <c r="D1267" t="inlineStr">
        <is>
          <t>PED</t>
        </is>
      </c>
      <c r="E1267" t="inlineStr">
        <is>
          <t>Rua 36, S/N - Quadra 433</t>
        </is>
      </c>
      <c r="F1267" t="inlineStr">
        <is>
          <t>Jardim Atlântico Central (Itaipuaçu)</t>
        </is>
      </c>
      <c r="G1267" t="inlineStr">
        <is>
          <t>Maricá</t>
        </is>
      </c>
      <c r="H1267" t="inlineStr">
        <is>
          <t>RJ</t>
        </is>
      </c>
      <c r="I1267" t="n">
        <v>5613</v>
      </c>
      <c r="J1267" t="inlineStr">
        <is>
          <t>CAT 5</t>
        </is>
      </c>
      <c r="K1267" t="inlineStr">
        <is>
          <t>N�o</t>
        </is>
      </c>
    </row>
    <row r="1268">
      <c r="A1268" s="1">
        <f>HYPERLINK("https://eurofarma-latam-crm.veevavault.com/#object/account__v/V4TZ00001913LV9", "Tatiana Martins")</f>
        <v/>
      </c>
      <c r="B1268" s="1">
        <f>HYPERLINK("https://eurofarma-latam-crm.veevavault.com/#object/account__v/V4TZ00001913LV9", "Tatiana Peres Coutinho Martins")</f>
        <v/>
      </c>
      <c r="C1268" t="inlineStr">
        <is>
          <t>RJ0877417</t>
        </is>
      </c>
      <c r="D1268" t="inlineStr">
        <is>
          <t>ORT</t>
        </is>
      </c>
      <c r="E1268" t="inlineStr">
        <is>
          <t>Rua Miguel de Frias, 77 - Salas 812 à 816</t>
        </is>
      </c>
      <c r="F1268" t="inlineStr">
        <is>
          <t>Icaraí</t>
        </is>
      </c>
      <c r="G1268" t="inlineStr">
        <is>
          <t>Niterói</t>
        </is>
      </c>
      <c r="H1268" t="inlineStr">
        <is>
          <t>RJ</t>
        </is>
      </c>
      <c r="I1268" t="n">
        <v>5613</v>
      </c>
      <c r="J1268" t="inlineStr">
        <is>
          <t>CAT 5</t>
        </is>
      </c>
      <c r="K1268" t="inlineStr">
        <is>
          <t>Sim</t>
        </is>
      </c>
    </row>
    <row r="1269">
      <c r="A1269" s="1">
        <f>HYPERLINK("https://eurofarma-latam-crm.veevavault.com/#object/account__v/V4TZ00001913HTM", "Tatiana Matta")</f>
        <v/>
      </c>
      <c r="B1269" s="1">
        <f>HYPERLINK("https://eurofarma-latam-crm.veevavault.com/#object/account__v/V4TZ00001913HTM", "Tatiana Magacho Matta")</f>
        <v/>
      </c>
      <c r="C1269" t="inlineStr">
        <is>
          <t>RJ0756164</t>
        </is>
      </c>
      <c r="D1269" t="inlineStr">
        <is>
          <t>PED</t>
        </is>
      </c>
      <c r="E1269" t="inlineStr">
        <is>
          <t>Rua Azamor José da Silva, 229</t>
        </is>
      </c>
      <c r="F1269" t="inlineStr">
        <is>
          <t>Araçatiba</t>
        </is>
      </c>
      <c r="G1269" t="inlineStr">
        <is>
          <t>Maricá</t>
        </is>
      </c>
      <c r="H1269" t="inlineStr">
        <is>
          <t>RJ</t>
        </is>
      </c>
      <c r="I1269" t="n">
        <v>5613</v>
      </c>
      <c r="J1269" t="inlineStr">
        <is>
          <t>CAT 5</t>
        </is>
      </c>
      <c r="K1269" t="inlineStr">
        <is>
          <t>Sim</t>
        </is>
      </c>
    </row>
    <row r="1270">
      <c r="A1270" s="1">
        <f>HYPERLINK("https://eurofarma-latam-crm.veevavault.com/#object/account__v/V4TZ00001915MB2", "Tatiana Silveira")</f>
        <v/>
      </c>
      <c r="B1270" s="1">
        <f>HYPERLINK("https://eurofarma-latam-crm.veevavault.com/#object/account__v/V4TZ00001915MB2", "Tatiana Fukui da Silveira")</f>
        <v/>
      </c>
      <c r="C1270" t="inlineStr">
        <is>
          <t>RJ0454720</t>
        </is>
      </c>
      <c r="D1270" t="inlineStr">
        <is>
          <t>CLG</t>
        </is>
      </c>
      <c r="E1270" t="inlineStr">
        <is>
          <t>Estrada Francisco da Cruz Nunes, 6266 - Loja 216</t>
        </is>
      </c>
      <c r="F1270" t="inlineStr">
        <is>
          <t>Piratininga</t>
        </is>
      </c>
      <c r="G1270" t="inlineStr">
        <is>
          <t>Niterói</t>
        </is>
      </c>
      <c r="H1270" t="inlineStr">
        <is>
          <t>RJ</t>
        </is>
      </c>
      <c r="I1270" t="n">
        <v>5613</v>
      </c>
      <c r="J1270" t="inlineStr">
        <is>
          <t>CAT 5</t>
        </is>
      </c>
      <c r="K1270" t="inlineStr">
        <is>
          <t>Sim</t>
        </is>
      </c>
    </row>
    <row r="1271">
      <c r="A1271" s="1">
        <f>HYPERLINK("https://eurofarma-latam-crm.veevavault.com/#object/account__v/V4TZ025E83ZY6OT", "Teresa do Amaral Rodrigues")</f>
        <v/>
      </c>
      <c r="B1271" s="1">
        <f>HYPERLINK("https://eurofarma-latam-crm.veevavault.com/#object/account__v/V4TZ025E83ZY6OT", "Teresa Ferraz do Amaral Rodrigues")</f>
        <v/>
      </c>
      <c r="C1271" t="inlineStr">
        <is>
          <t>RJ1281437</t>
        </is>
      </c>
      <c r="D1271" t="inlineStr">
        <is>
          <t>CLG</t>
        </is>
      </c>
      <c r="E1271" t="inlineStr">
        <is>
          <t>Rua Reverendo Armando Ferreira, S/N</t>
        </is>
      </c>
      <c r="F1271" t="inlineStr">
        <is>
          <t>Largo da Batalha</t>
        </is>
      </c>
      <c r="G1271" t="inlineStr">
        <is>
          <t>Niterói</t>
        </is>
      </c>
      <c r="H1271" t="inlineStr">
        <is>
          <t>RJ</t>
        </is>
      </c>
      <c r="I1271" t="n">
        <v>5613</v>
      </c>
      <c r="J1271" t="inlineStr">
        <is>
          <t>CAT 5</t>
        </is>
      </c>
      <c r="K1271" t="inlineStr">
        <is>
          <t>N�o</t>
        </is>
      </c>
    </row>
    <row r="1272">
      <c r="A1272" s="1">
        <f>HYPERLINK("https://eurofarma-latam-crm.veevavault.com/#object/account__v/V4TZ0000191NA6I", "Thaiane Rodrigues")</f>
        <v/>
      </c>
      <c r="B1272" s="1">
        <f>HYPERLINK("https://eurofarma-latam-crm.veevavault.com/#object/account__v/V4TZ0000191NA6I", "Thaiane da Silva Rodrigues")</f>
        <v/>
      </c>
      <c r="C1272" t="inlineStr">
        <is>
          <t>RJ1208160</t>
        </is>
      </c>
      <c r="D1272" t="inlineStr">
        <is>
          <t>CLG / PA</t>
        </is>
      </c>
      <c r="E1272" t="inlineStr">
        <is>
          <t>Rua 36, S/N - Quadra 433</t>
        </is>
      </c>
      <c r="F1272" t="inlineStr">
        <is>
          <t>Jardim Atlântico Central (Itaipuaçu)</t>
        </is>
      </c>
      <c r="G1272" t="inlineStr">
        <is>
          <t>Maricá</t>
        </is>
      </c>
      <c r="H1272" t="inlineStr">
        <is>
          <t>RJ</t>
        </is>
      </c>
      <c r="I1272" t="n">
        <v>5613</v>
      </c>
      <c r="J1272" t="inlineStr">
        <is>
          <t>CAT 5</t>
        </is>
      </c>
      <c r="K1272" t="inlineStr">
        <is>
          <t>N�o</t>
        </is>
      </c>
    </row>
    <row r="1273">
      <c r="A1273" s="1">
        <f>HYPERLINK("https://eurofarma-latam-crm.veevavault.com/#object/account__v/V4TZ000019133QW", "Thalles Bruno Silva")</f>
        <v/>
      </c>
      <c r="B1273" s="1">
        <f>HYPERLINK("https://eurofarma-latam-crm.veevavault.com/#object/account__v/V4TZ000019133QW", "Thalles Bruno Prado Silva")</f>
        <v/>
      </c>
      <c r="C1273" t="inlineStr">
        <is>
          <t>RJ1030965</t>
        </is>
      </c>
      <c r="D1273" t="inlineStr">
        <is>
          <t>PSQ</t>
        </is>
      </c>
      <c r="E1273" t="inlineStr">
        <is>
          <t>Rua Ator Paulo Gustavo, 229 - Sala 1818</t>
        </is>
      </c>
      <c r="F1273" t="inlineStr">
        <is>
          <t>Icaraí</t>
        </is>
      </c>
      <c r="G1273" t="inlineStr">
        <is>
          <t>Niterói</t>
        </is>
      </c>
      <c r="H1273" t="inlineStr">
        <is>
          <t>RJ</t>
        </is>
      </c>
      <c r="I1273" t="n">
        <v>5613</v>
      </c>
      <c r="J1273" t="inlineStr">
        <is>
          <t>CAT 1</t>
        </is>
      </c>
      <c r="K1273" t="inlineStr">
        <is>
          <t>Sim</t>
        </is>
      </c>
    </row>
    <row r="1274">
      <c r="A1274" s="1">
        <f>HYPERLINK("https://eurofarma-latam-crm.veevavault.com/#object/account__v/V4TZ00001914X9E", "Thiago Moura")</f>
        <v/>
      </c>
      <c r="B1274" s="1">
        <f>HYPERLINK("https://eurofarma-latam-crm.veevavault.com/#object/account__v/V4TZ00001914X9E", "Thiago Braga Moura")</f>
        <v/>
      </c>
      <c r="C1274" t="inlineStr">
        <is>
          <t>RJ0934097</t>
        </is>
      </c>
      <c r="D1274" t="inlineStr">
        <is>
          <t>CLG</t>
        </is>
      </c>
      <c r="E1274" t="inlineStr">
        <is>
          <t>Rua Doutor Nilo Peçanha, 442 - Parte</t>
        </is>
      </c>
      <c r="F1274" t="inlineStr">
        <is>
          <t>Estrela do Norte</t>
        </is>
      </c>
      <c r="G1274" t="inlineStr">
        <is>
          <t>São Gonçalo</t>
        </is>
      </c>
      <c r="H1274" t="inlineStr">
        <is>
          <t>RJ</t>
        </is>
      </c>
      <c r="I1274" t="n">
        <v>5613</v>
      </c>
      <c r="J1274" t="inlineStr">
        <is>
          <t>CAT 5</t>
        </is>
      </c>
      <c r="K1274" t="inlineStr">
        <is>
          <t>N�o</t>
        </is>
      </c>
    </row>
    <row r="1275">
      <c r="A1275" s="1">
        <f>HYPERLINK("https://eurofarma-latam-crm.veevavault.com/#object/account__v/V4TZ00001914OLG", "Thiago Pinheiro")</f>
        <v/>
      </c>
      <c r="B1275" s="1">
        <f>HYPERLINK("https://eurofarma-latam-crm.veevavault.com/#object/account__v/V4TZ00001914OLG", "Thiago Duque Pinheiro")</f>
        <v/>
      </c>
      <c r="C1275" t="inlineStr">
        <is>
          <t>RJ1187155</t>
        </is>
      </c>
      <c r="D1275" t="inlineStr"/>
      <c r="E1275" t="inlineStr">
        <is>
          <t>Travessa Dezoito do Forte, 317 - 319 e 323</t>
        </is>
      </c>
      <c r="F1275" t="inlineStr">
        <is>
          <t>Mutuá</t>
        </is>
      </c>
      <c r="G1275" t="inlineStr">
        <is>
          <t>São Gonçalo</t>
        </is>
      </c>
      <c r="H1275" t="inlineStr">
        <is>
          <t>RJ</t>
        </is>
      </c>
      <c r="I1275" t="n">
        <v>5613</v>
      </c>
      <c r="J1275" t="inlineStr">
        <is>
          <t>CAT 3</t>
        </is>
      </c>
      <c r="K1275" t="inlineStr">
        <is>
          <t>Sim</t>
        </is>
      </c>
    </row>
    <row r="1276">
      <c r="A1276" s="1">
        <f>HYPERLINK("https://eurofarma-latam-crm.veevavault.com/#object/account__v/V4TZ00001914DD1", "Thiago Santiago")</f>
        <v/>
      </c>
      <c r="B1276" s="1">
        <f>HYPERLINK("https://eurofarma-latam-crm.veevavault.com/#object/account__v/V4TZ00001914DD1", "Thiago Brasiliense Leite Santiago")</f>
        <v/>
      </c>
      <c r="C1276" t="inlineStr">
        <is>
          <t>RJ1163892</t>
        </is>
      </c>
      <c r="D1276" t="inlineStr">
        <is>
          <t>CLG / PA</t>
        </is>
      </c>
      <c r="E1276" t="inlineStr">
        <is>
          <t>Rua da Gamboa, 303</t>
        </is>
      </c>
      <c r="F1276" t="inlineStr">
        <is>
          <t>Gamboa</t>
        </is>
      </c>
      <c r="G1276" t="inlineStr">
        <is>
          <t>Rio de Janeiro</t>
        </is>
      </c>
      <c r="H1276" t="inlineStr">
        <is>
          <t>RJ</t>
        </is>
      </c>
      <c r="I1276" t="n">
        <v>5613</v>
      </c>
      <c r="J1276" t="inlineStr">
        <is>
          <t>CAT 5</t>
        </is>
      </c>
      <c r="K1276" t="inlineStr">
        <is>
          <t>N�o</t>
        </is>
      </c>
    </row>
    <row r="1277">
      <c r="A1277" s="1">
        <f>HYPERLINK("https://eurofarma-latam-crm.veevavault.com/#object/account__v/V4TZ00001913389", "Tiago Gonçalves")</f>
        <v/>
      </c>
      <c r="B1277" s="1">
        <f>HYPERLINK("https://eurofarma-latam-crm.veevavault.com/#object/account__v/V4TZ00001913389", "Tiago Moura Gonçalves")</f>
        <v/>
      </c>
      <c r="C1277" t="inlineStr">
        <is>
          <t>RJ0827355</t>
        </is>
      </c>
      <c r="D1277" t="inlineStr">
        <is>
          <t>PSQ</t>
        </is>
      </c>
      <c r="E1277" t="inlineStr">
        <is>
          <t>Rua Heitor Levi, 34</t>
        </is>
      </c>
      <c r="F1277" t="inlineStr">
        <is>
          <t>Sete Pontes</t>
        </is>
      </c>
      <c r="G1277" t="inlineStr">
        <is>
          <t>São Gonçalo</t>
        </is>
      </c>
      <c r="H1277" t="inlineStr">
        <is>
          <t>RJ</t>
        </is>
      </c>
      <c r="I1277" t="n">
        <v>5613</v>
      </c>
      <c r="J1277" t="inlineStr">
        <is>
          <t>CAT 3</t>
        </is>
      </c>
      <c r="K1277" t="inlineStr">
        <is>
          <t>N�o</t>
        </is>
      </c>
    </row>
    <row r="1278">
      <c r="A1278" s="1">
        <f>HYPERLINK("https://eurofarma-latam-crm.veevavault.com/#object/account__v/V4TZ000018NYIKW", "Ubiratan Ramos")</f>
        <v/>
      </c>
      <c r="B1278" s="1">
        <f>HYPERLINK("https://eurofarma-latam-crm.veevavault.com/#object/account__v/V4TZ000018NYIKW", "Ubiratan Moreira Ramos")</f>
        <v/>
      </c>
      <c r="C1278" t="inlineStr">
        <is>
          <t>RJ0634565</t>
        </is>
      </c>
      <c r="D1278" t="inlineStr">
        <is>
          <t>GER</t>
        </is>
      </c>
      <c r="E1278" t="inlineStr">
        <is>
          <t>Rua Expedicionário Luiz Manoel Ferreira, 05</t>
        </is>
      </c>
      <c r="F1278" t="inlineStr">
        <is>
          <t>Centro</t>
        </is>
      </c>
      <c r="G1278" t="inlineStr">
        <is>
          <t>Maricá</t>
        </is>
      </c>
      <c r="H1278" t="inlineStr">
        <is>
          <t>RJ</t>
        </is>
      </c>
      <c r="I1278" t="n">
        <v>5613</v>
      </c>
      <c r="J1278" t="inlineStr">
        <is>
          <t>CAT 5</t>
        </is>
      </c>
      <c r="K1278" t="inlineStr">
        <is>
          <t>Sim</t>
        </is>
      </c>
    </row>
    <row r="1279">
      <c r="A1279" s="1">
        <f>HYPERLINK("https://eurofarma-latam-crm.veevavault.com/#object/account__v/V4TZ000019159WH", "Valeria Barreto")</f>
        <v/>
      </c>
      <c r="B1279" s="1">
        <f>HYPERLINK("https://eurofarma-latam-crm.veevavault.com/#object/account__v/V4TZ000019159WH", "Valeria Mendes Barreto")</f>
        <v/>
      </c>
      <c r="C1279" t="inlineStr">
        <is>
          <t>RJ0799017</t>
        </is>
      </c>
      <c r="D1279" t="inlineStr">
        <is>
          <t>CLG / END</t>
        </is>
      </c>
      <c r="E1279" t="inlineStr">
        <is>
          <t>Rua Doutor Mário Viana, 653</t>
        </is>
      </c>
      <c r="F1279" t="inlineStr">
        <is>
          <t>Santa Rosa</t>
        </is>
      </c>
      <c r="G1279" t="inlineStr">
        <is>
          <t>Niterói</t>
        </is>
      </c>
      <c r="H1279" t="inlineStr">
        <is>
          <t>RJ</t>
        </is>
      </c>
      <c r="I1279" t="n">
        <v>5613</v>
      </c>
      <c r="J1279" t="inlineStr">
        <is>
          <t>CAT 5</t>
        </is>
      </c>
      <c r="K1279" t="inlineStr">
        <is>
          <t>Sim</t>
        </is>
      </c>
    </row>
    <row r="1280">
      <c r="A1280" s="1">
        <f>HYPERLINK("https://eurofarma-latam-crm.veevavault.com/#object/account__v/V4TZ000018NYHUK", "Vannia Laguna")</f>
        <v/>
      </c>
      <c r="B1280" s="1">
        <f>HYPERLINK("https://eurofarma-latam-crm.veevavault.com/#object/account__v/V4TZ000018NYHUK", "Vannia Vanessa Gonzales Laguna")</f>
        <v/>
      </c>
      <c r="C1280" t="inlineStr">
        <is>
          <t>RJ1230735</t>
        </is>
      </c>
      <c r="D1280" t="inlineStr">
        <is>
          <t>PED</t>
        </is>
      </c>
      <c r="E1280" t="inlineStr">
        <is>
          <t>Rua Domício da Gama, 433</t>
        </is>
      </c>
      <c r="F1280" t="inlineStr">
        <is>
          <t>Araçatiba</t>
        </is>
      </c>
      <c r="G1280" t="inlineStr">
        <is>
          <t>Maricá</t>
        </is>
      </c>
      <c r="H1280" t="inlineStr">
        <is>
          <t>RJ</t>
        </is>
      </c>
      <c r="I1280" t="n">
        <v>5613</v>
      </c>
      <c r="J1280" t="inlineStr">
        <is>
          <t>CAT 5</t>
        </is>
      </c>
      <c r="K1280" t="inlineStr">
        <is>
          <t>N�o</t>
        </is>
      </c>
    </row>
    <row r="1281">
      <c r="A1281" s="1">
        <f>HYPERLINK("https://eurofarma-latam-crm.veevavault.com/#object/account__v/V4TZ00001914N8V", "Verônica de Vasconcellos")</f>
        <v/>
      </c>
      <c r="B1281" s="1">
        <f>HYPERLINK("https://eurofarma-latam-crm.veevavault.com/#object/account__v/V4TZ00001914N8V", "Verônica Huhne de Vasconcellos")</f>
        <v/>
      </c>
      <c r="C1281" t="inlineStr">
        <is>
          <t>RJ1106937</t>
        </is>
      </c>
      <c r="D1281" t="inlineStr">
        <is>
          <t>PSQ</t>
        </is>
      </c>
      <c r="E1281" t="inlineStr">
        <is>
          <t>Rua Marechal Raul de Albuquerque, 2</t>
        </is>
      </c>
      <c r="F1281" t="inlineStr">
        <is>
          <t>Charitas</t>
        </is>
      </c>
      <c r="G1281" t="inlineStr">
        <is>
          <t>Niterói</t>
        </is>
      </c>
      <c r="H1281" t="inlineStr">
        <is>
          <t>RJ</t>
        </is>
      </c>
      <c r="I1281" t="n">
        <v>5613</v>
      </c>
      <c r="J1281" t="inlineStr">
        <is>
          <t>CAT 3</t>
        </is>
      </c>
      <c r="K1281" t="inlineStr">
        <is>
          <t>Sim</t>
        </is>
      </c>
    </row>
    <row r="1282">
      <c r="A1282" s="1">
        <f>HYPERLINK("https://eurofarma-latam-crm.veevavault.com/#object/account__v/V4TZ00001913RJL", "Vinicius de Moraes")</f>
        <v/>
      </c>
      <c r="B1282" s="1">
        <f>HYPERLINK("https://eurofarma-latam-crm.veevavault.com/#object/account__v/V4TZ00001913RJL", "Vinicius de Moraes")</f>
        <v/>
      </c>
      <c r="C1282" t="inlineStr">
        <is>
          <t>RJ0624870</t>
        </is>
      </c>
      <c r="D1282" t="inlineStr">
        <is>
          <t>PSQ</t>
        </is>
      </c>
      <c r="E1282" t="inlineStr">
        <is>
          <t>Avenida Afrânio de Melo Franco, 141 - Sala 504 Parte</t>
        </is>
      </c>
      <c r="F1282" t="inlineStr">
        <is>
          <t>Leblon</t>
        </is>
      </c>
      <c r="G1282" t="inlineStr">
        <is>
          <t>Rio de Janeiro</t>
        </is>
      </c>
      <c r="H1282" t="inlineStr">
        <is>
          <t>RJ</t>
        </is>
      </c>
      <c r="I1282" t="n">
        <v>5613</v>
      </c>
      <c r="J1282" t="inlineStr">
        <is>
          <t>CAT 1</t>
        </is>
      </c>
      <c r="K1282" t="inlineStr">
        <is>
          <t>Sim</t>
        </is>
      </c>
    </row>
    <row r="1283">
      <c r="A1283" s="1">
        <f>HYPERLINK("https://eurofarma-latam-crm.veevavault.com/#object/account__v/V4TZ025E8B96E8F", "Vitoria Braga")</f>
        <v/>
      </c>
      <c r="B1283" s="1">
        <f>HYPERLINK("https://eurofarma-latam-crm.veevavault.com/#object/account__v/V4TZ025E8B96E8F", "Vitoria Figueira Braga")</f>
        <v/>
      </c>
      <c r="C1283" t="inlineStr">
        <is>
          <t>RJ1336398</t>
        </is>
      </c>
      <c r="D1283" t="inlineStr">
        <is>
          <t>PED</t>
        </is>
      </c>
      <c r="E1283" t="inlineStr">
        <is>
          <t>Rua Domício da Gama, 433</t>
        </is>
      </c>
      <c r="F1283" t="inlineStr">
        <is>
          <t>Araçatiba</t>
        </is>
      </c>
      <c r="G1283" t="inlineStr">
        <is>
          <t>Maricá</t>
        </is>
      </c>
      <c r="H1283" t="inlineStr">
        <is>
          <t>RJ</t>
        </is>
      </c>
      <c r="I1283" t="n">
        <v>5613</v>
      </c>
      <c r="J1283" t="inlineStr">
        <is>
          <t>CAT 5</t>
        </is>
      </c>
      <c r="K1283" t="inlineStr">
        <is>
          <t>Sim</t>
        </is>
      </c>
    </row>
    <row r="1284">
      <c r="A1284" s="1">
        <f>HYPERLINK("https://eurofarma-latam-crm.veevavault.com/#object/account__v/V4TZ00001914SUV", "Viviane Rebello")</f>
        <v/>
      </c>
      <c r="B1284" s="1">
        <f>HYPERLINK("https://eurofarma-latam-crm.veevavault.com/#object/account__v/V4TZ00001914SUV", "Viviane Fernandes Rebello")</f>
        <v/>
      </c>
      <c r="C1284" t="inlineStr">
        <is>
          <t>RJ1023438</t>
        </is>
      </c>
      <c r="D1284" t="inlineStr">
        <is>
          <t>PED</t>
        </is>
      </c>
      <c r="E1284" t="inlineStr">
        <is>
          <t>Rua Doutor Nilo Peçanha, 232</t>
        </is>
      </c>
      <c r="F1284" t="inlineStr">
        <is>
          <t>Centro</t>
        </is>
      </c>
      <c r="G1284" t="inlineStr">
        <is>
          <t>São Gonçalo</t>
        </is>
      </c>
      <c r="H1284" t="inlineStr">
        <is>
          <t>RJ</t>
        </is>
      </c>
      <c r="I1284" t="n">
        <v>5613</v>
      </c>
      <c r="J1284" t="inlineStr">
        <is>
          <t>CAT 5</t>
        </is>
      </c>
      <c r="K1284" t="inlineStr">
        <is>
          <t>Sim</t>
        </is>
      </c>
    </row>
    <row r="1285">
      <c r="A1285" s="1">
        <f>HYPERLINK("https://eurofarma-latam-crm.veevavault.com/#object/account__v/V4TZ00001914JHV", "Walder Almeida")</f>
        <v/>
      </c>
      <c r="B1285" s="1">
        <f>HYPERLINK("https://eurofarma-latam-crm.veevavault.com/#object/account__v/V4TZ00001914JHV", "Walder Maribondo de Almeida")</f>
        <v/>
      </c>
      <c r="C1285" t="inlineStr">
        <is>
          <t>RJ0236479</t>
        </is>
      </c>
      <c r="D1285" t="inlineStr">
        <is>
          <t>CLG</t>
        </is>
      </c>
      <c r="E1285" t="inlineStr">
        <is>
          <t>Rua Doutor Borman, 51 - 11 Andar</t>
        </is>
      </c>
      <c r="F1285" t="inlineStr">
        <is>
          <t>Centro</t>
        </is>
      </c>
      <c r="G1285" t="inlineStr">
        <is>
          <t>Niterói</t>
        </is>
      </c>
      <c r="H1285" t="inlineStr">
        <is>
          <t>RJ</t>
        </is>
      </c>
      <c r="I1285" t="n">
        <v>5613</v>
      </c>
      <c r="J1285" t="inlineStr">
        <is>
          <t>CAT 4</t>
        </is>
      </c>
      <c r="K1285" t="inlineStr">
        <is>
          <t>Sim</t>
        </is>
      </c>
    </row>
    <row r="1286">
      <c r="A1286" s="1">
        <f>HYPERLINK("https://eurofarma-latam-crm.veevavault.com/#object/account__v/V4TZ00001914I63", "Walter Calvert Neto")</f>
        <v/>
      </c>
      <c r="B1286" s="1">
        <f>HYPERLINK("https://eurofarma-latam-crm.veevavault.com/#object/account__v/V4TZ00001914I63", "Walter Norman Calvert Neto")</f>
        <v/>
      </c>
      <c r="C1286" t="inlineStr">
        <is>
          <t>RJ0505804</t>
        </is>
      </c>
      <c r="D1286" t="inlineStr">
        <is>
          <t>CLG</t>
        </is>
      </c>
      <c r="E1286" t="inlineStr">
        <is>
          <t>Rua Doutor Mesquita, 238</t>
        </is>
      </c>
      <c r="F1286" t="inlineStr">
        <is>
          <t>Centro</t>
        </is>
      </c>
      <c r="G1286" t="inlineStr">
        <is>
          <t>Itaboraí</t>
        </is>
      </c>
      <c r="H1286" t="inlineStr">
        <is>
          <t>RJ</t>
        </is>
      </c>
      <c r="I1286" t="n">
        <v>5613</v>
      </c>
      <c r="J1286" t="inlineStr">
        <is>
          <t>CAT 5</t>
        </is>
      </c>
      <c r="K1286" t="inlineStr">
        <is>
          <t>Sim</t>
        </is>
      </c>
    </row>
    <row r="1287">
      <c r="A1287" s="1">
        <f>HYPERLINK("https://eurofarma-latam-crm.veevavault.com/#object/account__v/V4TZ000018NYP1Z", "Walter Rodrigues Filho")</f>
        <v/>
      </c>
      <c r="B1287" s="1">
        <f>HYPERLINK("https://eurofarma-latam-crm.veevavault.com/#object/account__v/V4TZ000018NYP1Z", "Walter Rodrigues Filho")</f>
        <v/>
      </c>
      <c r="C1287" t="inlineStr">
        <is>
          <t>RJ0452335</t>
        </is>
      </c>
      <c r="D1287" t="inlineStr">
        <is>
          <t>CLG / PA</t>
        </is>
      </c>
      <c r="E1287" t="inlineStr">
        <is>
          <t>Alameda Pita, 1 - 29</t>
        </is>
      </c>
      <c r="F1287" t="inlineStr">
        <is>
          <t>Kennedy</t>
        </is>
      </c>
      <c r="G1287" t="inlineStr">
        <is>
          <t>Nova Iguaçu</t>
        </is>
      </c>
      <c r="H1287" t="inlineStr">
        <is>
          <t>RJ</t>
        </is>
      </c>
      <c r="I1287" t="n">
        <v>5613</v>
      </c>
      <c r="J1287" t="inlineStr">
        <is>
          <t>CAT 5</t>
        </is>
      </c>
      <c r="K1287" t="inlineStr">
        <is>
          <t>Sim</t>
        </is>
      </c>
    </row>
    <row r="1288">
      <c r="A1288" s="1">
        <f>HYPERLINK("https://eurofarma-latam-crm.veevavault.com/#object/account__v/V4TZ000018NYGVJ", "Wilson Alvarenga")</f>
        <v/>
      </c>
      <c r="B1288" s="1">
        <f>HYPERLINK("https://eurofarma-latam-crm.veevavault.com/#object/account__v/V4TZ000018NYGVJ", "Wilson Jose de Alvarenga")</f>
        <v/>
      </c>
      <c r="C1288" t="inlineStr">
        <is>
          <t>RJ0249542</t>
        </is>
      </c>
      <c r="D1288" t="inlineStr">
        <is>
          <t>ORT</t>
        </is>
      </c>
      <c r="E1288" t="inlineStr">
        <is>
          <t>Rua Doutor Milton de Souza Pacheco, 6</t>
        </is>
      </c>
      <c r="F1288" t="inlineStr">
        <is>
          <t>Centro</t>
        </is>
      </c>
      <c r="G1288" t="inlineStr">
        <is>
          <t>Maricá</t>
        </is>
      </c>
      <c r="H1288" t="inlineStr">
        <is>
          <t>RJ</t>
        </is>
      </c>
      <c r="I1288" t="n">
        <v>5613</v>
      </c>
      <c r="J1288" t="inlineStr">
        <is>
          <t>CAT 5</t>
        </is>
      </c>
      <c r="K1288" t="inlineStr">
        <is>
          <t>N�o</t>
        </is>
      </c>
    </row>
    <row r="1289">
      <c r="A1289" s="1">
        <f>HYPERLINK("https://eurofarma-latam-crm.veevavault.com/#object/account__v/V4TZ0000191M50Q", "Yoadermis Gusmão")</f>
        <v/>
      </c>
      <c r="B1289" s="1">
        <f>HYPERLINK("https://eurofarma-latam-crm.veevavault.com/#object/account__v/V4TZ0000191M50Q", "Yoadermis Bell Leonard Gusmão")</f>
        <v/>
      </c>
      <c r="C1289" t="inlineStr">
        <is>
          <t>RJ1151126</t>
        </is>
      </c>
      <c r="D1289" t="inlineStr">
        <is>
          <t>PED</t>
        </is>
      </c>
      <c r="E1289" t="inlineStr">
        <is>
          <t>Rua Van Lerbergue, 2 - Lote 2 Quadra 34</t>
        </is>
      </c>
      <c r="F1289" t="inlineStr">
        <is>
          <t>Barroco (Itaipuaçu)</t>
        </is>
      </c>
      <c r="G1289" t="inlineStr">
        <is>
          <t>Maricá</t>
        </is>
      </c>
      <c r="H1289" t="inlineStr">
        <is>
          <t>RJ</t>
        </is>
      </c>
      <c r="I1289" t="n">
        <v>5613</v>
      </c>
      <c r="J1289" t="inlineStr">
        <is>
          <t>CAT 5</t>
        </is>
      </c>
      <c r="K1289" t="inlineStr">
        <is>
          <t>Sim</t>
        </is>
      </c>
    </row>
    <row r="1290">
      <c r="A1290" s="1">
        <f>HYPERLINK("https://eurofarma-latam-crm.veevavault.com/#object/account__v/V4TZ00001912ZI5", "Zenita Pavani")</f>
        <v/>
      </c>
      <c r="B1290" s="1">
        <f>HYPERLINK("https://eurofarma-latam-crm.veevavault.com/#object/account__v/V4TZ00001912ZI5", "Zenita Portella Pavani")</f>
        <v/>
      </c>
      <c r="C1290" t="inlineStr">
        <is>
          <t>RJ0472680</t>
        </is>
      </c>
      <c r="D1290" t="inlineStr">
        <is>
          <t>CLG / END</t>
        </is>
      </c>
      <c r="E1290" t="inlineStr">
        <is>
          <t>Estrada Francisco da Cruz Nunes, 6501 - Sala 380</t>
        </is>
      </c>
      <c r="F1290" t="inlineStr">
        <is>
          <t>Itaipu</t>
        </is>
      </c>
      <c r="G1290" t="inlineStr">
        <is>
          <t>Niterói</t>
        </is>
      </c>
      <c r="H1290" t="inlineStr">
        <is>
          <t>RJ</t>
        </is>
      </c>
      <c r="I1290" t="n">
        <v>5613</v>
      </c>
      <c r="J1290" t="inlineStr">
        <is>
          <t>CAT 4</t>
        </is>
      </c>
      <c r="K1290" t="inlineStr">
        <is>
          <t>Sim</t>
        </is>
      </c>
    </row>
    <row r="1291">
      <c r="A1291" s="1">
        <f>HYPERLINK("https://eurofarma-latam-crm.veevavault.com/#object/account__v/V4TZ000018NY05R", "Adão José de Amorim")</f>
        <v/>
      </c>
      <c r="B1291" s="1">
        <f>HYPERLINK("https://eurofarma-latam-crm.veevavault.com/#object/account__v/V4TZ000018NY05R", "Adão José de Amorim")</f>
        <v/>
      </c>
      <c r="C1291" t="inlineStr">
        <is>
          <t>RJ0251875</t>
        </is>
      </c>
      <c r="D1291" t="inlineStr">
        <is>
          <t>URO</t>
        </is>
      </c>
      <c r="E1291" t="inlineStr">
        <is>
          <t>Avenida Francisco Mendes, 117 - Sala 101/102/103/104</t>
        </is>
      </c>
      <c r="F1291" t="inlineStr">
        <is>
          <t>Centro</t>
        </is>
      </c>
      <c r="G1291" t="inlineStr">
        <is>
          <t>Cabo Frio</t>
        </is>
      </c>
      <c r="H1291" t="inlineStr">
        <is>
          <t>RJ</t>
        </is>
      </c>
      <c r="I1291" t="n">
        <v>7741</v>
      </c>
      <c r="J1291" t="inlineStr">
        <is>
          <t>CAT 5</t>
        </is>
      </c>
      <c r="K1291" t="inlineStr">
        <is>
          <t>Sim</t>
        </is>
      </c>
    </row>
    <row r="1292">
      <c r="A1292" s="1">
        <f>HYPERLINK("https://eurofarma-latam-crm.veevavault.com/#object/account__v/V4TZ00001914EAA", "Adriano Moreno")</f>
        <v/>
      </c>
      <c r="B1292" s="1">
        <f>HYPERLINK("https://eurofarma-latam-crm.veevavault.com/#object/account__v/V4TZ00001914EAA", "Adriano Guilherme de Teves Moreno")</f>
        <v/>
      </c>
      <c r="C1292" t="inlineStr">
        <is>
          <t>RJ0570109</t>
        </is>
      </c>
      <c r="D1292" t="inlineStr">
        <is>
          <t>ORT</t>
        </is>
      </c>
      <c r="E1292" t="inlineStr">
        <is>
          <t>Avenida Getulio Vargas, S/N</t>
        </is>
      </c>
      <c r="F1292" t="inlineStr">
        <is>
          <t>Canaa</t>
        </is>
      </c>
      <c r="G1292" t="inlineStr">
        <is>
          <t>Arraial do Cabo</t>
        </is>
      </c>
      <c r="H1292" t="inlineStr">
        <is>
          <t>RJ</t>
        </is>
      </c>
      <c r="I1292" t="n">
        <v>7741</v>
      </c>
      <c r="J1292" t="inlineStr">
        <is>
          <t>CAT 2</t>
        </is>
      </c>
      <c r="K1292" t="inlineStr">
        <is>
          <t>Sim</t>
        </is>
      </c>
    </row>
    <row r="1293">
      <c r="A1293" s="1">
        <f>HYPERLINK("https://eurofarma-latam-crm.veevavault.com/#object/account__v/V4TZ00001913D6A", "Adriel de Oliveira")</f>
        <v/>
      </c>
      <c r="B1293" s="1">
        <f>HYPERLINK("https://eurofarma-latam-crm.veevavault.com/#object/account__v/V4TZ00001913D6A", "Adriel Pereira de Oliveira")</f>
        <v/>
      </c>
      <c r="C1293" t="inlineStr">
        <is>
          <t>RJ1185713</t>
        </is>
      </c>
      <c r="D1293" t="inlineStr">
        <is>
          <t>CLG</t>
        </is>
      </c>
      <c r="E1293" t="inlineStr">
        <is>
          <t>Avenida Getulio Vargas, S/N</t>
        </is>
      </c>
      <c r="F1293" t="inlineStr">
        <is>
          <t>Canaã</t>
        </is>
      </c>
      <c r="G1293" t="inlineStr">
        <is>
          <t>Arraial do Cabo</t>
        </is>
      </c>
      <c r="H1293" t="inlineStr">
        <is>
          <t>RJ</t>
        </is>
      </c>
      <c r="I1293" t="n">
        <v>7741</v>
      </c>
      <c r="J1293" t="inlineStr">
        <is>
          <t>CAT 5</t>
        </is>
      </c>
      <c r="K1293" t="inlineStr">
        <is>
          <t>N�o</t>
        </is>
      </c>
    </row>
    <row r="1294">
      <c r="A1294" s="1">
        <f>HYPERLINK("https://eurofarma-latam-crm.veevavault.com/#object/account__v/V4TZ00001913LHM", "Alan Vieira")</f>
        <v/>
      </c>
      <c r="B1294" s="1">
        <f>HYPERLINK("https://eurofarma-latam-crm.veevavault.com/#object/account__v/V4TZ00001913LHM", "Alan da Silva Praxedes Vieira")</f>
        <v/>
      </c>
      <c r="C1294" t="inlineStr">
        <is>
          <t>RJ0861944</t>
        </is>
      </c>
      <c r="D1294" t="inlineStr">
        <is>
          <t>PED</t>
        </is>
      </c>
      <c r="E1294" t="inlineStr">
        <is>
          <t>Estrada de Búzios, S/N</t>
        </is>
      </c>
      <c r="F1294" t="inlineStr">
        <is>
          <t>Maria Joaquina (Tamoios)</t>
        </is>
      </c>
      <c r="G1294" t="inlineStr">
        <is>
          <t>Cabo Frio</t>
        </is>
      </c>
      <c r="H1294" t="inlineStr">
        <is>
          <t>RJ</t>
        </is>
      </c>
      <c r="I1294" t="n">
        <v>7741</v>
      </c>
      <c r="J1294" t="inlineStr">
        <is>
          <t>CAT 5</t>
        </is>
      </c>
      <c r="K1294" t="inlineStr">
        <is>
          <t>N�o</t>
        </is>
      </c>
    </row>
    <row r="1295">
      <c r="A1295" s="1">
        <f>HYPERLINK("https://eurofarma-latam-crm.veevavault.com/#object/account__v/V4TZ00001913HRP", "Alessandra da Rocha")</f>
        <v/>
      </c>
      <c r="B1295" s="1">
        <f>HYPERLINK("https://eurofarma-latam-crm.veevavault.com/#object/account__v/V4TZ00001913HRP", "Alessandra Pereira da Rocha")</f>
        <v/>
      </c>
      <c r="C1295" t="inlineStr">
        <is>
          <t>RJ0649643</t>
        </is>
      </c>
      <c r="D1295" t="inlineStr">
        <is>
          <t>GER</t>
        </is>
      </c>
      <c r="E1295" t="inlineStr">
        <is>
          <t>Avenida Paulino Rodrigues de Souza, 4137</t>
        </is>
      </c>
      <c r="F1295" t="inlineStr">
        <is>
          <t>Ubás</t>
        </is>
      </c>
      <c r="G1295" t="inlineStr">
        <is>
          <t>Iguaba Grande</t>
        </is>
      </c>
      <c r="H1295" t="inlineStr">
        <is>
          <t>RJ</t>
        </is>
      </c>
      <c r="I1295" t="n">
        <v>7741</v>
      </c>
      <c r="J1295" t="inlineStr">
        <is>
          <t>CAT 3</t>
        </is>
      </c>
      <c r="K1295" t="inlineStr">
        <is>
          <t>Sim</t>
        </is>
      </c>
    </row>
    <row r="1296">
      <c r="A1296" s="1">
        <f>HYPERLINK("https://eurofarma-latam-crm.veevavault.com/#object/account__v/V4TZ000018NXIR4", "Alessandra Trindade")</f>
        <v/>
      </c>
      <c r="B1296" s="1">
        <f>HYPERLINK("https://eurofarma-latam-crm.veevavault.com/#object/account__v/V4TZ000018NXIR4", "Alessandra Siqueira Trindade")</f>
        <v/>
      </c>
      <c r="C1296" t="inlineStr">
        <is>
          <t>RJ0993735</t>
        </is>
      </c>
      <c r="D1296" t="inlineStr">
        <is>
          <t>PSQ</t>
        </is>
      </c>
      <c r="E1296" t="inlineStr">
        <is>
          <t>Rua da Conceição, 13 - Salas 208 e 209</t>
        </is>
      </c>
      <c r="F1296" t="inlineStr">
        <is>
          <t>Centro</t>
        </is>
      </c>
      <c r="G1296" t="inlineStr">
        <is>
          <t>Niterói</t>
        </is>
      </c>
      <c r="H1296" t="inlineStr">
        <is>
          <t>RJ</t>
        </is>
      </c>
      <c r="I1296" t="n">
        <v>7741</v>
      </c>
      <c r="J1296" t="inlineStr">
        <is>
          <t>CAT 1</t>
        </is>
      </c>
      <c r="K1296" t="inlineStr">
        <is>
          <t>Sim</t>
        </is>
      </c>
    </row>
    <row r="1297">
      <c r="A1297" s="1">
        <f>HYPERLINK("https://eurofarma-latam-crm.veevavault.com/#object/account__v/V4TZ025E8F9VVCT", "Aline da Silva")</f>
        <v/>
      </c>
      <c r="B1297" s="1">
        <f>HYPERLINK("https://eurofarma-latam-crm.veevavault.com/#object/account__v/V4TZ025E8F9VVCT", "Aline Ferreira da Silva")</f>
        <v/>
      </c>
      <c r="C1297" t="inlineStr">
        <is>
          <t>RJ1387231</t>
        </is>
      </c>
      <c r="D1297" t="inlineStr">
        <is>
          <t>CLG / PA</t>
        </is>
      </c>
      <c r="E1297" t="inlineStr">
        <is>
          <t>Rua Joaquim Peçanha, 1532</t>
        </is>
      </c>
      <c r="F1297" t="inlineStr">
        <is>
          <t>Parque Lafaiete</t>
        </is>
      </c>
      <c r="G1297" t="inlineStr">
        <is>
          <t>Duque de Caxias</t>
        </is>
      </c>
      <c r="H1297" t="inlineStr">
        <is>
          <t>RJ</t>
        </is>
      </c>
      <c r="I1297" t="n">
        <v>7741</v>
      </c>
      <c r="J1297" t="inlineStr">
        <is>
          <t>CAT 5</t>
        </is>
      </c>
      <c r="K1297" t="inlineStr">
        <is>
          <t>Sim</t>
        </is>
      </c>
    </row>
    <row r="1298">
      <c r="A1298" s="1">
        <f>HYPERLINK("https://eurofarma-latam-crm.veevavault.com/#object/account__v/V4TZ000018NXNOW", "Aline Maia")</f>
        <v/>
      </c>
      <c r="B1298" s="1">
        <f>HYPERLINK("https://eurofarma-latam-crm.veevavault.com/#object/account__v/V4TZ000018NXNOW", "Aline Alo Leão Maia")</f>
        <v/>
      </c>
      <c r="C1298" t="inlineStr">
        <is>
          <t>RJ0597829</t>
        </is>
      </c>
      <c r="D1298" t="inlineStr">
        <is>
          <t>CLG</t>
        </is>
      </c>
      <c r="E1298" t="inlineStr">
        <is>
          <t>Rua Raul Veiga, 153 - Sala  203</t>
        </is>
      </c>
      <c r="F1298" t="inlineStr">
        <is>
          <t>Centro</t>
        </is>
      </c>
      <c r="G1298" t="inlineStr">
        <is>
          <t>Cabo Frio</t>
        </is>
      </c>
      <c r="H1298" t="inlineStr">
        <is>
          <t>RJ</t>
        </is>
      </c>
      <c r="I1298" t="n">
        <v>7741</v>
      </c>
      <c r="J1298" t="inlineStr">
        <is>
          <t>CAT 4</t>
        </is>
      </c>
      <c r="K1298" t="inlineStr">
        <is>
          <t>Sim</t>
        </is>
      </c>
    </row>
    <row r="1299">
      <c r="A1299" s="1">
        <f>HYPERLINK("https://eurofarma-latam-crm.veevavault.com/#object/account__v/V4TZ00001915HQQ", "Allan Costa")</f>
        <v/>
      </c>
      <c r="B1299" s="1">
        <f>HYPERLINK("https://eurofarma-latam-crm.veevavault.com/#object/account__v/V4TZ00001915HQQ", "Allan Antonio da Costa")</f>
        <v/>
      </c>
      <c r="C1299" t="inlineStr">
        <is>
          <t>RJ0593493</t>
        </is>
      </c>
      <c r="D1299" t="inlineStr">
        <is>
          <t>NEU</t>
        </is>
      </c>
      <c r="E1299" t="inlineStr">
        <is>
          <t>Avenida Getulio Vargas, S/N</t>
        </is>
      </c>
      <c r="F1299" t="inlineStr">
        <is>
          <t>Canaã</t>
        </is>
      </c>
      <c r="G1299" t="inlineStr">
        <is>
          <t>Arraial do Cabo</t>
        </is>
      </c>
      <c r="H1299" t="inlineStr">
        <is>
          <t>RJ</t>
        </is>
      </c>
      <c r="I1299" t="n">
        <v>7741</v>
      </c>
      <c r="J1299" t="inlineStr">
        <is>
          <t>CAT 3</t>
        </is>
      </c>
      <c r="K1299" t="inlineStr">
        <is>
          <t>Sim</t>
        </is>
      </c>
    </row>
    <row r="1300">
      <c r="A1300" s="1">
        <f>HYPERLINK("https://eurofarma-latam-crm.veevavault.com/#object/account__v/V4TZ000019148IO", "Alvaro Arantes")</f>
        <v/>
      </c>
      <c r="B1300" s="1">
        <f>HYPERLINK("https://eurofarma-latam-crm.veevavault.com/#object/account__v/V4TZ000019148IO", "Alvaro Pierott Arantes")</f>
        <v/>
      </c>
      <c r="C1300" t="inlineStr">
        <is>
          <t>RJ1044079</t>
        </is>
      </c>
      <c r="D1300" t="inlineStr">
        <is>
          <t>CLG / PA</t>
        </is>
      </c>
      <c r="E1300" t="inlineStr">
        <is>
          <t>Rua Vítor Rocha, 10</t>
        </is>
      </c>
      <c r="F1300" t="inlineStr">
        <is>
          <t>Parque Burle</t>
        </is>
      </c>
      <c r="G1300" t="inlineStr">
        <is>
          <t>Cabo Frio</t>
        </is>
      </c>
      <c r="H1300" t="inlineStr">
        <is>
          <t>RJ</t>
        </is>
      </c>
      <c r="I1300" t="n">
        <v>7741</v>
      </c>
      <c r="J1300" t="inlineStr">
        <is>
          <t>CAT 4</t>
        </is>
      </c>
      <c r="K1300" t="inlineStr">
        <is>
          <t>Sim</t>
        </is>
      </c>
    </row>
    <row r="1301">
      <c r="A1301" s="1">
        <f>HYPERLINK("https://eurofarma-latam-crm.veevavault.com/#object/account__v/V4TZ025E8F27ICI", "Ana Beatriz de Mendonça")</f>
        <v/>
      </c>
      <c r="B1301" s="1">
        <f>HYPERLINK("https://eurofarma-latam-crm.veevavault.com/#object/account__v/V4TZ025E8F27ICI", "Ana Beatriz Amorim de Mendonça")</f>
        <v/>
      </c>
      <c r="C1301" t="inlineStr">
        <is>
          <t>RJ1391386</t>
        </is>
      </c>
      <c r="D1301" t="inlineStr">
        <is>
          <t>CLG / PA</t>
        </is>
      </c>
      <c r="E1301" t="inlineStr">
        <is>
          <t>Rua Bernardo Vasconcelos, 477</t>
        </is>
      </c>
      <c r="F1301" t="inlineStr">
        <is>
          <t>Centro</t>
        </is>
      </c>
      <c r="G1301" t="inlineStr">
        <is>
          <t>Araruama</t>
        </is>
      </c>
      <c r="H1301" t="inlineStr">
        <is>
          <t>RJ</t>
        </is>
      </c>
      <c r="I1301" t="n">
        <v>7741</v>
      </c>
      <c r="J1301" t="inlineStr">
        <is>
          <t>CAT 5</t>
        </is>
      </c>
      <c r="K1301" t="inlineStr">
        <is>
          <t>N�o</t>
        </is>
      </c>
    </row>
    <row r="1302">
      <c r="A1302" s="1">
        <f>HYPERLINK("https://eurofarma-latam-crm.veevavault.com/#object/account__v/V4T00000000T036", "Ana Laura Borges")</f>
        <v/>
      </c>
      <c r="B1302" s="1">
        <f>HYPERLINK("https://eurofarma-latam-crm.veevavault.com/#object/account__v/V4T00000000T036", "Ana Laura Lopes Borges")</f>
        <v/>
      </c>
      <c r="C1302" t="inlineStr">
        <is>
          <t>ES0023927,RJ1384349</t>
        </is>
      </c>
      <c r="D1302" t="inlineStr">
        <is>
          <t>CLG / PA</t>
        </is>
      </c>
      <c r="E1302" t="inlineStr">
        <is>
          <t>Rua João manhaes, S/N</t>
        </is>
      </c>
      <c r="F1302" t="inlineStr">
        <is>
          <t>Parque Penha</t>
        </is>
      </c>
      <c r="G1302" t="inlineStr">
        <is>
          <t>Campos dos Goytacazes</t>
        </is>
      </c>
      <c r="H1302" t="inlineStr">
        <is>
          <t>RJ</t>
        </is>
      </c>
      <c r="I1302" t="n">
        <v>7741</v>
      </c>
      <c r="J1302" t="inlineStr"/>
      <c r="K1302" t="inlineStr"/>
    </row>
    <row r="1303">
      <c r="A1303" s="1">
        <f>HYPERLINK("https://eurofarma-latam-crm.veevavault.com/#object/account__v/V4TZ00001915DHT", "Ana Lia de Oliveira")</f>
        <v/>
      </c>
      <c r="B1303" s="1">
        <f>HYPERLINK("https://eurofarma-latam-crm.veevavault.com/#object/account__v/V4TZ00001915DHT", "Ana Lia Ferreira de Oliveira")</f>
        <v/>
      </c>
      <c r="C1303" t="inlineStr">
        <is>
          <t>RJ0635030</t>
        </is>
      </c>
      <c r="D1303" t="inlineStr">
        <is>
          <t>CLG</t>
        </is>
      </c>
      <c r="E1303" t="inlineStr">
        <is>
          <t>Rua Fagundes de Varella, S/N</t>
        </is>
      </c>
      <c r="F1303" t="inlineStr">
        <is>
          <t>São Cristóvão</t>
        </is>
      </c>
      <c r="G1303" t="inlineStr">
        <is>
          <t>Cabo Frio</t>
        </is>
      </c>
      <c r="H1303" t="inlineStr">
        <is>
          <t>RJ</t>
        </is>
      </c>
      <c r="I1303" t="n">
        <v>7741</v>
      </c>
      <c r="J1303" t="inlineStr">
        <is>
          <t>CAT 4</t>
        </is>
      </c>
      <c r="K1303" t="inlineStr">
        <is>
          <t>Sim</t>
        </is>
      </c>
    </row>
    <row r="1304">
      <c r="A1304" s="1">
        <f>HYPERLINK("https://eurofarma-latam-crm.veevavault.com/#object/account__v/V4TZ00001915YCD", "Ana Lúcia Ribeiro")</f>
        <v/>
      </c>
      <c r="B1304" s="1">
        <f>HYPERLINK("https://eurofarma-latam-crm.veevavault.com/#object/account__v/V4TZ00001915YCD", "Ana Lúcia Valladão Campos Ribeiro")</f>
        <v/>
      </c>
      <c r="C1304" t="inlineStr">
        <is>
          <t>RJ0341673</t>
        </is>
      </c>
      <c r="D1304" t="inlineStr">
        <is>
          <t>PSQ</t>
        </is>
      </c>
      <c r="E1304" t="inlineStr">
        <is>
          <t>Rua Anápolis, 82</t>
        </is>
      </c>
      <c r="F1304" t="inlineStr">
        <is>
          <t>Jardim Excelsior</t>
        </is>
      </c>
      <c r="G1304" t="inlineStr">
        <is>
          <t>Cabo Frio</t>
        </is>
      </c>
      <c r="H1304" t="inlineStr">
        <is>
          <t>RJ</t>
        </is>
      </c>
      <c r="I1304" t="n">
        <v>7741</v>
      </c>
      <c r="J1304" t="inlineStr">
        <is>
          <t>CAT 2</t>
        </is>
      </c>
      <c r="K1304" t="inlineStr">
        <is>
          <t>Sim</t>
        </is>
      </c>
    </row>
    <row r="1305">
      <c r="A1305" s="1">
        <f>HYPERLINK("https://eurofarma-latam-crm.veevavault.com/#object/account__v/V4TZ000019161CG", "Ana Luísa Moura")</f>
        <v/>
      </c>
      <c r="B1305" s="1">
        <f>HYPERLINK("https://eurofarma-latam-crm.veevavault.com/#object/account__v/V4TZ000019161CG", "Ana Luísa Santos Moura")</f>
        <v/>
      </c>
      <c r="C1305" t="inlineStr">
        <is>
          <t>RJ1240293</t>
        </is>
      </c>
      <c r="D1305" t="inlineStr">
        <is>
          <t>CLG / PA</t>
        </is>
      </c>
      <c r="E1305" t="inlineStr">
        <is>
          <t>Rua Baster Pillar, S/N</t>
        </is>
      </c>
      <c r="F1305" t="inlineStr">
        <is>
          <t>Parque Hotel</t>
        </is>
      </c>
      <c r="G1305" t="inlineStr">
        <is>
          <t>Araruama</t>
        </is>
      </c>
      <c r="H1305" t="inlineStr">
        <is>
          <t>RJ</t>
        </is>
      </c>
      <c r="I1305" t="n">
        <v>7741</v>
      </c>
      <c r="J1305" t="inlineStr">
        <is>
          <t>CAT 5</t>
        </is>
      </c>
      <c r="K1305" t="inlineStr">
        <is>
          <t>Sim</t>
        </is>
      </c>
    </row>
    <row r="1306">
      <c r="A1306" s="1">
        <f>HYPERLINK("https://eurofarma-latam-crm.veevavault.com/#object/account__v/V4TZ025E8BHAUMF", "Ana Martins")</f>
        <v/>
      </c>
      <c r="B1306" s="1">
        <f>HYPERLINK("https://eurofarma-latam-crm.veevavault.com/#object/account__v/V4TZ025E8BHAUMF", "Ana Mariza Passos Dos Santos Martins")</f>
        <v/>
      </c>
      <c r="C1306" t="inlineStr">
        <is>
          <t>RJ1366074</t>
        </is>
      </c>
      <c r="D1306" t="inlineStr">
        <is>
          <t>PED</t>
        </is>
      </c>
      <c r="E1306" t="inlineStr">
        <is>
          <t>Rua Conde de Bonfim, S/N</t>
        </is>
      </c>
      <c r="F1306" t="inlineStr">
        <is>
          <t>Tijuca</t>
        </is>
      </c>
      <c r="G1306" t="inlineStr">
        <is>
          <t>Rio de Janeiro</t>
        </is>
      </c>
      <c r="H1306" t="inlineStr">
        <is>
          <t>RJ</t>
        </is>
      </c>
      <c r="I1306" t="n">
        <v>7741</v>
      </c>
      <c r="J1306" t="inlineStr">
        <is>
          <t>CAT 5</t>
        </is>
      </c>
      <c r="K1306" t="inlineStr">
        <is>
          <t>N�o</t>
        </is>
      </c>
    </row>
    <row r="1307">
      <c r="A1307" s="1">
        <f>HYPERLINK("https://eurofarma-latam-crm.veevavault.com/#object/account__v/V4TZ00001915T25", "Ana Paula Lagoa")</f>
        <v/>
      </c>
      <c r="B1307" s="1">
        <f>HYPERLINK("https://eurofarma-latam-crm.veevavault.com/#object/account__v/V4TZ00001915T25", "Ana Paula Saldanha dos Santos Lagoa")</f>
        <v/>
      </c>
      <c r="C1307" t="inlineStr">
        <is>
          <t>RJ0754056</t>
        </is>
      </c>
      <c r="D1307" t="inlineStr">
        <is>
          <t>CLG</t>
        </is>
      </c>
      <c r="E1307" t="inlineStr">
        <is>
          <t>Rua Manoel Antônio Júnior, S/N - Casa</t>
        </is>
      </c>
      <c r="F1307" t="inlineStr">
        <is>
          <t>São Mateus</t>
        </is>
      </c>
      <c r="G1307" t="inlineStr">
        <is>
          <t>São Pedro da Aldeia</t>
        </is>
      </c>
      <c r="H1307" t="inlineStr">
        <is>
          <t>RJ</t>
        </is>
      </c>
      <c r="I1307" t="n">
        <v>7741</v>
      </c>
      <c r="J1307" t="inlineStr"/>
      <c r="K1307" t="inlineStr"/>
    </row>
    <row r="1308">
      <c r="A1308" s="1">
        <f>HYPERLINK("https://eurofarma-latam-crm.veevavault.com/#object/account__v/V4TZ025E8AFTZLE", "Ana Picanço")</f>
        <v/>
      </c>
      <c r="B1308" s="1">
        <f>HYPERLINK("https://eurofarma-latam-crm.veevavault.com/#object/account__v/V4TZ025E8AFTZLE", "Ana Carolina de Souza Rodrigues Silva Picanço")</f>
        <v/>
      </c>
      <c r="C1308" t="inlineStr">
        <is>
          <t>ES0019605</t>
        </is>
      </c>
      <c r="D1308" t="inlineStr">
        <is>
          <t>PED</t>
        </is>
      </c>
      <c r="E1308" t="inlineStr">
        <is>
          <t>Rodovia Amaral Peixoto, S/N - KM 107</t>
        </is>
      </c>
      <c r="F1308" t="inlineStr">
        <is>
          <t>Balneário São Pedro</t>
        </is>
      </c>
      <c r="G1308" t="inlineStr">
        <is>
          <t>São Pedro da Aldeia</t>
        </is>
      </c>
      <c r="H1308" t="inlineStr">
        <is>
          <t>RJ</t>
        </is>
      </c>
      <c r="I1308" t="n">
        <v>7741</v>
      </c>
      <c r="J1308" t="inlineStr">
        <is>
          <t>CAT 5</t>
        </is>
      </c>
      <c r="K1308" t="inlineStr">
        <is>
          <t>Sim</t>
        </is>
      </c>
    </row>
    <row r="1309">
      <c r="A1309" s="1">
        <f>HYPERLINK("https://eurofarma-latam-crm.veevavault.com/#object/account__v/V4TZ00001913JV8", "Andre Araujo")</f>
        <v/>
      </c>
      <c r="B1309" s="1">
        <f>HYPERLINK("https://eurofarma-latam-crm.veevavault.com/#object/account__v/V4TZ00001913JV8", "Andre Phillipe de Paula Araujo")</f>
        <v/>
      </c>
      <c r="C1309" t="inlineStr">
        <is>
          <t>RJ1168274</t>
        </is>
      </c>
      <c r="D1309" t="inlineStr">
        <is>
          <t>CLG / PA</t>
        </is>
      </c>
      <c r="E1309" t="inlineStr">
        <is>
          <t>Estrada de Búzios, S/N</t>
        </is>
      </c>
      <c r="F1309" t="inlineStr">
        <is>
          <t>Maria Joaquina (Tamoios)</t>
        </is>
      </c>
      <c r="G1309" t="inlineStr">
        <is>
          <t>Cabo Frio</t>
        </is>
      </c>
      <c r="H1309" t="inlineStr">
        <is>
          <t>RJ</t>
        </is>
      </c>
      <c r="I1309" t="n">
        <v>7741</v>
      </c>
      <c r="J1309" t="inlineStr">
        <is>
          <t>CAT 4</t>
        </is>
      </c>
      <c r="K1309" t="inlineStr">
        <is>
          <t>Sim</t>
        </is>
      </c>
    </row>
    <row r="1310">
      <c r="A1310" s="1">
        <f>HYPERLINK("https://eurofarma-latam-crm.veevavault.com/#object/account__v/V4TZ00001916HI1", "André da Silva")</f>
        <v/>
      </c>
      <c r="B1310" s="1">
        <f>HYPERLINK("https://eurofarma-latam-crm.veevavault.com/#object/account__v/V4TZ00001916HI1", "André Viana Barbosa da Silva")</f>
        <v/>
      </c>
      <c r="C1310" t="inlineStr">
        <is>
          <t>RJ1079093</t>
        </is>
      </c>
      <c r="D1310" t="inlineStr">
        <is>
          <t>CLG / PA</t>
        </is>
      </c>
      <c r="E1310" t="inlineStr">
        <is>
          <t>Avenida Almirante Heleno Nunes, 526 - Area 01 Quadra000 Lote 011</t>
        </is>
      </c>
      <c r="F1310" t="inlineStr">
        <is>
          <t>Costazul</t>
        </is>
      </c>
      <c r="G1310" t="inlineStr">
        <is>
          <t>Rio das Ostras</t>
        </is>
      </c>
      <c r="H1310" t="inlineStr">
        <is>
          <t>RJ</t>
        </is>
      </c>
      <c r="I1310" t="n">
        <v>7741</v>
      </c>
      <c r="J1310" t="inlineStr">
        <is>
          <t>CAT 5</t>
        </is>
      </c>
      <c r="K1310" t="inlineStr">
        <is>
          <t>Sim</t>
        </is>
      </c>
    </row>
    <row r="1311">
      <c r="A1311" s="1">
        <f>HYPERLINK("https://eurofarma-latam-crm.veevavault.com/#object/account__v/V4TZ000018NXZ5C", "Andre Defaveri")</f>
        <v/>
      </c>
      <c r="B1311" s="1">
        <f>HYPERLINK("https://eurofarma-latam-crm.veevavault.com/#object/account__v/V4TZ000018NXZ5C", "Andre Paulo Antonio Defaveri")</f>
        <v/>
      </c>
      <c r="C1311" t="inlineStr">
        <is>
          <t>RJ0251898</t>
        </is>
      </c>
      <c r="D1311" t="inlineStr">
        <is>
          <t>ORL</t>
        </is>
      </c>
      <c r="E1311" t="inlineStr">
        <is>
          <t>Rua Barão do Rio Branco, 55 - S306</t>
        </is>
      </c>
      <c r="F1311" t="inlineStr">
        <is>
          <t>Passagem</t>
        </is>
      </c>
      <c r="G1311" t="inlineStr">
        <is>
          <t>Cabo Frio</t>
        </is>
      </c>
      <c r="H1311" t="inlineStr">
        <is>
          <t>RJ</t>
        </is>
      </c>
      <c r="I1311" t="n">
        <v>7741</v>
      </c>
      <c r="J1311" t="inlineStr">
        <is>
          <t>CAT 3</t>
        </is>
      </c>
      <c r="K1311" t="inlineStr">
        <is>
          <t>Sim</t>
        </is>
      </c>
    </row>
    <row r="1312">
      <c r="A1312" s="1">
        <f>HYPERLINK("https://eurofarma-latam-crm.veevavault.com/#object/account__v/V4TZ00001913GUR", "Andre Meirino")</f>
        <v/>
      </c>
      <c r="B1312" s="1">
        <f>HYPERLINK("https://eurofarma-latam-crm.veevavault.com/#object/account__v/V4TZ00001913GUR", "Andre Luiz Amaro Meirino")</f>
        <v/>
      </c>
      <c r="C1312" t="inlineStr">
        <is>
          <t>RJ0648175</t>
        </is>
      </c>
      <c r="D1312" t="inlineStr">
        <is>
          <t>END</t>
        </is>
      </c>
      <c r="E1312" t="inlineStr">
        <is>
          <t>Rua Manoel José de Carvalho, 97</t>
        </is>
      </c>
      <c r="F1312" t="inlineStr">
        <is>
          <t>São Cristóvão</t>
        </is>
      </c>
      <c r="G1312" t="inlineStr">
        <is>
          <t>Cabo Frio</t>
        </is>
      </c>
      <c r="H1312" t="inlineStr">
        <is>
          <t>RJ</t>
        </is>
      </c>
      <c r="I1312" t="n">
        <v>7741</v>
      </c>
      <c r="J1312" t="inlineStr">
        <is>
          <t>CAT 3</t>
        </is>
      </c>
      <c r="K1312" t="inlineStr">
        <is>
          <t>Sim</t>
        </is>
      </c>
    </row>
    <row r="1313">
      <c r="A1313" s="1">
        <f>HYPERLINK("https://eurofarma-latam-crm.veevavault.com/#object/account__v/V4TZ00001914EG6", "Andréa Bello")</f>
        <v/>
      </c>
      <c r="B1313" s="1">
        <f>HYPERLINK("https://eurofarma-latam-crm.veevavault.com/#object/account__v/V4TZ00001914EG6", "Andréa Bello")</f>
        <v/>
      </c>
      <c r="C1313" t="inlineStr">
        <is>
          <t>RJ0550928</t>
        </is>
      </c>
      <c r="D1313" t="inlineStr">
        <is>
          <t>ORT</t>
        </is>
      </c>
      <c r="E1313" t="inlineStr">
        <is>
          <t>Rua Expedicionário da Pátria, 324</t>
        </is>
      </c>
      <c r="F1313" t="inlineStr">
        <is>
          <t>São Cristóvão</t>
        </is>
      </c>
      <c r="G1313" t="inlineStr">
        <is>
          <t>Cabo Frio</t>
        </is>
      </c>
      <c r="H1313" t="inlineStr">
        <is>
          <t>RJ</t>
        </is>
      </c>
      <c r="I1313" t="n">
        <v>7741</v>
      </c>
      <c r="J1313" t="inlineStr">
        <is>
          <t>CAT 3</t>
        </is>
      </c>
      <c r="K1313" t="inlineStr">
        <is>
          <t>Sim</t>
        </is>
      </c>
    </row>
    <row r="1314">
      <c r="A1314" s="1">
        <f>HYPERLINK("https://eurofarma-latam-crm.veevavault.com/#object/account__v/V4TZ000018NZ518", "Andressa Barga")</f>
        <v/>
      </c>
      <c r="B1314" s="1">
        <f>HYPERLINK("https://eurofarma-latam-crm.veevavault.com/#object/account__v/V4TZ000018NZ518", "Andressa Igar Freitas Barga")</f>
        <v/>
      </c>
      <c r="C1314" t="inlineStr">
        <is>
          <t>RJ0949027</t>
        </is>
      </c>
      <c r="D1314" t="inlineStr">
        <is>
          <t>PSQ</t>
        </is>
      </c>
      <c r="E1314" t="inlineStr">
        <is>
          <t>Rua Raul Veiga, 290 - Sala 101</t>
        </is>
      </c>
      <c r="F1314" t="inlineStr">
        <is>
          <t>Centro</t>
        </is>
      </c>
      <c r="G1314" t="inlineStr">
        <is>
          <t>Cabo Frio</t>
        </is>
      </c>
      <c r="H1314" t="inlineStr">
        <is>
          <t>RJ</t>
        </is>
      </c>
      <c r="I1314" t="n">
        <v>7741</v>
      </c>
      <c r="J1314" t="inlineStr">
        <is>
          <t>CAT 2</t>
        </is>
      </c>
      <c r="K1314" t="inlineStr">
        <is>
          <t>Sim</t>
        </is>
      </c>
    </row>
    <row r="1315">
      <c r="A1315" s="1">
        <f>HYPERLINK("https://eurofarma-latam-crm.veevavault.com/#object/account__v/V4TZ00001914494", "Angela Aguiar")</f>
        <v/>
      </c>
      <c r="B1315" s="1">
        <f>HYPERLINK("https://eurofarma-latam-crm.veevavault.com/#object/account__v/V4TZ00001914494", "Angela Cristina Silva Aguiar")</f>
        <v/>
      </c>
      <c r="C1315" t="inlineStr">
        <is>
          <t>RJ0533203</t>
        </is>
      </c>
      <c r="D1315" t="inlineStr">
        <is>
          <t>PED</t>
        </is>
      </c>
      <c r="E1315" t="inlineStr">
        <is>
          <t>Rua Governador Valadares, 159</t>
        </is>
      </c>
      <c r="F1315" t="inlineStr">
        <is>
          <t>São Cristóvão</t>
        </is>
      </c>
      <c r="G1315" t="inlineStr">
        <is>
          <t>Cabo Frio</t>
        </is>
      </c>
      <c r="H1315" t="inlineStr">
        <is>
          <t>RJ</t>
        </is>
      </c>
      <c r="I1315" t="n">
        <v>7741</v>
      </c>
      <c r="J1315" t="inlineStr">
        <is>
          <t>CAT 4</t>
        </is>
      </c>
      <c r="K1315" t="inlineStr">
        <is>
          <t>Sim</t>
        </is>
      </c>
    </row>
    <row r="1316">
      <c r="A1316" s="1">
        <f>HYPERLINK("https://eurofarma-latam-crm.veevavault.com/#object/account__v/V4TZ000018NZ1G4", "Angelica Carvalho")</f>
        <v/>
      </c>
      <c r="B1316" s="1">
        <f>HYPERLINK("https://eurofarma-latam-crm.veevavault.com/#object/account__v/V4TZ000018NZ1G4", "Angelica Cardoso de Carvalho")</f>
        <v/>
      </c>
      <c r="C1316" t="inlineStr">
        <is>
          <t>RJ0814300</t>
        </is>
      </c>
      <c r="D1316" t="inlineStr">
        <is>
          <t>GAS</t>
        </is>
      </c>
      <c r="E1316" t="inlineStr">
        <is>
          <t>Estrada Washington Luís, 47</t>
        </is>
      </c>
      <c r="F1316" t="inlineStr">
        <is>
          <t>Sapê</t>
        </is>
      </c>
      <c r="G1316" t="inlineStr">
        <is>
          <t>Niterói</t>
        </is>
      </c>
      <c r="H1316" t="inlineStr">
        <is>
          <t>RJ</t>
        </is>
      </c>
      <c r="I1316" t="n">
        <v>7741</v>
      </c>
      <c r="J1316" t="inlineStr">
        <is>
          <t>CAT 5</t>
        </is>
      </c>
      <c r="K1316" t="inlineStr">
        <is>
          <t>Sim</t>
        </is>
      </c>
    </row>
    <row r="1317">
      <c r="A1317" s="1">
        <f>HYPERLINK("https://eurofarma-latam-crm.veevavault.com/#object/account__v/V4TZ0000191519G", "Angelo Masullo")</f>
        <v/>
      </c>
      <c r="B1317" s="1">
        <f>HYPERLINK("https://eurofarma-latam-crm.veevavault.com/#object/account__v/V4TZ0000191519G", "Angelo Di Candia Masullo")</f>
        <v/>
      </c>
      <c r="C1317" t="inlineStr">
        <is>
          <t>RJ0972584</t>
        </is>
      </c>
      <c r="D1317" t="inlineStr">
        <is>
          <t>PSQ</t>
        </is>
      </c>
      <c r="E1317" t="inlineStr">
        <is>
          <t>Avenida Governador Roberto Silveira, 800</t>
        </is>
      </c>
      <c r="F1317" t="inlineStr">
        <is>
          <t>Campo do Prado</t>
        </is>
      </c>
      <c r="G1317" t="inlineStr">
        <is>
          <t>Cachoeiras de Macacu</t>
        </is>
      </c>
      <c r="H1317" t="inlineStr">
        <is>
          <t>RJ</t>
        </is>
      </c>
      <c r="I1317" t="n">
        <v>7741</v>
      </c>
      <c r="J1317" t="inlineStr">
        <is>
          <t>CAT 3</t>
        </is>
      </c>
      <c r="K1317" t="inlineStr">
        <is>
          <t>Sim</t>
        </is>
      </c>
    </row>
    <row r="1318">
      <c r="A1318" s="1">
        <f>HYPERLINK("https://eurofarma-latam-crm.veevavault.com/#object/account__v/V4TZ000018NZ95I", "Anna Constantino")</f>
        <v/>
      </c>
      <c r="B1318" s="1">
        <f>HYPERLINK("https://eurofarma-latam-crm.veevavault.com/#object/account__v/V4TZ000018NZ95I", "Anna Carolina Escafura Ramalho Constantino")</f>
        <v/>
      </c>
      <c r="C1318" t="inlineStr">
        <is>
          <t>RJ0850519</t>
        </is>
      </c>
      <c r="D1318" t="inlineStr">
        <is>
          <t>CLG</t>
        </is>
      </c>
      <c r="E1318" t="inlineStr">
        <is>
          <t>Rua Raul Veiga, 15 - Sala 112</t>
        </is>
      </c>
      <c r="F1318" t="inlineStr">
        <is>
          <t>Centro</t>
        </is>
      </c>
      <c r="G1318" t="inlineStr">
        <is>
          <t>Cabo Frio</t>
        </is>
      </c>
      <c r="H1318" t="inlineStr">
        <is>
          <t>RJ</t>
        </is>
      </c>
      <c r="I1318" t="n">
        <v>7741</v>
      </c>
      <c r="J1318" t="inlineStr">
        <is>
          <t>CAT 5</t>
        </is>
      </c>
      <c r="K1318" t="inlineStr">
        <is>
          <t>Sim</t>
        </is>
      </c>
    </row>
    <row r="1319">
      <c r="A1319" s="1">
        <f>HYPERLINK("https://eurofarma-latam-crm.veevavault.com/#object/account__v/V4TZ00001915036", "Anny Luisa Brandão")</f>
        <v/>
      </c>
      <c r="B1319" s="1">
        <f>HYPERLINK("https://eurofarma-latam-crm.veevavault.com/#object/account__v/V4TZ00001915036", "Anny Luisa Dias Monteiro Brandão")</f>
        <v/>
      </c>
      <c r="C1319" t="inlineStr">
        <is>
          <t>MG0075843,RJ1054511</t>
        </is>
      </c>
      <c r="D1319" t="inlineStr">
        <is>
          <t>NEU</t>
        </is>
      </c>
      <c r="E1319" t="inlineStr">
        <is>
          <t>Rua Tatuí, S/N</t>
        </is>
      </c>
      <c r="F1319" t="inlineStr">
        <is>
          <t>Aquarius (Tamoios)</t>
        </is>
      </c>
      <c r="G1319" t="inlineStr">
        <is>
          <t>Cabo Frio</t>
        </is>
      </c>
      <c r="H1319" t="inlineStr">
        <is>
          <t>RJ</t>
        </is>
      </c>
      <c r="I1319" t="n">
        <v>7741</v>
      </c>
      <c r="J1319" t="inlineStr">
        <is>
          <t>CAT 3</t>
        </is>
      </c>
      <c r="K1319" t="inlineStr">
        <is>
          <t>Sim</t>
        </is>
      </c>
    </row>
    <row r="1320">
      <c r="A1320" s="1">
        <f>HYPERLINK("https://eurofarma-latam-crm.veevavault.com/#object/account__v/V4TZ000018NY4ZX", "Antonio Luzes")</f>
        <v/>
      </c>
      <c r="B1320" s="1">
        <f>HYPERLINK("https://eurofarma-latam-crm.veevavault.com/#object/account__v/V4TZ000018NY4ZX", "Antonio Tavares Luzes")</f>
        <v/>
      </c>
      <c r="C1320" t="inlineStr">
        <is>
          <t>RJ0244131</t>
        </is>
      </c>
      <c r="D1320" t="inlineStr">
        <is>
          <t>PED</t>
        </is>
      </c>
      <c r="E1320" t="inlineStr">
        <is>
          <t>Rodovia Amaral Peixoto, S/N - KM 107</t>
        </is>
      </c>
      <c r="F1320" t="inlineStr">
        <is>
          <t>Balneário São Pedro</t>
        </is>
      </c>
      <c r="G1320" t="inlineStr">
        <is>
          <t>São Pedro da Aldeia</t>
        </is>
      </c>
      <c r="H1320" t="inlineStr">
        <is>
          <t>RJ</t>
        </is>
      </c>
      <c r="I1320" t="n">
        <v>7741</v>
      </c>
      <c r="J1320" t="inlineStr">
        <is>
          <t>CAT 5</t>
        </is>
      </c>
      <c r="K1320" t="inlineStr">
        <is>
          <t>N�o</t>
        </is>
      </c>
    </row>
    <row r="1321">
      <c r="A1321" s="1">
        <f>HYPERLINK("https://eurofarma-latam-crm.veevavault.com/#object/account__v/V4TZ00001915F9Z", "Apparecida Castorina dos Santos")</f>
        <v/>
      </c>
      <c r="B1321" s="1">
        <f>HYPERLINK("https://eurofarma-latam-crm.veevavault.com/#object/account__v/V4TZ00001915F9Z", "Apparecida Castorina Monteiro dos Santos")</f>
        <v/>
      </c>
      <c r="C1321" t="inlineStr">
        <is>
          <t>RJ0422469</t>
        </is>
      </c>
      <c r="D1321" t="inlineStr">
        <is>
          <t>CLG</t>
        </is>
      </c>
      <c r="E1321" t="inlineStr">
        <is>
          <t>Rua Expedicionário da Pátria, 30</t>
        </is>
      </c>
      <c r="F1321" t="inlineStr">
        <is>
          <t>São Cristóvão</t>
        </is>
      </c>
      <c r="G1321" t="inlineStr">
        <is>
          <t>Cabo Frio</t>
        </is>
      </c>
      <c r="H1321" t="inlineStr">
        <is>
          <t>RJ</t>
        </is>
      </c>
      <c r="I1321" t="n">
        <v>7741</v>
      </c>
      <c r="J1321" t="inlineStr">
        <is>
          <t>CAT 4</t>
        </is>
      </c>
      <c r="K1321" t="inlineStr">
        <is>
          <t>Sim</t>
        </is>
      </c>
    </row>
    <row r="1322">
      <c r="A1322" s="1">
        <f>HYPERLINK("https://eurofarma-latam-crm.veevavault.com/#object/account__v/V4TZ025E88P6RPV", "Bárbara Moreira")</f>
        <v/>
      </c>
      <c r="B1322" s="1">
        <f>HYPERLINK("https://eurofarma-latam-crm.veevavault.com/#object/account__v/V4TZ025E88P6RPV", "Bárbara Alves Moreno Azevedo Moreira")</f>
        <v/>
      </c>
      <c r="C1322" t="inlineStr">
        <is>
          <t>RJ1333704</t>
        </is>
      </c>
      <c r="D1322" t="inlineStr">
        <is>
          <t>CLG / PA</t>
        </is>
      </c>
      <c r="E1322" t="inlineStr">
        <is>
          <t>Estrada do Porto, S/N - Casa</t>
        </is>
      </c>
      <c r="F1322" t="inlineStr">
        <is>
          <t>Centro</t>
        </is>
      </c>
      <c r="G1322" t="inlineStr">
        <is>
          <t>São Pedro da Aldeia</t>
        </is>
      </c>
      <c r="H1322" t="inlineStr">
        <is>
          <t>RJ</t>
        </is>
      </c>
      <c r="I1322" t="n">
        <v>7741</v>
      </c>
      <c r="J1322" t="inlineStr">
        <is>
          <t>CAT 5</t>
        </is>
      </c>
      <c r="K1322" t="inlineStr">
        <is>
          <t>N�o</t>
        </is>
      </c>
    </row>
    <row r="1323">
      <c r="A1323" s="1">
        <f>HYPERLINK("https://eurofarma-latam-crm.veevavault.com/#object/account__v/V4TZ025E89D7OTL", "Beatriz Mendes")</f>
        <v/>
      </c>
      <c r="B1323" s="1">
        <f>HYPERLINK("https://eurofarma-latam-crm.veevavault.com/#object/account__v/V4TZ025E89D7OTL", "Beatriz Barreto Mendes")</f>
        <v/>
      </c>
      <c r="C1323" t="inlineStr">
        <is>
          <t>RJ1121707</t>
        </is>
      </c>
      <c r="D1323" t="inlineStr">
        <is>
          <t>GAS</t>
        </is>
      </c>
      <c r="E1323" t="inlineStr">
        <is>
          <t>Estrada da Gávea, 577</t>
        </is>
      </c>
      <c r="F1323" t="inlineStr">
        <is>
          <t>Gávea</t>
        </is>
      </c>
      <c r="G1323" t="inlineStr">
        <is>
          <t>Rio de Janeiro</t>
        </is>
      </c>
      <c r="H1323" t="inlineStr">
        <is>
          <t>RJ</t>
        </is>
      </c>
      <c r="I1323" t="n">
        <v>7741</v>
      </c>
      <c r="J1323" t="inlineStr">
        <is>
          <t>CAT 5</t>
        </is>
      </c>
      <c r="K1323" t="inlineStr">
        <is>
          <t>Sim</t>
        </is>
      </c>
    </row>
    <row r="1324">
      <c r="A1324" s="1">
        <f>HYPERLINK("https://eurofarma-latam-crm.veevavault.com/#object/account__v/V4TZ00001915VAE", "Beatriz Pillar")</f>
        <v/>
      </c>
      <c r="B1324" s="1">
        <f>HYPERLINK("https://eurofarma-latam-crm.veevavault.com/#object/account__v/V4TZ00001915VAE", "Beatriz Bussade Pillar")</f>
        <v/>
      </c>
      <c r="C1324" t="inlineStr">
        <is>
          <t>RJ0905828</t>
        </is>
      </c>
      <c r="D1324" t="inlineStr">
        <is>
          <t>GAS</t>
        </is>
      </c>
      <c r="E1324" t="inlineStr">
        <is>
          <t>Rua Prefeito Waldir da Silva Lobo, 2</t>
        </is>
      </c>
      <c r="F1324" t="inlineStr">
        <is>
          <t>Morro do Milagre</t>
        </is>
      </c>
      <c r="G1324" t="inlineStr">
        <is>
          <t>São Pedro da Aldeia</t>
        </is>
      </c>
      <c r="H1324" t="inlineStr">
        <is>
          <t>RJ</t>
        </is>
      </c>
      <c r="I1324" t="n">
        <v>7741</v>
      </c>
      <c r="J1324" t="inlineStr">
        <is>
          <t>CAT 4</t>
        </is>
      </c>
      <c r="K1324" t="inlineStr">
        <is>
          <t>Sim</t>
        </is>
      </c>
    </row>
    <row r="1325">
      <c r="A1325" s="1">
        <f>HYPERLINK("https://eurofarma-latam-crm.veevavault.com/#object/account__v/V4TZ000018NYTPS", "Bernardo da Costa")</f>
        <v/>
      </c>
      <c r="B1325" s="1">
        <f>HYPERLINK("https://eurofarma-latam-crm.veevavault.com/#object/account__v/V4TZ000018NYTPS", "Bernardo Alencar Wanderley Estanislau da Costa")</f>
        <v/>
      </c>
      <c r="C1325" t="inlineStr">
        <is>
          <t>RJ1043986</t>
        </is>
      </c>
      <c r="D1325" t="inlineStr">
        <is>
          <t>END</t>
        </is>
      </c>
      <c r="E1325" t="inlineStr">
        <is>
          <t>Rua Baster Pillar, S/N</t>
        </is>
      </c>
      <c r="F1325" t="inlineStr">
        <is>
          <t>Parque Hotel</t>
        </is>
      </c>
      <c r="G1325" t="inlineStr">
        <is>
          <t>Araruama</t>
        </is>
      </c>
      <c r="H1325" t="inlineStr">
        <is>
          <t>RJ</t>
        </is>
      </c>
      <c r="I1325" t="n">
        <v>7741</v>
      </c>
      <c r="J1325" t="inlineStr">
        <is>
          <t>CAT 3</t>
        </is>
      </c>
      <c r="K1325" t="inlineStr">
        <is>
          <t>Sim</t>
        </is>
      </c>
    </row>
    <row r="1326">
      <c r="A1326" s="1">
        <f>HYPERLINK("https://eurofarma-latam-crm.veevavault.com/#object/account__v/V4TZ00001914V1B", "Bianca Tardelli")</f>
        <v/>
      </c>
      <c r="B1326" s="1">
        <f>HYPERLINK("https://eurofarma-latam-crm.veevavault.com/#object/account__v/V4TZ00001914V1B", "Bianca Costa Tardelli")</f>
        <v/>
      </c>
      <c r="C1326" t="inlineStr">
        <is>
          <t>RJ1185870</t>
        </is>
      </c>
      <c r="D1326" t="inlineStr">
        <is>
          <t>CLG / PA</t>
        </is>
      </c>
      <c r="E1326" t="inlineStr">
        <is>
          <t>Rua Barão do Rio Branco, 72</t>
        </is>
      </c>
      <c r="F1326" t="inlineStr">
        <is>
          <t>Passagem</t>
        </is>
      </c>
      <c r="G1326" t="inlineStr">
        <is>
          <t>Cabo Frio</t>
        </is>
      </c>
      <c r="H1326" t="inlineStr">
        <is>
          <t>RJ</t>
        </is>
      </c>
      <c r="I1326" t="n">
        <v>7741</v>
      </c>
      <c r="J1326" t="inlineStr">
        <is>
          <t>CAT 4</t>
        </is>
      </c>
      <c r="K1326" t="inlineStr">
        <is>
          <t>Sim</t>
        </is>
      </c>
    </row>
    <row r="1327">
      <c r="A1327" s="1">
        <f>HYPERLINK("https://eurofarma-latam-crm.veevavault.com/#object/account__v/V4TZ025E8BFDZJ9", "Bruno Luiz Correia")</f>
        <v/>
      </c>
      <c r="B1327" s="1">
        <f>HYPERLINK("https://eurofarma-latam-crm.veevavault.com/#object/account__v/V4TZ025E8BFDZJ9", "Bruno Luiz Lage Correia")</f>
        <v/>
      </c>
      <c r="C1327" t="inlineStr">
        <is>
          <t>RJ1353691</t>
        </is>
      </c>
      <c r="D1327" t="inlineStr">
        <is>
          <t>CLG / PA</t>
        </is>
      </c>
      <c r="E1327" t="inlineStr">
        <is>
          <t>Estrada de Búzios, S/N</t>
        </is>
      </c>
      <c r="F1327" t="inlineStr">
        <is>
          <t>Maria Joaquina (Tamoios)</t>
        </is>
      </c>
      <c r="G1327" t="inlineStr">
        <is>
          <t>Cabo Frio</t>
        </is>
      </c>
      <c r="H1327" t="inlineStr">
        <is>
          <t>RJ</t>
        </is>
      </c>
      <c r="I1327" t="n">
        <v>7741</v>
      </c>
      <c r="J1327" t="inlineStr">
        <is>
          <t>CAT 4</t>
        </is>
      </c>
      <c r="K1327" t="inlineStr">
        <is>
          <t>N�o</t>
        </is>
      </c>
    </row>
    <row r="1328">
      <c r="A1328" s="1">
        <f>HYPERLINK("https://eurofarma-latam-crm.veevavault.com/#object/account__v/V4TZ000018NZ3YM", "Caio Tardin")</f>
        <v/>
      </c>
      <c r="B1328" s="1">
        <f>HYPERLINK("https://eurofarma-latam-crm.veevavault.com/#object/account__v/V4TZ000018NZ3YM", "Caio Iezzi Tardin")</f>
        <v/>
      </c>
      <c r="C1328" t="inlineStr">
        <is>
          <t>RJ1246275</t>
        </is>
      </c>
      <c r="D1328" t="inlineStr">
        <is>
          <t>CLG / PA</t>
        </is>
      </c>
      <c r="E1328" t="inlineStr">
        <is>
          <t>Rua Baster Pillar, S/N</t>
        </is>
      </c>
      <c r="F1328" t="inlineStr">
        <is>
          <t>Parque Hotel</t>
        </is>
      </c>
      <c r="G1328" t="inlineStr">
        <is>
          <t>Araruama</t>
        </is>
      </c>
      <c r="H1328" t="inlineStr">
        <is>
          <t>RJ</t>
        </is>
      </c>
      <c r="I1328" t="n">
        <v>7741</v>
      </c>
      <c r="J1328" t="inlineStr">
        <is>
          <t>CAT 5</t>
        </is>
      </c>
      <c r="K1328" t="inlineStr">
        <is>
          <t>Sim</t>
        </is>
      </c>
    </row>
    <row r="1329">
      <c r="A1329" s="1">
        <f>HYPERLINK("https://eurofarma-latam-crm.veevavault.com/#object/account__v/V4TZ025E83TCH4N", "Camila Acosta")</f>
        <v/>
      </c>
      <c r="B1329" s="1">
        <f>HYPERLINK("https://eurofarma-latam-crm.veevavault.com/#object/account__v/V4TZ025E83TCH4N", "Camila Belén Luza Acosta")</f>
        <v/>
      </c>
      <c r="C1329" t="inlineStr">
        <is>
          <t>RJ1282190</t>
        </is>
      </c>
      <c r="D1329" t="inlineStr">
        <is>
          <t>CLG / PA</t>
        </is>
      </c>
      <c r="E1329" t="inlineStr">
        <is>
          <t>Rua Raul Veiga, 01</t>
        </is>
      </c>
      <c r="F1329" t="inlineStr">
        <is>
          <t>Centro</t>
        </is>
      </c>
      <c r="G1329" t="inlineStr">
        <is>
          <t>Cabo Frio</t>
        </is>
      </c>
      <c r="H1329" t="inlineStr">
        <is>
          <t>RJ</t>
        </is>
      </c>
      <c r="I1329" t="n">
        <v>7741</v>
      </c>
      <c r="J1329" t="inlineStr">
        <is>
          <t>CAT 3</t>
        </is>
      </c>
      <c r="K1329" t="inlineStr">
        <is>
          <t>Sim</t>
        </is>
      </c>
    </row>
    <row r="1330">
      <c r="A1330" s="1">
        <f>HYPERLINK("https://eurofarma-latam-crm.veevavault.com/#object/account__v/V4TZ000018NZ8RT", "Camila Silva")</f>
        <v/>
      </c>
      <c r="B1330" s="1">
        <f>HYPERLINK("https://eurofarma-latam-crm.veevavault.com/#object/account__v/V4TZ000018NZ8RT", "Camila Murta Soares Alves Silva")</f>
        <v/>
      </c>
      <c r="C1330" t="inlineStr">
        <is>
          <t>RJ0776530</t>
        </is>
      </c>
      <c r="D1330" t="inlineStr">
        <is>
          <t>PSQ</t>
        </is>
      </c>
      <c r="E1330" t="inlineStr">
        <is>
          <t>Rua José Francisco Zeca, 89</t>
        </is>
      </c>
      <c r="F1330" t="inlineStr">
        <is>
          <t>Centro</t>
        </is>
      </c>
      <c r="G1330" t="inlineStr">
        <is>
          <t>São Pedro da Aldeia</t>
        </is>
      </c>
      <c r="H1330" t="inlineStr">
        <is>
          <t>RJ</t>
        </is>
      </c>
      <c r="I1330" t="n">
        <v>7741</v>
      </c>
      <c r="J1330" t="inlineStr">
        <is>
          <t>CAT 1</t>
        </is>
      </c>
      <c r="K1330" t="inlineStr">
        <is>
          <t>Sim</t>
        </is>
      </c>
    </row>
    <row r="1331">
      <c r="A1331" s="1">
        <f>HYPERLINK("https://eurofarma-latam-crm.veevavault.com/#object/account__v/V4TZ000018NYIBB", "Carla Bianca Goulart")</f>
        <v/>
      </c>
      <c r="B1331" s="1">
        <f>HYPERLINK("https://eurofarma-latam-crm.veevavault.com/#object/account__v/V4TZ000018NYIBB", "Carla Bianca Gonçalves Goulart")</f>
        <v/>
      </c>
      <c r="C1331" t="inlineStr">
        <is>
          <t>RJ0795399</t>
        </is>
      </c>
      <c r="D1331" t="inlineStr">
        <is>
          <t>PED</t>
        </is>
      </c>
      <c r="E1331" t="inlineStr">
        <is>
          <t>Avenida Teixeira e Souza, 799</t>
        </is>
      </c>
      <c r="F1331" t="inlineStr">
        <is>
          <t>Centro</t>
        </is>
      </c>
      <c r="G1331" t="inlineStr">
        <is>
          <t>Cabo Frio</t>
        </is>
      </c>
      <c r="H1331" t="inlineStr">
        <is>
          <t>RJ</t>
        </is>
      </c>
      <c r="I1331" t="n">
        <v>7741</v>
      </c>
      <c r="J1331" t="inlineStr">
        <is>
          <t>CAT 5</t>
        </is>
      </c>
      <c r="K1331" t="inlineStr">
        <is>
          <t>N�o</t>
        </is>
      </c>
    </row>
    <row r="1332">
      <c r="A1332" s="1">
        <f>HYPERLINK("https://eurofarma-latam-crm.veevavault.com/#object/account__v/V4TZ000019130CV", "Carla Lorena Nêdes")</f>
        <v/>
      </c>
      <c r="B1332" s="1">
        <f>HYPERLINK("https://eurofarma-latam-crm.veevavault.com/#object/account__v/V4TZ000019130CV", "Carla Lorena Almeida Souza Nêdes")</f>
        <v/>
      </c>
      <c r="C1332" t="inlineStr">
        <is>
          <t>MG0084213,RJ1066480</t>
        </is>
      </c>
      <c r="D1332" t="inlineStr">
        <is>
          <t>PSQ</t>
        </is>
      </c>
      <c r="E1332" t="inlineStr">
        <is>
          <t>Avenida Júlia Kubitschek, 35 - Loja 01</t>
        </is>
      </c>
      <c r="F1332" t="inlineStr">
        <is>
          <t>Centro</t>
        </is>
      </c>
      <c r="G1332" t="inlineStr">
        <is>
          <t>Cabo Frio</t>
        </is>
      </c>
      <c r="H1332" t="inlineStr">
        <is>
          <t>RJ</t>
        </is>
      </c>
      <c r="I1332" t="n">
        <v>7741</v>
      </c>
      <c r="J1332" t="inlineStr">
        <is>
          <t>CAT 4</t>
        </is>
      </c>
      <c r="K1332" t="inlineStr">
        <is>
          <t>Sim</t>
        </is>
      </c>
    </row>
    <row r="1333">
      <c r="A1333" s="1">
        <f>HYPERLINK("https://eurofarma-latam-crm.veevavault.com/#object/account__v/V4TZ00001914MC7", "Carlindo e Silva Filho")</f>
        <v/>
      </c>
      <c r="B1333" s="1">
        <f>HYPERLINK("https://eurofarma-latam-crm.veevavault.com/#object/account__v/V4TZ00001914MC7", "Carlindo de Souza Machado e Silva Filho")</f>
        <v/>
      </c>
      <c r="C1333" t="inlineStr">
        <is>
          <t>RJ0340159</t>
        </is>
      </c>
      <c r="D1333" t="inlineStr">
        <is>
          <t>PED</t>
        </is>
      </c>
      <c r="E1333" t="inlineStr">
        <is>
          <t>Rua Governador Portela, 2012</t>
        </is>
      </c>
      <c r="F1333" t="inlineStr">
        <is>
          <t>Centro</t>
        </is>
      </c>
      <c r="G1333" t="inlineStr">
        <is>
          <t>Nova Iguaçu</t>
        </is>
      </c>
      <c r="H1333" t="inlineStr">
        <is>
          <t>RJ</t>
        </is>
      </c>
      <c r="I1333" t="n">
        <v>7741</v>
      </c>
      <c r="J1333" t="inlineStr">
        <is>
          <t>CAT 5</t>
        </is>
      </c>
      <c r="K1333" t="inlineStr">
        <is>
          <t>Sim</t>
        </is>
      </c>
    </row>
    <row r="1334">
      <c r="A1334" s="1">
        <f>HYPERLINK("https://eurofarma-latam-crm.veevavault.com/#object/account__v/V4TZ00001914OYA", "Carlos Barrozo")</f>
        <v/>
      </c>
      <c r="B1334" s="1">
        <f>HYPERLINK("https://eurofarma-latam-crm.veevavault.com/#object/account__v/V4TZ00001914OYA", "Carlos Alberto Mussel Barrozo")</f>
        <v/>
      </c>
      <c r="C1334" t="inlineStr">
        <is>
          <t>RJ0454392</t>
        </is>
      </c>
      <c r="D1334" t="inlineStr">
        <is>
          <t>CLG / SNC</t>
        </is>
      </c>
      <c r="E1334" t="inlineStr">
        <is>
          <t>Rua Jardim Botânico, 660</t>
        </is>
      </c>
      <c r="F1334" t="inlineStr">
        <is>
          <t>Jardim Botânico</t>
        </is>
      </c>
      <c r="G1334" t="inlineStr">
        <is>
          <t>Rio de Janeiro</t>
        </is>
      </c>
      <c r="H1334" t="inlineStr">
        <is>
          <t>RJ</t>
        </is>
      </c>
      <c r="I1334" t="n">
        <v>7741</v>
      </c>
      <c r="J1334" t="inlineStr">
        <is>
          <t>CAT 5</t>
        </is>
      </c>
      <c r="K1334" t="inlineStr">
        <is>
          <t>N�o</t>
        </is>
      </c>
    </row>
    <row r="1335">
      <c r="A1335" s="1">
        <f>HYPERLINK("https://eurofarma-latam-crm.veevavault.com/#object/account__v/V4TZ00001914E6O", "Carlos Dornellas")</f>
        <v/>
      </c>
      <c r="B1335" s="1">
        <f>HYPERLINK("https://eurofarma-latam-crm.veevavault.com/#object/account__v/V4TZ00001914E6O", "Carlos Ernesto dos Santos Dornellas")</f>
        <v/>
      </c>
      <c r="C1335" t="inlineStr">
        <is>
          <t>RJ0629340</t>
        </is>
      </c>
      <c r="D1335" t="inlineStr">
        <is>
          <t>ORT</t>
        </is>
      </c>
      <c r="E1335" t="inlineStr">
        <is>
          <t>Rua Guanabara, S/N</t>
        </is>
      </c>
      <c r="F1335" t="inlineStr">
        <is>
          <t>Bosque da Praia</t>
        </is>
      </c>
      <c r="G1335" t="inlineStr">
        <is>
          <t>Rio das Ostras</t>
        </is>
      </c>
      <c r="H1335" t="inlineStr">
        <is>
          <t>RJ</t>
        </is>
      </c>
      <c r="I1335" t="n">
        <v>7741</v>
      </c>
      <c r="J1335" t="inlineStr">
        <is>
          <t>CAT 5</t>
        </is>
      </c>
      <c r="K1335" t="inlineStr">
        <is>
          <t>Sim</t>
        </is>
      </c>
    </row>
    <row r="1336">
      <c r="A1336" s="1">
        <f>HYPERLINK("https://eurofarma-latam-crm.veevavault.com/#object/account__v/V4TZ00001914PZH", "Carlos Eduardo Rocha")</f>
        <v/>
      </c>
      <c r="B1336" s="1">
        <f>HYPERLINK("https://eurofarma-latam-crm.veevavault.com/#object/account__v/V4TZ00001914PZH", "Carlos Eduardo Campos Rocha")</f>
        <v/>
      </c>
      <c r="C1336" t="inlineStr">
        <is>
          <t>RJ0425574</t>
        </is>
      </c>
      <c r="D1336" t="inlineStr">
        <is>
          <t>NEU</t>
        </is>
      </c>
      <c r="E1336" t="inlineStr">
        <is>
          <t>Rua Marquês de Olinda, 110</t>
        </is>
      </c>
      <c r="F1336" t="inlineStr">
        <is>
          <t>São Cristóvão</t>
        </is>
      </c>
      <c r="G1336" t="inlineStr">
        <is>
          <t>Cabo Frio</t>
        </is>
      </c>
      <c r="H1336" t="inlineStr">
        <is>
          <t>RJ</t>
        </is>
      </c>
      <c r="I1336" t="n">
        <v>7741</v>
      </c>
      <c r="J1336" t="inlineStr">
        <is>
          <t>CAT 2</t>
        </is>
      </c>
      <c r="K1336" t="inlineStr">
        <is>
          <t>Sim</t>
        </is>
      </c>
    </row>
    <row r="1337">
      <c r="A1337" s="1">
        <f>HYPERLINK("https://eurofarma-latam-crm.veevavault.com/#object/account__v/V4TZ00001913IHF", "Carlos Mendes")</f>
        <v/>
      </c>
      <c r="B1337" s="1">
        <f>HYPERLINK("https://eurofarma-latam-crm.veevavault.com/#object/account__v/V4TZ00001913IHF", "Carlos Victor da Rocha Mendes")</f>
        <v/>
      </c>
      <c r="C1337" t="inlineStr">
        <is>
          <t>RJ0236887</t>
        </is>
      </c>
      <c r="D1337" t="inlineStr">
        <is>
          <t>ORT</t>
        </is>
      </c>
      <c r="E1337" t="inlineStr">
        <is>
          <t>Rua Barão do Rio Branco, 226</t>
        </is>
      </c>
      <c r="F1337" t="inlineStr">
        <is>
          <t>Passagem</t>
        </is>
      </c>
      <c r="G1337" t="inlineStr">
        <is>
          <t>Cabo Frio</t>
        </is>
      </c>
      <c r="H1337" t="inlineStr">
        <is>
          <t>RJ</t>
        </is>
      </c>
      <c r="I1337" t="n">
        <v>7741</v>
      </c>
      <c r="J1337" t="inlineStr">
        <is>
          <t>CAT 4</t>
        </is>
      </c>
      <c r="K1337" t="inlineStr">
        <is>
          <t>Sim</t>
        </is>
      </c>
    </row>
    <row r="1338">
      <c r="A1338" s="1">
        <f>HYPERLINK("https://eurofarma-latam-crm.veevavault.com/#object/account__v/V4TZ000018NXWVJ", "Carlos Roberto dos Santos")</f>
        <v/>
      </c>
      <c r="B1338" s="1">
        <f>HYPERLINK("https://eurofarma-latam-crm.veevavault.com/#object/account__v/V4TZ000018NXWVJ", "Carlos Roberto Nogueira dos Santos")</f>
        <v/>
      </c>
      <c r="C1338" t="inlineStr">
        <is>
          <t>RJ0246696</t>
        </is>
      </c>
      <c r="D1338" t="inlineStr">
        <is>
          <t>CLG</t>
        </is>
      </c>
      <c r="E1338" t="inlineStr">
        <is>
          <t>Rua Marquês de Olinda, 110</t>
        </is>
      </c>
      <c r="F1338" t="inlineStr">
        <is>
          <t>São Cristóvão</t>
        </is>
      </c>
      <c r="G1338" t="inlineStr">
        <is>
          <t>Cabo Frio</t>
        </is>
      </c>
      <c r="H1338" t="inlineStr">
        <is>
          <t>RJ</t>
        </is>
      </c>
      <c r="I1338" t="n">
        <v>7741</v>
      </c>
      <c r="J1338" t="inlineStr">
        <is>
          <t>CAT 5</t>
        </is>
      </c>
      <c r="K1338" t="inlineStr">
        <is>
          <t>Sim</t>
        </is>
      </c>
    </row>
    <row r="1339">
      <c r="A1339" s="1">
        <f>HYPERLINK("https://eurofarma-latam-crm.veevavault.com/#object/account__v/V4TZ000018NXIPJ", "Carlos Tadeu Pires")</f>
        <v/>
      </c>
      <c r="B1339" s="1">
        <f>HYPERLINK("https://eurofarma-latam-crm.veevavault.com/#object/account__v/V4TZ000018NXIPJ", "Carlos Tadeu Pires")</f>
        <v/>
      </c>
      <c r="C1339" t="inlineStr">
        <is>
          <t>ES0020517,RJ0420230</t>
        </is>
      </c>
      <c r="D1339" t="inlineStr">
        <is>
          <t>CLG</t>
        </is>
      </c>
      <c r="E1339" t="inlineStr">
        <is>
          <t>Rua Barão do Rio Branco, 72</t>
        </is>
      </c>
      <c r="F1339" t="inlineStr">
        <is>
          <t>Passagem</t>
        </is>
      </c>
      <c r="G1339" t="inlineStr">
        <is>
          <t>Cabo Frio</t>
        </is>
      </c>
      <c r="H1339" t="inlineStr">
        <is>
          <t>RJ</t>
        </is>
      </c>
      <c r="I1339" t="n">
        <v>7741</v>
      </c>
      <c r="J1339" t="inlineStr">
        <is>
          <t>CAT 4</t>
        </is>
      </c>
      <c r="K1339" t="inlineStr">
        <is>
          <t>Sim</t>
        </is>
      </c>
    </row>
    <row r="1340">
      <c r="A1340" s="1">
        <f>HYPERLINK("https://eurofarma-latam-crm.veevavault.com/#object/account__v/V4TZ025E8CZWEF7", "Carolina Maria Ferreira")</f>
        <v/>
      </c>
      <c r="B1340" s="1">
        <f>HYPERLINK("https://eurofarma-latam-crm.veevavault.com/#object/account__v/V4TZ025E8CZWEF7", "Carolina Maria Saraiva Nóbrega Ferreira")</f>
        <v/>
      </c>
      <c r="C1340" t="inlineStr">
        <is>
          <t>RJ1361155</t>
        </is>
      </c>
      <c r="D1340" t="inlineStr">
        <is>
          <t>CLG / PA</t>
        </is>
      </c>
      <c r="E1340" t="inlineStr">
        <is>
          <t>Estrada de Antenor Cardoso da Fonseca, S/N</t>
        </is>
      </c>
      <c r="F1340" t="inlineStr">
        <is>
          <t>Porto do Carro</t>
        </is>
      </c>
      <c r="G1340" t="inlineStr">
        <is>
          <t>Cabo Frio</t>
        </is>
      </c>
      <c r="H1340" t="inlineStr">
        <is>
          <t>RJ</t>
        </is>
      </c>
      <c r="I1340" t="n">
        <v>7741</v>
      </c>
      <c r="J1340" t="inlineStr">
        <is>
          <t>CAT 5</t>
        </is>
      </c>
      <c r="K1340" t="inlineStr">
        <is>
          <t>N�o</t>
        </is>
      </c>
    </row>
    <row r="1341">
      <c r="A1341" s="1">
        <f>HYPERLINK("https://eurofarma-latam-crm.veevavault.com/#object/account__v/V4TZ000018NXPUJ", "Carolina Piloto")</f>
        <v/>
      </c>
      <c r="B1341" s="1">
        <f>HYPERLINK("https://eurofarma-latam-crm.veevavault.com/#object/account__v/V4TZ000018NXPUJ", "Carolina Faria da Cunha Piloto")</f>
        <v/>
      </c>
      <c r="C1341" t="inlineStr">
        <is>
          <t>RJ0754820</t>
        </is>
      </c>
      <c r="D1341" t="inlineStr">
        <is>
          <t>CLG / PA</t>
        </is>
      </c>
      <c r="E1341" t="inlineStr">
        <is>
          <t>Estrada de Antenor Cardoso da Fonseca, S/N</t>
        </is>
      </c>
      <c r="F1341" t="inlineStr">
        <is>
          <t>Porto do Carro</t>
        </is>
      </c>
      <c r="G1341" t="inlineStr">
        <is>
          <t>Cabo Frio</t>
        </is>
      </c>
      <c r="H1341" t="inlineStr">
        <is>
          <t>RJ</t>
        </is>
      </c>
      <c r="I1341" t="n">
        <v>7741</v>
      </c>
      <c r="J1341" t="inlineStr">
        <is>
          <t>CAT 3</t>
        </is>
      </c>
      <c r="K1341" t="inlineStr">
        <is>
          <t>Sim</t>
        </is>
      </c>
    </row>
    <row r="1342">
      <c r="A1342" s="1">
        <f>HYPERLINK("https://eurofarma-latam-crm.veevavault.com/#object/account__v/V4TZ00001912ZLH", "Celso Pimentel")</f>
        <v/>
      </c>
      <c r="B1342" s="1">
        <f>HYPERLINK("https://eurofarma-latam-crm.veevavault.com/#object/account__v/V4TZ00001912ZLH", "Celso Luis Peralva Pimentel")</f>
        <v/>
      </c>
      <c r="C1342" t="inlineStr">
        <is>
          <t>RJ0503047</t>
        </is>
      </c>
      <c r="D1342" t="inlineStr">
        <is>
          <t>URO</t>
        </is>
      </c>
      <c r="E1342" t="inlineStr">
        <is>
          <t>Estrada de Antenor Cardoso da Fonseca, S/N</t>
        </is>
      </c>
      <c r="F1342" t="inlineStr">
        <is>
          <t>Porto do Carro</t>
        </is>
      </c>
      <c r="G1342" t="inlineStr">
        <is>
          <t>Cabo Frio</t>
        </is>
      </c>
      <c r="H1342" t="inlineStr">
        <is>
          <t>RJ</t>
        </is>
      </c>
      <c r="I1342" t="n">
        <v>7741</v>
      </c>
      <c r="J1342" t="inlineStr">
        <is>
          <t>CAT 5</t>
        </is>
      </c>
      <c r="K1342" t="inlineStr">
        <is>
          <t>Sim</t>
        </is>
      </c>
    </row>
    <row r="1343">
      <c r="A1343" s="1">
        <f>HYPERLINK("https://eurofarma-latam-crm.veevavault.com/#object/account__v/V4TZ025E8BM2NT6", "Chadia Chamoun")</f>
        <v/>
      </c>
      <c r="B1343" s="1">
        <f>HYPERLINK("https://eurofarma-latam-crm.veevavault.com/#object/account__v/V4TZ025E8BM2NT6", "Chadia Machado Chamoun")</f>
        <v/>
      </c>
      <c r="C1343" t="inlineStr">
        <is>
          <t>RJ1364485</t>
        </is>
      </c>
      <c r="D1343" t="inlineStr">
        <is>
          <t>PED</t>
        </is>
      </c>
      <c r="E1343" t="inlineStr">
        <is>
          <t>Avenida Getulio Vargas, S/N</t>
        </is>
      </c>
      <c r="F1343" t="inlineStr">
        <is>
          <t>Canaã</t>
        </is>
      </c>
      <c r="G1343" t="inlineStr">
        <is>
          <t>Arraial do Cabo</t>
        </is>
      </c>
      <c r="H1343" t="inlineStr">
        <is>
          <t>RJ</t>
        </is>
      </c>
      <c r="I1343" t="n">
        <v>7741</v>
      </c>
      <c r="J1343" t="inlineStr"/>
      <c r="K1343" t="inlineStr"/>
    </row>
    <row r="1344">
      <c r="A1344" s="1">
        <f>HYPERLINK("https://eurofarma-latam-crm.veevavault.com/#object/account__v/V4TZ000018NY7VM", "Cláudia Abreu")</f>
        <v/>
      </c>
      <c r="B1344" s="1">
        <f>HYPERLINK("https://eurofarma-latam-crm.veevavault.com/#object/account__v/V4TZ000018NY7VM", "Cláudia Aparecida Calado Abreu")</f>
        <v/>
      </c>
      <c r="C1344" t="inlineStr">
        <is>
          <t>RJ1085816</t>
        </is>
      </c>
      <c r="D1344" t="inlineStr">
        <is>
          <t>CLG / PA</t>
        </is>
      </c>
      <c r="E1344" t="inlineStr">
        <is>
          <t>Travessa Antônio Fernandes Moreira, 12</t>
        </is>
      </c>
      <c r="F1344" t="inlineStr">
        <is>
          <t>Centro</t>
        </is>
      </c>
      <c r="G1344" t="inlineStr">
        <is>
          <t>Nova Friburgo</t>
        </is>
      </c>
      <c r="H1344" t="inlineStr">
        <is>
          <t>RJ</t>
        </is>
      </c>
      <c r="I1344" t="n">
        <v>7741</v>
      </c>
      <c r="J1344" t="inlineStr">
        <is>
          <t>CAT 5</t>
        </is>
      </c>
      <c r="K1344" t="inlineStr">
        <is>
          <t>Sim</t>
        </is>
      </c>
    </row>
    <row r="1345">
      <c r="A1345" s="1">
        <f>HYPERLINK("https://eurofarma-latam-crm.veevavault.com/#object/account__v/V4TZ00001915USS", "Claudia Márcia Ramalho")</f>
        <v/>
      </c>
      <c r="B1345" s="1">
        <f>HYPERLINK("https://eurofarma-latam-crm.veevavault.com/#object/account__v/V4TZ00001915USS", "Claudia Márcia dos Santos Escafura Ramalho")</f>
        <v/>
      </c>
      <c r="C1345" t="inlineStr">
        <is>
          <t>RJ0366130</t>
        </is>
      </c>
      <c r="D1345" t="inlineStr">
        <is>
          <t>GAS</t>
        </is>
      </c>
      <c r="E1345" t="inlineStr">
        <is>
          <t>Rua Da Independencia, 12 - Loja 03</t>
        </is>
      </c>
      <c r="F1345" t="inlineStr">
        <is>
          <t>Centro</t>
        </is>
      </c>
      <c r="G1345" t="inlineStr">
        <is>
          <t>Arraial do Cabo</t>
        </is>
      </c>
      <c r="H1345" t="inlineStr">
        <is>
          <t>RJ</t>
        </is>
      </c>
      <c r="I1345" t="n">
        <v>7741</v>
      </c>
      <c r="J1345" t="inlineStr">
        <is>
          <t>CAT 3</t>
        </is>
      </c>
      <c r="K1345" t="inlineStr">
        <is>
          <t>Sim</t>
        </is>
      </c>
    </row>
    <row r="1346">
      <c r="A1346" s="1">
        <f>HYPERLINK("https://eurofarma-latam-crm.veevavault.com/#object/account__v/V4TZ000018NYMAK", "Claudia Rocha")</f>
        <v/>
      </c>
      <c r="B1346" s="1">
        <f>HYPERLINK("https://eurofarma-latam-crm.veevavault.com/#object/account__v/V4TZ000018NYMAK", "Claudia Mendes da Rocha")</f>
        <v/>
      </c>
      <c r="C1346" t="inlineStr">
        <is>
          <t>RJ0604314</t>
        </is>
      </c>
      <c r="D1346" t="inlineStr">
        <is>
          <t>GAS</t>
        </is>
      </c>
      <c r="E1346" t="inlineStr">
        <is>
          <t>Rua Casemiro de Abreu, 169</t>
        </is>
      </c>
      <c r="F1346" t="inlineStr">
        <is>
          <t>Centro</t>
        </is>
      </c>
      <c r="G1346" t="inlineStr">
        <is>
          <t>Cabo Frio</t>
        </is>
      </c>
      <c r="H1346" t="inlineStr">
        <is>
          <t>RJ</t>
        </is>
      </c>
      <c r="I1346" t="n">
        <v>7741</v>
      </c>
      <c r="J1346" t="inlineStr">
        <is>
          <t>CAT 2</t>
        </is>
      </c>
      <c r="K1346" t="inlineStr">
        <is>
          <t>Sim</t>
        </is>
      </c>
    </row>
    <row r="1347">
      <c r="A1347" s="1">
        <f>HYPERLINK("https://eurofarma-latam-crm.veevavault.com/#object/account__v/V4TZ00001915AYC", "Claudio Ortega")</f>
        <v/>
      </c>
      <c r="B1347" s="1">
        <f>HYPERLINK("https://eurofarma-latam-crm.veevavault.com/#object/account__v/V4TZ00001915AYC", "Claudio Costa Ortega")</f>
        <v/>
      </c>
      <c r="C1347" t="inlineStr">
        <is>
          <t>RJ0565864</t>
        </is>
      </c>
      <c r="D1347" t="inlineStr">
        <is>
          <t>PED</t>
        </is>
      </c>
      <c r="E1347" t="inlineStr">
        <is>
          <t>Rua Paulo Barreto, 51</t>
        </is>
      </c>
      <c r="F1347" t="inlineStr">
        <is>
          <t>Botafogo</t>
        </is>
      </c>
      <c r="G1347" t="inlineStr">
        <is>
          <t>Rio de Janeiro</t>
        </is>
      </c>
      <c r="H1347" t="inlineStr">
        <is>
          <t>RJ</t>
        </is>
      </c>
      <c r="I1347" t="n">
        <v>7741</v>
      </c>
      <c r="J1347" t="inlineStr">
        <is>
          <t>CAT 5</t>
        </is>
      </c>
      <c r="K1347" t="inlineStr">
        <is>
          <t>Sim</t>
        </is>
      </c>
    </row>
    <row r="1348">
      <c r="A1348" s="1">
        <f>HYPERLINK("https://eurofarma-latam-crm.veevavault.com/#object/account__v/V4TZ000018NXLBV", "Clenio Basilio Junior")</f>
        <v/>
      </c>
      <c r="B1348" s="1">
        <f>HYPERLINK("https://eurofarma-latam-crm.veevavault.com/#object/account__v/V4TZ000018NXLBV", "Clenio Gebara Basilio Junior")</f>
        <v/>
      </c>
      <c r="C1348" t="inlineStr">
        <is>
          <t>BA0017637,RJ0428800</t>
        </is>
      </c>
      <c r="D1348" t="inlineStr">
        <is>
          <t>URO</t>
        </is>
      </c>
      <c r="E1348" t="inlineStr">
        <is>
          <t>Rua Barão do Rio Branco, 72</t>
        </is>
      </c>
      <c r="F1348" t="inlineStr">
        <is>
          <t>Passagem</t>
        </is>
      </c>
      <c r="G1348" t="inlineStr">
        <is>
          <t>Cabo Frio</t>
        </is>
      </c>
      <c r="H1348" t="inlineStr">
        <is>
          <t>RJ</t>
        </is>
      </c>
      <c r="I1348" t="n">
        <v>7741</v>
      </c>
      <c r="J1348" t="inlineStr">
        <is>
          <t>CAT 4</t>
        </is>
      </c>
      <c r="K1348" t="inlineStr">
        <is>
          <t>Sim</t>
        </is>
      </c>
    </row>
    <row r="1349">
      <c r="A1349" s="1">
        <f>HYPERLINK("https://eurofarma-latam-crm.veevavault.com/#object/account__v/V4TZ025E84JAI78", "Clesio Faria")</f>
        <v/>
      </c>
      <c r="B1349" s="1">
        <f>HYPERLINK("https://eurofarma-latam-crm.veevavault.com/#object/account__v/V4TZ025E84JAI78", "Clesio Barreto Guimarães Faria")</f>
        <v/>
      </c>
      <c r="C1349" t="inlineStr">
        <is>
          <t>RJ1274392</t>
        </is>
      </c>
      <c r="D1349" t="inlineStr">
        <is>
          <t>CLG / PA</t>
        </is>
      </c>
      <c r="E1349" t="inlineStr">
        <is>
          <t>Rua da Assembleia, S/N</t>
        </is>
      </c>
      <c r="F1349" t="inlineStr">
        <is>
          <t>Jardim Califórnia (Morro Grande)</t>
        </is>
      </c>
      <c r="G1349" t="inlineStr">
        <is>
          <t>Araruama</t>
        </is>
      </c>
      <c r="H1349" t="inlineStr">
        <is>
          <t>RJ</t>
        </is>
      </c>
      <c r="I1349" t="n">
        <v>7741</v>
      </c>
      <c r="J1349" t="inlineStr">
        <is>
          <t>CAT 3</t>
        </is>
      </c>
      <c r="K1349" t="inlineStr">
        <is>
          <t>Sim</t>
        </is>
      </c>
    </row>
    <row r="1350">
      <c r="A1350" s="1">
        <f>HYPERLINK("https://eurofarma-latam-crm.veevavault.com/#object/account__v/V4TZ025E83NB8TT", "Cristiane Gomes")</f>
        <v/>
      </c>
      <c r="B1350" s="1">
        <f>HYPERLINK("https://eurofarma-latam-crm.veevavault.com/#object/account__v/V4TZ025E83NB8TT", "Cristiane Ponciano Gomes")</f>
        <v/>
      </c>
      <c r="C1350" t="inlineStr">
        <is>
          <t>RJ1040804</t>
        </is>
      </c>
      <c r="D1350" t="inlineStr">
        <is>
          <t>NEU</t>
        </is>
      </c>
      <c r="E1350" t="inlineStr">
        <is>
          <t>Rua Marquês de Olinda, 110</t>
        </is>
      </c>
      <c r="F1350" t="inlineStr">
        <is>
          <t>São Cristóvão</t>
        </is>
      </c>
      <c r="G1350" t="inlineStr">
        <is>
          <t>Cabo Frio</t>
        </is>
      </c>
      <c r="H1350" t="inlineStr">
        <is>
          <t>RJ</t>
        </is>
      </c>
      <c r="I1350" t="n">
        <v>7741</v>
      </c>
      <c r="J1350" t="inlineStr">
        <is>
          <t>CAT 3</t>
        </is>
      </c>
      <c r="K1350" t="inlineStr">
        <is>
          <t>Sim</t>
        </is>
      </c>
    </row>
    <row r="1351">
      <c r="A1351" s="1">
        <f>HYPERLINK("https://eurofarma-latam-crm.veevavault.com/#object/account__v/V4TZ0000191499S", "Cristina Reis")</f>
        <v/>
      </c>
      <c r="B1351" s="1">
        <f>HYPERLINK("https://eurofarma-latam-crm.veevavault.com/#object/account__v/V4TZ0000191499S", "Cristina Vianna Reis")</f>
        <v/>
      </c>
      <c r="C1351" t="inlineStr">
        <is>
          <t>RJ0405407</t>
        </is>
      </c>
      <c r="D1351" t="inlineStr">
        <is>
          <t>PED</t>
        </is>
      </c>
      <c r="E1351" t="inlineStr">
        <is>
          <t>Avenida Getulio Vargas, S/N</t>
        </is>
      </c>
      <c r="F1351" t="inlineStr">
        <is>
          <t>Canaã</t>
        </is>
      </c>
      <c r="G1351" t="inlineStr">
        <is>
          <t>Arraial do Cabo</t>
        </is>
      </c>
      <c r="H1351" t="inlineStr">
        <is>
          <t>RJ</t>
        </is>
      </c>
      <c r="I1351" t="n">
        <v>7741</v>
      </c>
      <c r="J1351" t="inlineStr">
        <is>
          <t>CAT 5</t>
        </is>
      </c>
      <c r="K1351" t="inlineStr">
        <is>
          <t>Sim</t>
        </is>
      </c>
    </row>
    <row r="1352">
      <c r="A1352" s="1">
        <f>HYPERLINK("https://eurofarma-latam-crm.veevavault.com/#object/account__v/V4TZ00001914LUN", "Daniel Peixoto")</f>
        <v/>
      </c>
      <c r="B1352" s="1">
        <f>HYPERLINK("https://eurofarma-latam-crm.veevavault.com/#object/account__v/V4TZ00001914LUN", "Daniel de Oliveira Peixoto")</f>
        <v/>
      </c>
      <c r="C1352" t="inlineStr">
        <is>
          <t>RJ0727008</t>
        </is>
      </c>
      <c r="D1352" t="inlineStr">
        <is>
          <t>CLG</t>
        </is>
      </c>
      <c r="E1352" t="inlineStr">
        <is>
          <t>Rua Governador Valadares, 229</t>
        </is>
      </c>
      <c r="F1352" t="inlineStr">
        <is>
          <t>São Cristóvão</t>
        </is>
      </c>
      <c r="G1352" t="inlineStr">
        <is>
          <t>Cabo Frio</t>
        </is>
      </c>
      <c r="H1352" t="inlineStr">
        <is>
          <t>RJ</t>
        </is>
      </c>
      <c r="I1352" t="n">
        <v>7741</v>
      </c>
      <c r="J1352" t="inlineStr">
        <is>
          <t>CAT 3</t>
        </is>
      </c>
      <c r="K1352" t="inlineStr">
        <is>
          <t>Sim</t>
        </is>
      </c>
    </row>
    <row r="1353">
      <c r="A1353" s="1">
        <f>HYPERLINK("https://eurofarma-latam-crm.veevavault.com/#object/account__v/V4TZ00001914NCU", "Daniel Ribeiro")</f>
        <v/>
      </c>
      <c r="B1353" s="1">
        <f>HYPERLINK("https://eurofarma-latam-crm.veevavault.com/#object/account__v/V4TZ00001914NCU", "Daniel Teixeira Ribeiro")</f>
        <v/>
      </c>
      <c r="C1353" t="inlineStr">
        <is>
          <t>RJ0605271</t>
        </is>
      </c>
      <c r="D1353" t="inlineStr">
        <is>
          <t>GAS</t>
        </is>
      </c>
      <c r="E1353" t="inlineStr">
        <is>
          <t>Avenida Getulio Vargas, S/N</t>
        </is>
      </c>
      <c r="F1353" t="inlineStr">
        <is>
          <t>Canaã</t>
        </is>
      </c>
      <c r="G1353" t="inlineStr">
        <is>
          <t>Arraial do Cabo</t>
        </is>
      </c>
      <c r="H1353" t="inlineStr">
        <is>
          <t>RJ</t>
        </is>
      </c>
      <c r="I1353" t="n">
        <v>7741</v>
      </c>
      <c r="J1353" t="inlineStr">
        <is>
          <t>CAT 5</t>
        </is>
      </c>
      <c r="K1353" t="inlineStr">
        <is>
          <t>Sim</t>
        </is>
      </c>
    </row>
    <row r="1354">
      <c r="A1354" s="1">
        <f>HYPERLINK("https://eurofarma-latam-crm.veevavault.com/#object/account__v/V4TZ025E8AJAVF5", "Daniella Azevedo")</f>
        <v/>
      </c>
      <c r="B1354" s="1">
        <f>HYPERLINK("https://eurofarma-latam-crm.veevavault.com/#object/account__v/V4TZ025E8AJAVF5", "Daniella Almeida Fernandes Azevedo")</f>
        <v/>
      </c>
      <c r="C1354" t="inlineStr">
        <is>
          <t>RJ0917397</t>
        </is>
      </c>
      <c r="D1354" t="inlineStr">
        <is>
          <t>GAS</t>
        </is>
      </c>
      <c r="E1354" t="inlineStr">
        <is>
          <t>Avenida Francisco Mendes, 350 - Sala 22 23</t>
        </is>
      </c>
      <c r="F1354" t="inlineStr">
        <is>
          <t>Centro</t>
        </is>
      </c>
      <c r="G1354" t="inlineStr">
        <is>
          <t>Cabo Frio</t>
        </is>
      </c>
      <c r="H1354" t="inlineStr">
        <is>
          <t>RJ</t>
        </is>
      </c>
      <c r="I1354" t="n">
        <v>7741</v>
      </c>
      <c r="J1354" t="inlineStr">
        <is>
          <t>CAT 5</t>
        </is>
      </c>
      <c r="K1354" t="inlineStr">
        <is>
          <t>Sim</t>
        </is>
      </c>
    </row>
    <row r="1355">
      <c r="A1355" s="1">
        <f>HYPERLINK("https://eurofarma-latam-crm.veevavault.com/#object/account__v/V4TZ000019136G4", "Daria Jales")</f>
        <v/>
      </c>
      <c r="B1355" s="1">
        <f>HYPERLINK("https://eurofarma-latam-crm.veevavault.com/#object/account__v/V4TZ000019136G4", "Daria Glaucia Bezerra Jales")</f>
        <v/>
      </c>
      <c r="C1355" t="inlineStr">
        <is>
          <t>RJ0801887</t>
        </is>
      </c>
      <c r="D1355" t="inlineStr">
        <is>
          <t>CLG / END</t>
        </is>
      </c>
      <c r="E1355" t="inlineStr">
        <is>
          <t>Rua Prefeito Waldir da Silva Lobo, 2</t>
        </is>
      </c>
      <c r="F1355" t="inlineStr">
        <is>
          <t>Morro do Milagre</t>
        </is>
      </c>
      <c r="G1355" t="inlineStr">
        <is>
          <t>São Pedro da Aldeia</t>
        </is>
      </c>
      <c r="H1355" t="inlineStr">
        <is>
          <t>RJ</t>
        </is>
      </c>
      <c r="I1355" t="n">
        <v>7741</v>
      </c>
      <c r="J1355" t="inlineStr">
        <is>
          <t>CAT 5</t>
        </is>
      </c>
      <c r="K1355" t="inlineStr">
        <is>
          <t>Sim</t>
        </is>
      </c>
    </row>
    <row r="1356">
      <c r="A1356" s="1">
        <f>HYPERLINK("https://eurofarma-latam-crm.veevavault.com/#object/account__v/V4TZ00001912ZGL", "Davi de Amorim")</f>
        <v/>
      </c>
      <c r="B1356" s="1">
        <f>HYPERLINK("https://eurofarma-latam-crm.veevavault.com/#object/account__v/V4TZ00001912ZGL", "Davi Nolasco de Amorim")</f>
        <v/>
      </c>
      <c r="C1356" t="inlineStr">
        <is>
          <t>RJ0817635</t>
        </is>
      </c>
      <c r="D1356" t="inlineStr">
        <is>
          <t>URO</t>
        </is>
      </c>
      <c r="E1356" t="inlineStr">
        <is>
          <t>Estrada de Antenor Cardoso da Fonseca, S/N</t>
        </is>
      </c>
      <c r="F1356" t="inlineStr">
        <is>
          <t>Porto do Carro</t>
        </is>
      </c>
      <c r="G1356" t="inlineStr">
        <is>
          <t>Cabo Frio</t>
        </is>
      </c>
      <c r="H1356" t="inlineStr">
        <is>
          <t>RJ</t>
        </is>
      </c>
      <c r="I1356" t="n">
        <v>7741</v>
      </c>
      <c r="J1356" t="inlineStr">
        <is>
          <t>CAT 3</t>
        </is>
      </c>
      <c r="K1356" t="inlineStr">
        <is>
          <t>Sim</t>
        </is>
      </c>
    </row>
    <row r="1357">
      <c r="A1357" s="1">
        <f>HYPERLINK("https://eurofarma-latam-crm.veevavault.com/#object/account__v/V4TZ000018NYSVJ", "Dayane Dias")</f>
        <v/>
      </c>
      <c r="B1357" s="1">
        <f>HYPERLINK("https://eurofarma-latam-crm.veevavault.com/#object/account__v/V4TZ000018NYSVJ", "Dayane Temponi Dias")</f>
        <v/>
      </c>
      <c r="C1357" t="inlineStr">
        <is>
          <t>RJ1144626</t>
        </is>
      </c>
      <c r="D1357" t="inlineStr">
        <is>
          <t>CLG / PA</t>
        </is>
      </c>
      <c r="E1357" t="inlineStr">
        <is>
          <t>Rua da Saudade, S/N - Quadra 40 Lote 5</t>
        </is>
      </c>
      <c r="F1357" t="inlineStr">
        <is>
          <t>Centro (São Vicente)</t>
        </is>
      </c>
      <c r="G1357" t="inlineStr">
        <is>
          <t>Araruama</t>
        </is>
      </c>
      <c r="H1357" t="inlineStr">
        <is>
          <t>RJ</t>
        </is>
      </c>
      <c r="I1357" t="n">
        <v>7741</v>
      </c>
      <c r="J1357" t="inlineStr">
        <is>
          <t>CAT 4</t>
        </is>
      </c>
      <c r="K1357" t="inlineStr">
        <is>
          <t>Sim</t>
        </is>
      </c>
    </row>
    <row r="1358">
      <c r="A1358" s="1">
        <f>HYPERLINK("https://eurofarma-latam-crm.veevavault.com/#object/account__v/V4TZ000018NYDU9", "Débora Stopa")</f>
        <v/>
      </c>
      <c r="B1358" s="1">
        <f>HYPERLINK("https://eurofarma-latam-crm.veevavault.com/#object/account__v/V4TZ000018NYDU9", "Débora Costa Stopa")</f>
        <v/>
      </c>
      <c r="C1358" t="inlineStr">
        <is>
          <t>RJ1082760</t>
        </is>
      </c>
      <c r="D1358" t="inlineStr">
        <is>
          <t>PED</t>
        </is>
      </c>
      <c r="E1358" t="inlineStr">
        <is>
          <t>Rua Nove, 62 - Loja 01</t>
        </is>
      </c>
      <c r="F1358" t="inlineStr">
        <is>
          <t>Parque Burle</t>
        </is>
      </c>
      <c r="G1358" t="inlineStr">
        <is>
          <t>Cabo Frio</t>
        </is>
      </c>
      <c r="H1358" t="inlineStr">
        <is>
          <t>RJ</t>
        </is>
      </c>
      <c r="I1358" t="n">
        <v>7741</v>
      </c>
      <c r="J1358" t="inlineStr">
        <is>
          <t>CAT 5</t>
        </is>
      </c>
      <c r="K1358" t="inlineStr">
        <is>
          <t>N�o</t>
        </is>
      </c>
    </row>
    <row r="1359">
      <c r="A1359" s="1">
        <f>HYPERLINK("https://eurofarma-latam-crm.veevavault.com/#object/account__v/V4TZ000018NXOOI", "Denis Siqueira")</f>
        <v/>
      </c>
      <c r="B1359" s="1">
        <f>HYPERLINK("https://eurofarma-latam-crm.veevavault.com/#object/account__v/V4TZ000018NXOOI", "Denis de Souza Siqueira")</f>
        <v/>
      </c>
      <c r="C1359" t="inlineStr">
        <is>
          <t>RJ0848743</t>
        </is>
      </c>
      <c r="D1359" t="inlineStr">
        <is>
          <t>ORT</t>
        </is>
      </c>
      <c r="E1359" t="inlineStr">
        <is>
          <t>Rua Pastor Luiz Laurentino, 1292</t>
        </is>
      </c>
      <c r="F1359" t="inlineStr">
        <is>
          <t>Centro</t>
        </is>
      </c>
      <c r="G1359" t="inlineStr">
        <is>
          <t>Casimiro de Abreu</t>
        </is>
      </c>
      <c r="H1359" t="inlineStr">
        <is>
          <t>RJ</t>
        </is>
      </c>
      <c r="I1359" t="n">
        <v>7741</v>
      </c>
      <c r="J1359" t="inlineStr">
        <is>
          <t>CAT 3</t>
        </is>
      </c>
      <c r="K1359" t="inlineStr">
        <is>
          <t>Sim</t>
        </is>
      </c>
    </row>
    <row r="1360">
      <c r="A1360" s="1">
        <f>HYPERLINK("https://eurofarma-latam-crm.veevavault.com/#object/account__v/V4TZ00001915XVX", "Denise Costa")</f>
        <v/>
      </c>
      <c r="B1360" s="1">
        <f>HYPERLINK("https://eurofarma-latam-crm.veevavault.com/#object/account__v/V4TZ00001915XVX", "Denise Maria Hore Decoster da Costa")</f>
        <v/>
      </c>
      <c r="C1360" t="inlineStr">
        <is>
          <t>RJ0610208</t>
        </is>
      </c>
      <c r="D1360" t="inlineStr">
        <is>
          <t>ORL</t>
        </is>
      </c>
      <c r="E1360" t="inlineStr">
        <is>
          <t>Rua Mariz e Barros, 302</t>
        </is>
      </c>
      <c r="F1360" t="inlineStr">
        <is>
          <t>Icaraí</t>
        </is>
      </c>
      <c r="G1360" t="inlineStr">
        <is>
          <t>Niterói</t>
        </is>
      </c>
      <c r="H1360" t="inlineStr">
        <is>
          <t>RJ</t>
        </is>
      </c>
      <c r="I1360" t="n">
        <v>7741</v>
      </c>
      <c r="J1360" t="inlineStr">
        <is>
          <t>CAT 5</t>
        </is>
      </c>
      <c r="K1360" t="inlineStr">
        <is>
          <t>Sim</t>
        </is>
      </c>
    </row>
    <row r="1361">
      <c r="A1361" s="1">
        <f>HYPERLINK("https://eurofarma-latam-crm.veevavault.com/#object/account__v/V4TZ00001916BY3", "Doralice Neta")</f>
        <v/>
      </c>
      <c r="B1361" s="1">
        <f>HYPERLINK("https://eurofarma-latam-crm.veevavault.com/#object/account__v/V4TZ00001916BY3", "Doralice de Moura Pinto Ribeiro Neta")</f>
        <v/>
      </c>
      <c r="C1361" t="inlineStr">
        <is>
          <t>RJ1217194</t>
        </is>
      </c>
      <c r="D1361" t="inlineStr">
        <is>
          <t>PSQ</t>
        </is>
      </c>
      <c r="E1361" t="inlineStr">
        <is>
          <t>Rua General Alfredo Bruno Gama Martins, S/N</t>
        </is>
      </c>
      <c r="F1361" t="inlineStr">
        <is>
          <t>Centro</t>
        </is>
      </c>
      <c r="G1361" t="inlineStr">
        <is>
          <t>Cabo Frio</t>
        </is>
      </c>
      <c r="H1361" t="inlineStr">
        <is>
          <t>RJ</t>
        </is>
      </c>
      <c r="I1361" t="n">
        <v>7741</v>
      </c>
      <c r="J1361" t="inlineStr">
        <is>
          <t>CAT 2</t>
        </is>
      </c>
      <c r="K1361" t="inlineStr">
        <is>
          <t>Sim</t>
        </is>
      </c>
    </row>
    <row r="1362">
      <c r="A1362" s="1">
        <f>HYPERLINK("https://eurofarma-latam-crm.veevavault.com/#object/account__v/V4TZ00001913EZL", "Edilson Soares Junior")</f>
        <v/>
      </c>
      <c r="B1362" s="1">
        <f>HYPERLINK("https://eurofarma-latam-crm.veevavault.com/#object/account__v/V4TZ00001913EZL", "Edilson Soares Junior")</f>
        <v/>
      </c>
      <c r="C1362" t="inlineStr">
        <is>
          <t>RJ0622400,SP0107640</t>
        </is>
      </c>
      <c r="D1362" t="inlineStr">
        <is>
          <t>PED</t>
        </is>
      </c>
      <c r="E1362" t="inlineStr">
        <is>
          <t>Rua Jaguaruna, 31 - Parte</t>
        </is>
      </c>
      <c r="F1362" t="inlineStr">
        <is>
          <t>Campo Grande</t>
        </is>
      </c>
      <c r="G1362" t="inlineStr">
        <is>
          <t>Rio de Janeiro</t>
        </is>
      </c>
      <c r="H1362" t="inlineStr">
        <is>
          <t>RJ</t>
        </is>
      </c>
      <c r="I1362" t="n">
        <v>7741</v>
      </c>
      <c r="J1362" t="inlineStr">
        <is>
          <t>CAT 3</t>
        </is>
      </c>
      <c r="K1362" t="inlineStr">
        <is>
          <t>Sim</t>
        </is>
      </c>
    </row>
    <row r="1363">
      <c r="A1363" s="1">
        <f>HYPERLINK("https://eurofarma-latam-crm.veevavault.com/#object/account__v/V4TZ000018NXK0P", "Edimar Pires")</f>
        <v/>
      </c>
      <c r="B1363" s="1">
        <f>HYPERLINK("https://eurofarma-latam-crm.veevavault.com/#object/account__v/V4TZ000018NXK0P", "Edimar Ruela Pires")</f>
        <v/>
      </c>
      <c r="C1363" t="inlineStr">
        <is>
          <t>RJ0298322</t>
        </is>
      </c>
      <c r="D1363" t="inlineStr">
        <is>
          <t>PED</t>
        </is>
      </c>
      <c r="E1363" t="inlineStr">
        <is>
          <t>Rua Arizio Gomes Batista, 33 - 201</t>
        </is>
      </c>
      <c r="F1363" t="inlineStr">
        <is>
          <t>Jardim Flamboyant</t>
        </is>
      </c>
      <c r="G1363" t="inlineStr">
        <is>
          <t>Cabo Frio</t>
        </is>
      </c>
      <c r="H1363" t="inlineStr">
        <is>
          <t>RJ</t>
        </is>
      </c>
      <c r="I1363" t="n">
        <v>7741</v>
      </c>
      <c r="J1363" t="inlineStr">
        <is>
          <t>CAT 5</t>
        </is>
      </c>
      <c r="K1363" t="inlineStr">
        <is>
          <t>Sim</t>
        </is>
      </c>
    </row>
    <row r="1364">
      <c r="A1364" s="1">
        <f>HYPERLINK("https://eurofarma-latam-crm.veevavault.com/#object/account__v/V4TZ000019147JT", "Elizabete Ribeiro")</f>
        <v/>
      </c>
      <c r="B1364" s="1">
        <f>HYPERLINK("https://eurofarma-latam-crm.veevavault.com/#object/account__v/V4TZ000019147JT", "Elizabete das Graças Silva Ribeiro")</f>
        <v/>
      </c>
      <c r="C1364" t="inlineStr">
        <is>
          <t>RJ1068105</t>
        </is>
      </c>
      <c r="D1364" t="inlineStr">
        <is>
          <t>PSQ</t>
        </is>
      </c>
      <c r="E1364" t="inlineStr">
        <is>
          <t>Estrada de Antenor Cardoso da Fonseca, S/N</t>
        </is>
      </c>
      <c r="F1364" t="inlineStr">
        <is>
          <t>Porto do Carro</t>
        </is>
      </c>
      <c r="G1364" t="inlineStr">
        <is>
          <t>Cabo Frio</t>
        </is>
      </c>
      <c r="H1364" t="inlineStr">
        <is>
          <t>RJ</t>
        </is>
      </c>
      <c r="I1364" t="n">
        <v>7741</v>
      </c>
      <c r="J1364" t="inlineStr">
        <is>
          <t>CAT 3</t>
        </is>
      </c>
      <c r="K1364" t="inlineStr">
        <is>
          <t>Sim</t>
        </is>
      </c>
    </row>
    <row r="1365">
      <c r="A1365" s="1">
        <f>HYPERLINK("https://eurofarma-latam-crm.veevavault.com/#object/account__v/V4TZ00001916DIW", "Elton Oliveira")</f>
        <v/>
      </c>
      <c r="B1365" s="1">
        <f>HYPERLINK("https://eurofarma-latam-crm.veevavault.com/#object/account__v/V4TZ00001916DIW", "Elton Dias Oliveira")</f>
        <v/>
      </c>
      <c r="C1365" t="inlineStr">
        <is>
          <t>RJ1200356</t>
        </is>
      </c>
      <c r="D1365" t="inlineStr">
        <is>
          <t>CLG / PA</t>
        </is>
      </c>
      <c r="E1365" t="inlineStr">
        <is>
          <t>Rua Bernardo Vasconcelos, 477</t>
        </is>
      </c>
      <c r="F1365" t="inlineStr">
        <is>
          <t>Centro</t>
        </is>
      </c>
      <c r="G1365" t="inlineStr">
        <is>
          <t>Araruama</t>
        </is>
      </c>
      <c r="H1365" t="inlineStr">
        <is>
          <t>RJ</t>
        </is>
      </c>
      <c r="I1365" t="n">
        <v>7741</v>
      </c>
      <c r="J1365" t="inlineStr">
        <is>
          <t>CAT 5</t>
        </is>
      </c>
      <c r="K1365" t="inlineStr">
        <is>
          <t>N�o</t>
        </is>
      </c>
    </row>
    <row r="1366">
      <c r="A1366" s="1">
        <f>HYPERLINK("https://eurofarma-latam-crm.veevavault.com/#object/account__v/V4TZ025E8348J81", "Emilly Simão")</f>
        <v/>
      </c>
      <c r="B1366" s="1">
        <f>HYPERLINK("https://eurofarma-latam-crm.veevavault.com/#object/account__v/V4TZ025E8348J81", "Emilly Spnola de Moura Simão")</f>
        <v/>
      </c>
      <c r="C1366" t="inlineStr">
        <is>
          <t>RJ1286137</t>
        </is>
      </c>
      <c r="D1366" t="inlineStr">
        <is>
          <t>CLG / PA</t>
        </is>
      </c>
      <c r="E1366" t="inlineStr">
        <is>
          <t>Rua Barão do Rio Branco, 72</t>
        </is>
      </c>
      <c r="F1366" t="inlineStr">
        <is>
          <t>Passagem</t>
        </is>
      </c>
      <c r="G1366" t="inlineStr">
        <is>
          <t>Cabo Frio</t>
        </is>
      </c>
      <c r="H1366" t="inlineStr">
        <is>
          <t>RJ</t>
        </is>
      </c>
      <c r="I1366" t="n">
        <v>7741</v>
      </c>
      <c r="J1366" t="inlineStr">
        <is>
          <t>CAT 4</t>
        </is>
      </c>
      <c r="K1366" t="inlineStr">
        <is>
          <t>Sim</t>
        </is>
      </c>
    </row>
    <row r="1367">
      <c r="A1367" s="1">
        <f>HYPERLINK("https://eurofarma-latam-crm.veevavault.com/#object/account__v/V4TZ000018NXPWE", "Estevao Romano")</f>
        <v/>
      </c>
      <c r="B1367" s="1">
        <f>HYPERLINK("https://eurofarma-latam-crm.veevavault.com/#object/account__v/V4TZ000018NXPWE", "Estevao Padilha Romano")</f>
        <v/>
      </c>
      <c r="C1367" t="inlineStr">
        <is>
          <t>RJ0533781,SP0101275</t>
        </is>
      </c>
      <c r="D1367" t="inlineStr">
        <is>
          <t>ORT</t>
        </is>
      </c>
      <c r="E1367" t="inlineStr">
        <is>
          <t>Rua Governador Valadares, 197 - Sala 01</t>
        </is>
      </c>
      <c r="F1367" t="inlineStr">
        <is>
          <t>São Cristóvão</t>
        </is>
      </c>
      <c r="G1367" t="inlineStr">
        <is>
          <t>Cabo Frio</t>
        </is>
      </c>
      <c r="H1367" t="inlineStr">
        <is>
          <t>RJ</t>
        </is>
      </c>
      <c r="I1367" t="n">
        <v>7741</v>
      </c>
      <c r="J1367" t="inlineStr">
        <is>
          <t>CAT 2</t>
        </is>
      </c>
      <c r="K1367" t="inlineStr">
        <is>
          <t>Sim</t>
        </is>
      </c>
    </row>
    <row r="1368">
      <c r="A1368" s="1">
        <f>HYPERLINK("https://eurofarma-latam-crm.veevavault.com/#object/account__v/V4TZ000018NXT70", "Eyko Deguchi")</f>
        <v/>
      </c>
      <c r="B1368" s="1">
        <f>HYPERLINK("https://eurofarma-latam-crm.veevavault.com/#object/account__v/V4TZ000018NXT70", "Eyko Deguchi")</f>
        <v/>
      </c>
      <c r="C1368" t="inlineStr">
        <is>
          <t>ES0017890,RJ0615708</t>
        </is>
      </c>
      <c r="D1368" t="inlineStr">
        <is>
          <t>END</t>
        </is>
      </c>
      <c r="E1368" t="inlineStr">
        <is>
          <t>Avenida Teixeira e Souza, 199 - Sala 209</t>
        </is>
      </c>
      <c r="F1368" t="inlineStr">
        <is>
          <t>Centro</t>
        </is>
      </c>
      <c r="G1368" t="inlineStr">
        <is>
          <t>Cabo Frio</t>
        </is>
      </c>
      <c r="H1368" t="inlineStr">
        <is>
          <t>RJ</t>
        </is>
      </c>
      <c r="I1368" t="n">
        <v>7741</v>
      </c>
      <c r="J1368" t="inlineStr">
        <is>
          <t>CAT 3</t>
        </is>
      </c>
      <c r="K1368" t="inlineStr">
        <is>
          <t>Sim</t>
        </is>
      </c>
    </row>
    <row r="1369">
      <c r="A1369" s="1">
        <f>HYPERLINK("https://eurofarma-latam-crm.veevavault.com/#object/account__v/V4TZ00001913619", "Fabiano Simoes")</f>
        <v/>
      </c>
      <c r="B1369" s="1">
        <f>HYPERLINK("https://eurofarma-latam-crm.veevavault.com/#object/account__v/V4TZ00001913619", "Fabiano Brant Simoes")</f>
        <v/>
      </c>
      <c r="C1369" t="inlineStr">
        <is>
          <t>MG0050193,RJ1367613</t>
        </is>
      </c>
      <c r="D1369" t="inlineStr">
        <is>
          <t>CLG / PA</t>
        </is>
      </c>
      <c r="E1369" t="inlineStr">
        <is>
          <t>Rua Prefeito Waldir da Silva Lobo, 2</t>
        </is>
      </c>
      <c r="F1369" t="inlineStr">
        <is>
          <t>Morro do Milagre</t>
        </is>
      </c>
      <c r="G1369" t="inlineStr">
        <is>
          <t>São Pedro da Aldeia</t>
        </is>
      </c>
      <c r="H1369" t="inlineStr">
        <is>
          <t>RJ</t>
        </is>
      </c>
      <c r="I1369" t="n">
        <v>7741</v>
      </c>
      <c r="J1369" t="inlineStr">
        <is>
          <t>CAT 3</t>
        </is>
      </c>
      <c r="K1369" t="inlineStr">
        <is>
          <t>Sim</t>
        </is>
      </c>
    </row>
    <row r="1370">
      <c r="A1370" s="1">
        <f>HYPERLINK("https://eurofarma-latam-crm.veevavault.com/#object/account__v/V4TZ00001915PJ7", "Fabio Vieira")</f>
        <v/>
      </c>
      <c r="B1370" s="1">
        <f>HYPERLINK("https://eurofarma-latam-crm.veevavault.com/#object/account__v/V4TZ00001915PJ7", "Fabio Calil Vieira")</f>
        <v/>
      </c>
      <c r="C1370" t="inlineStr">
        <is>
          <t>RJ0713961</t>
        </is>
      </c>
      <c r="D1370" t="inlineStr">
        <is>
          <t>CLG</t>
        </is>
      </c>
      <c r="E1370" t="inlineStr">
        <is>
          <t>Praça da República, 45</t>
        </is>
      </c>
      <c r="F1370" t="inlineStr">
        <is>
          <t>Centro</t>
        </is>
      </c>
      <c r="G1370" t="inlineStr">
        <is>
          <t>Rio de Janeiro</t>
        </is>
      </c>
      <c r="H1370" t="inlineStr">
        <is>
          <t>RJ</t>
        </is>
      </c>
      <c r="I1370" t="n">
        <v>7741</v>
      </c>
      <c r="J1370" t="inlineStr">
        <is>
          <t>CAT 4</t>
        </is>
      </c>
      <c r="K1370" t="inlineStr">
        <is>
          <t>Sim</t>
        </is>
      </c>
    </row>
    <row r="1371">
      <c r="A1371" s="1">
        <f>HYPERLINK("https://eurofarma-latam-crm.veevavault.com/#object/account__v/V4TZ00001913F4K", "Felipe Oliveira")</f>
        <v/>
      </c>
      <c r="B1371" s="1">
        <f>HYPERLINK("https://eurofarma-latam-crm.veevavault.com/#object/account__v/V4TZ00001913F4K", "Felipe Ramos Oliveira")</f>
        <v/>
      </c>
      <c r="C1371" t="inlineStr">
        <is>
          <t>RJ0887455</t>
        </is>
      </c>
      <c r="D1371" t="inlineStr">
        <is>
          <t>CLG</t>
        </is>
      </c>
      <c r="E1371" t="inlineStr">
        <is>
          <t>Rua Governador Valadares, 22</t>
        </is>
      </c>
      <c r="F1371" t="inlineStr">
        <is>
          <t>São Cristóvão</t>
        </is>
      </c>
      <c r="G1371" t="inlineStr">
        <is>
          <t>Cabo Frio</t>
        </is>
      </c>
      <c r="H1371" t="inlineStr">
        <is>
          <t>RJ</t>
        </is>
      </c>
      <c r="I1371" t="n">
        <v>7741</v>
      </c>
      <c r="J1371" t="inlineStr">
        <is>
          <t>CAT 4</t>
        </is>
      </c>
      <c r="K1371" t="inlineStr">
        <is>
          <t>Sim</t>
        </is>
      </c>
    </row>
    <row r="1372">
      <c r="A1372" s="1">
        <f>HYPERLINK("https://eurofarma-latam-crm.veevavault.com/#object/account__v/V4TZ00001915D92", "Felipe Pimentel")</f>
        <v/>
      </c>
      <c r="B1372" s="1">
        <f>HYPERLINK("https://eurofarma-latam-crm.veevavault.com/#object/account__v/V4TZ00001915D92", "Felipe Vasconcelos Pimentel")</f>
        <v/>
      </c>
      <c r="C1372" t="inlineStr">
        <is>
          <t>RJ1249290</t>
        </is>
      </c>
      <c r="D1372" t="inlineStr">
        <is>
          <t>CLG / PA</t>
        </is>
      </c>
      <c r="E1372" t="inlineStr">
        <is>
          <t>Rua Vítor Rocha, 410</t>
        </is>
      </c>
      <c r="F1372" t="inlineStr">
        <is>
          <t>Parque Burle</t>
        </is>
      </c>
      <c r="G1372" t="inlineStr">
        <is>
          <t>Cabo Frio</t>
        </is>
      </c>
      <c r="H1372" t="inlineStr">
        <is>
          <t>RJ</t>
        </is>
      </c>
      <c r="I1372" t="n">
        <v>7741</v>
      </c>
      <c r="J1372" t="inlineStr">
        <is>
          <t>CAT 5</t>
        </is>
      </c>
      <c r="K1372" t="inlineStr">
        <is>
          <t>N�o</t>
        </is>
      </c>
    </row>
    <row r="1373">
      <c r="A1373" s="1">
        <f>HYPERLINK("https://eurofarma-latam-crm.veevavault.com/#object/account__v/V4TZ04ASGMOLGNP", "Fernanda Costa")</f>
        <v/>
      </c>
      <c r="B1373" s="1">
        <f>HYPERLINK("https://eurofarma-latam-crm.veevavault.com/#object/account__v/V4TZ04ASGMOLGNP", "Fernanda Valentim Costa")</f>
        <v/>
      </c>
      <c r="C1373" t="inlineStr">
        <is>
          <t>RJ1322001</t>
        </is>
      </c>
      <c r="D1373" t="inlineStr">
        <is>
          <t>PED</t>
        </is>
      </c>
      <c r="E1373" t="inlineStr">
        <is>
          <t>Avenida Amaral Peixoto, S/N - KM 136</t>
        </is>
      </c>
      <c r="F1373" t="inlineStr">
        <is>
          <t>Vista Alegre (Tamoios)</t>
        </is>
      </c>
      <c r="G1373" t="inlineStr">
        <is>
          <t>Cabo Frio</t>
        </is>
      </c>
      <c r="H1373" t="inlineStr">
        <is>
          <t>RJ</t>
        </is>
      </c>
      <c r="I1373" t="n">
        <v>7741</v>
      </c>
      <c r="J1373" t="inlineStr">
        <is>
          <t>CAT 5</t>
        </is>
      </c>
      <c r="K1373" t="inlineStr">
        <is>
          <t>Sim</t>
        </is>
      </c>
    </row>
    <row r="1374">
      <c r="A1374" s="1">
        <f>HYPERLINK("https://eurofarma-latam-crm.veevavault.com/#object/account__v/V4TZ00001914BLY", "Fernanda Pires")</f>
        <v/>
      </c>
      <c r="B1374" s="1">
        <f>HYPERLINK("https://eurofarma-latam-crm.veevavault.com/#object/account__v/V4TZ00001914BLY", "Fernanda Löwen Pires")</f>
        <v/>
      </c>
      <c r="C1374" t="inlineStr">
        <is>
          <t>RJ0908436</t>
        </is>
      </c>
      <c r="D1374" t="inlineStr">
        <is>
          <t>PED</t>
        </is>
      </c>
      <c r="E1374" t="inlineStr">
        <is>
          <t>Avenida Getulio Vargas, S/N</t>
        </is>
      </c>
      <c r="F1374" t="inlineStr">
        <is>
          <t>Canaã</t>
        </is>
      </c>
      <c r="G1374" t="inlineStr">
        <is>
          <t>Arraial do Cabo</t>
        </is>
      </c>
      <c r="H1374" t="inlineStr">
        <is>
          <t>RJ</t>
        </is>
      </c>
      <c r="I1374" t="n">
        <v>7741</v>
      </c>
      <c r="J1374" t="inlineStr">
        <is>
          <t>CAT 5</t>
        </is>
      </c>
      <c r="K1374" t="inlineStr">
        <is>
          <t>Sim</t>
        </is>
      </c>
    </row>
    <row r="1375">
      <c r="A1375" s="1">
        <f>HYPERLINK("https://eurofarma-latam-crm.veevavault.com/#object/account__v/V4TZ00001914OBN", "Fernanda Tatsch")</f>
        <v/>
      </c>
      <c r="B1375" s="1">
        <f>HYPERLINK("https://eurofarma-latam-crm.veevavault.com/#object/account__v/V4TZ00001914OBN", "Fernanda Tardelli Sanchez Tatsch")</f>
        <v/>
      </c>
      <c r="C1375" t="inlineStr">
        <is>
          <t>RJ1024310</t>
        </is>
      </c>
      <c r="D1375" t="inlineStr">
        <is>
          <t>CLG</t>
        </is>
      </c>
      <c r="E1375" t="inlineStr">
        <is>
          <t>Rua Epaminondas Pereira Nunes, 11 - Andar 2 Lote 14 Esquina Rua Manoel Aranha</t>
        </is>
      </c>
      <c r="F1375" t="inlineStr">
        <is>
          <t>Centro</t>
        </is>
      </c>
      <c r="G1375" t="inlineStr">
        <is>
          <t>São Pedro da Aldeia</t>
        </is>
      </c>
      <c r="H1375" t="inlineStr">
        <is>
          <t>RJ</t>
        </is>
      </c>
      <c r="I1375" t="n">
        <v>7741</v>
      </c>
      <c r="J1375" t="inlineStr">
        <is>
          <t>CAT 4</t>
        </is>
      </c>
      <c r="K1375" t="inlineStr">
        <is>
          <t>Sim</t>
        </is>
      </c>
    </row>
    <row r="1376">
      <c r="A1376" s="1">
        <f>HYPERLINK("https://eurofarma-latam-crm.veevavault.com/#object/account__v/V4TZ00001915ABS", "Fernando de Barros")</f>
        <v/>
      </c>
      <c r="B1376" s="1">
        <f>HYPERLINK("https://eurofarma-latam-crm.veevavault.com/#object/account__v/V4TZ00001915ABS", "Fernando Franco de Barros")</f>
        <v/>
      </c>
      <c r="C1376" t="inlineStr">
        <is>
          <t>RJ0662682</t>
        </is>
      </c>
      <c r="D1376" t="inlineStr">
        <is>
          <t>CLG / PA</t>
        </is>
      </c>
      <c r="E1376" t="inlineStr">
        <is>
          <t>Rua Marquês de Olinda, 110</t>
        </is>
      </c>
      <c r="F1376" t="inlineStr">
        <is>
          <t>São Cristóvão</t>
        </is>
      </c>
      <c r="G1376" t="inlineStr">
        <is>
          <t>Cabo Frio</t>
        </is>
      </c>
      <c r="H1376" t="inlineStr">
        <is>
          <t>RJ</t>
        </is>
      </c>
      <c r="I1376" t="n">
        <v>7741</v>
      </c>
      <c r="J1376" t="inlineStr">
        <is>
          <t>CAT 5</t>
        </is>
      </c>
      <c r="K1376" t="inlineStr">
        <is>
          <t>Sim</t>
        </is>
      </c>
    </row>
    <row r="1377">
      <c r="A1377" s="1">
        <f>HYPERLINK("https://eurofarma-latam-crm.veevavault.com/#object/account__v/V4TZ00001914MYH", "Flavio Luiz Martins")</f>
        <v/>
      </c>
      <c r="B1377" s="1">
        <f>HYPERLINK("https://eurofarma-latam-crm.veevavault.com/#object/account__v/V4TZ00001914MYH", "Flavio Luiz Oliveira Martins")</f>
        <v/>
      </c>
      <c r="C1377" t="inlineStr">
        <is>
          <t>RJ0403756</t>
        </is>
      </c>
      <c r="D1377" t="inlineStr">
        <is>
          <t>ORL</t>
        </is>
      </c>
      <c r="E1377" t="inlineStr">
        <is>
          <t>Rua Manoel José de Carvalho, 97</t>
        </is>
      </c>
      <c r="F1377" t="inlineStr">
        <is>
          <t>São Cristóvão</t>
        </is>
      </c>
      <c r="G1377" t="inlineStr">
        <is>
          <t>Cabo Frio</t>
        </is>
      </c>
      <c r="H1377" t="inlineStr">
        <is>
          <t>RJ</t>
        </is>
      </c>
      <c r="I1377" t="n">
        <v>7741</v>
      </c>
      <c r="J1377" t="inlineStr">
        <is>
          <t>CAT 3</t>
        </is>
      </c>
      <c r="K1377" t="inlineStr">
        <is>
          <t>Sim</t>
        </is>
      </c>
    </row>
    <row r="1378">
      <c r="A1378" s="1">
        <f>HYPERLINK("https://eurofarma-latam-crm.veevavault.com/#object/account__v/V4TZ000019147PE", "Flavio Silva")</f>
        <v/>
      </c>
      <c r="B1378" s="1">
        <f>HYPERLINK("https://eurofarma-latam-crm.veevavault.com/#object/account__v/V4TZ000019147PE", "Flavio de Carvalho Silva")</f>
        <v/>
      </c>
      <c r="C1378" t="inlineStr">
        <is>
          <t>RJ0730459</t>
        </is>
      </c>
      <c r="D1378" t="inlineStr">
        <is>
          <t>ORT</t>
        </is>
      </c>
      <c r="E1378" t="inlineStr">
        <is>
          <t>Rua Barão do Rio Branco, 55 - 4 Andar Sala 401</t>
        </is>
      </c>
      <c r="F1378" t="inlineStr">
        <is>
          <t>Passagem</t>
        </is>
      </c>
      <c r="G1378" t="inlineStr">
        <is>
          <t>Cabo Frio</t>
        </is>
      </c>
      <c r="H1378" t="inlineStr">
        <is>
          <t>RJ</t>
        </is>
      </c>
      <c r="I1378" t="n">
        <v>7741</v>
      </c>
      <c r="J1378" t="inlineStr">
        <is>
          <t>CAT 4</t>
        </is>
      </c>
      <c r="K1378" t="inlineStr">
        <is>
          <t>Sim</t>
        </is>
      </c>
    </row>
    <row r="1379">
      <c r="A1379" s="1">
        <f>HYPERLINK("https://eurofarma-latam-crm.veevavault.com/#object/account__v/V4TZ000019147WA", "Francis Mello")</f>
        <v/>
      </c>
      <c r="B1379" s="1">
        <f>HYPERLINK("https://eurofarma-latam-crm.veevavault.com/#object/account__v/V4TZ000019147WA", "Francis Machado da Silva Mello")</f>
        <v/>
      </c>
      <c r="C1379" t="inlineStr">
        <is>
          <t>RJ0704172</t>
        </is>
      </c>
      <c r="D1379" t="inlineStr">
        <is>
          <t>ORT</t>
        </is>
      </c>
      <c r="E1379" t="inlineStr">
        <is>
          <t>Estrada de Antenor Cardoso da Fonseca, S/N</t>
        </is>
      </c>
      <c r="F1379" t="inlineStr">
        <is>
          <t>Porto do Carro</t>
        </is>
      </c>
      <c r="G1379" t="inlineStr">
        <is>
          <t>Cabo Frio</t>
        </is>
      </c>
      <c r="H1379" t="inlineStr">
        <is>
          <t>RJ</t>
        </is>
      </c>
      <c r="I1379" t="n">
        <v>7741</v>
      </c>
      <c r="J1379" t="inlineStr">
        <is>
          <t>CAT 5</t>
        </is>
      </c>
      <c r="K1379" t="inlineStr">
        <is>
          <t>N�o</t>
        </is>
      </c>
    </row>
    <row r="1380">
      <c r="A1380" s="1">
        <f>HYPERLINK("https://eurofarma-latam-crm.veevavault.com/#object/account__v/V4TZ000018NY612", "Francisco Carlos da Silva")</f>
        <v/>
      </c>
      <c r="B1380" s="1">
        <f>HYPERLINK("https://eurofarma-latam-crm.veevavault.com/#object/account__v/V4TZ000018NY612", "Francisco Carlos Rodrigues da Silva")</f>
        <v/>
      </c>
      <c r="C1380" t="inlineStr">
        <is>
          <t>RJ0375643</t>
        </is>
      </c>
      <c r="D1380" t="inlineStr">
        <is>
          <t>PSQ</t>
        </is>
      </c>
      <c r="E1380" t="inlineStr">
        <is>
          <t>Rua Andira, 122</t>
        </is>
      </c>
      <c r="F1380" t="inlineStr">
        <is>
          <t>Vila Verde</t>
        </is>
      </c>
      <c r="G1380" t="inlineStr">
        <is>
          <t>Armação dos Búzios</t>
        </is>
      </c>
      <c r="H1380" t="inlineStr">
        <is>
          <t>RJ</t>
        </is>
      </c>
      <c r="I1380" t="n">
        <v>7741</v>
      </c>
      <c r="J1380" t="inlineStr">
        <is>
          <t>CAT 3</t>
        </is>
      </c>
      <c r="K1380" t="inlineStr">
        <is>
          <t>Sim</t>
        </is>
      </c>
    </row>
    <row r="1381">
      <c r="A1381" s="1">
        <f>HYPERLINK("https://eurofarma-latam-crm.veevavault.com/#object/account__v/V4TZ000018NXVIR", "Frederico de Oliveira")</f>
        <v/>
      </c>
      <c r="B1381" s="1">
        <f>HYPERLINK("https://eurofarma-latam-crm.veevavault.com/#object/account__v/V4TZ000018NXVIR", "Frederico Vieira de Oliveira")</f>
        <v/>
      </c>
      <c r="C1381" t="inlineStr">
        <is>
          <t>RJ0923176</t>
        </is>
      </c>
      <c r="D1381" t="inlineStr">
        <is>
          <t>ORL</t>
        </is>
      </c>
      <c r="E1381" t="inlineStr">
        <is>
          <t>Rodovia Márcio Corrêa, S/N - Quadraa Lote 1 Loja 1</t>
        </is>
      </c>
      <c r="F1381" t="inlineStr">
        <is>
          <t>Ponta do Ambrósio</t>
        </is>
      </c>
      <c r="G1381" t="inlineStr">
        <is>
          <t>São Pedro da Aldeia</t>
        </is>
      </c>
      <c r="H1381" t="inlineStr">
        <is>
          <t>RJ</t>
        </is>
      </c>
      <c r="I1381" t="n">
        <v>7741</v>
      </c>
      <c r="J1381" t="inlineStr">
        <is>
          <t>CAT 3</t>
        </is>
      </c>
      <c r="K1381" t="inlineStr">
        <is>
          <t>Sim</t>
        </is>
      </c>
    </row>
    <row r="1382">
      <c r="A1382" s="1">
        <f>HYPERLINK("https://eurofarma-latam-crm.veevavault.com/#object/account__v/V4TZ0000191N9AA", "Frederico Pessanha")</f>
        <v/>
      </c>
      <c r="B1382" s="1">
        <f>HYPERLINK("https://eurofarma-latam-crm.veevavault.com/#object/account__v/V4TZ0000191N9AA", "Frederico Miranda Pessanha")</f>
        <v/>
      </c>
      <c r="C1382" t="inlineStr">
        <is>
          <t>RJ1278088</t>
        </is>
      </c>
      <c r="D1382" t="inlineStr">
        <is>
          <t>PED</t>
        </is>
      </c>
      <c r="E1382" t="inlineStr">
        <is>
          <t>Rua Florisbela Rosa da Penha, S/N</t>
        </is>
      </c>
      <c r="F1382" t="inlineStr">
        <is>
          <t>Braga</t>
        </is>
      </c>
      <c r="G1382" t="inlineStr">
        <is>
          <t>Cabo Frio</t>
        </is>
      </c>
      <c r="H1382" t="inlineStr">
        <is>
          <t>RJ</t>
        </is>
      </c>
      <c r="I1382" t="n">
        <v>7741</v>
      </c>
      <c r="J1382" t="inlineStr">
        <is>
          <t>CAT 4</t>
        </is>
      </c>
      <c r="K1382" t="inlineStr">
        <is>
          <t>Sim</t>
        </is>
      </c>
    </row>
    <row r="1383">
      <c r="A1383" s="1">
        <f>HYPERLINK("https://eurofarma-latam-crm.veevavault.com/#object/account__v/V4TZ025E8AK1DR0", "Gabriel Alves")</f>
        <v/>
      </c>
      <c r="B1383" s="1">
        <f>HYPERLINK("https://eurofarma-latam-crm.veevavault.com/#object/account__v/V4TZ025E8AK1DR0", "Gabriel Moraes Nunes Alves")</f>
        <v/>
      </c>
      <c r="C1383" t="inlineStr">
        <is>
          <t>RJ1332716</t>
        </is>
      </c>
      <c r="D1383" t="inlineStr">
        <is>
          <t>CLG / PA</t>
        </is>
      </c>
      <c r="E1383" t="inlineStr">
        <is>
          <t>Estrada do Porto, S/N - Casa</t>
        </is>
      </c>
      <c r="F1383" t="inlineStr">
        <is>
          <t>Centro</t>
        </is>
      </c>
      <c r="G1383" t="inlineStr">
        <is>
          <t>São Pedro da Aldeia</t>
        </is>
      </c>
      <c r="H1383" t="inlineStr">
        <is>
          <t>RJ</t>
        </is>
      </c>
      <c r="I1383" t="n">
        <v>7741</v>
      </c>
      <c r="J1383" t="inlineStr">
        <is>
          <t>CAT 4</t>
        </is>
      </c>
      <c r="K1383" t="inlineStr">
        <is>
          <t>Sim</t>
        </is>
      </c>
    </row>
    <row r="1384">
      <c r="A1384" s="1">
        <f>HYPERLINK("https://eurofarma-latam-crm.veevavault.com/#object/account__v/V4TZ025E8EM650M", "Gabriel Barbosa")</f>
        <v/>
      </c>
      <c r="B1384" s="1">
        <f>HYPERLINK("https://eurofarma-latam-crm.veevavault.com/#object/account__v/V4TZ025E8EM650M", "Gabriel Marcelino Barbosa")</f>
        <v/>
      </c>
      <c r="C1384" t="inlineStr">
        <is>
          <t>RJ1386849</t>
        </is>
      </c>
      <c r="D1384" t="inlineStr">
        <is>
          <t>CLG / PA</t>
        </is>
      </c>
      <c r="E1384" t="inlineStr">
        <is>
          <t>Rua Pastor Luiz Laurentino, 1292</t>
        </is>
      </c>
      <c r="F1384" t="inlineStr">
        <is>
          <t>Centro</t>
        </is>
      </c>
      <c r="G1384" t="inlineStr">
        <is>
          <t>Casimiro de Abreu</t>
        </is>
      </c>
      <c r="H1384" t="inlineStr">
        <is>
          <t>RJ</t>
        </is>
      </c>
      <c r="I1384" t="n">
        <v>7741</v>
      </c>
      <c r="J1384" t="inlineStr"/>
      <c r="K1384" t="inlineStr"/>
    </row>
    <row r="1385">
      <c r="A1385" s="1">
        <f>HYPERLINK("https://eurofarma-latam-crm.veevavault.com/#object/account__v/V4TZ025E85RWSTO", "Gabriel Viana")</f>
        <v/>
      </c>
      <c r="B1385" s="1">
        <f>HYPERLINK("https://eurofarma-latam-crm.veevavault.com/#object/account__v/V4TZ025E85RWSTO", "Gabriel Morais Carvalho Viana")</f>
        <v/>
      </c>
      <c r="C1385" t="inlineStr">
        <is>
          <t>RJ1308912</t>
        </is>
      </c>
      <c r="D1385" t="inlineStr">
        <is>
          <t>CLG / PA</t>
        </is>
      </c>
      <c r="E1385" t="inlineStr">
        <is>
          <t>Rua Saldanha Marinho, 59</t>
        </is>
      </c>
      <c r="F1385" t="inlineStr">
        <is>
          <t>Centro</t>
        </is>
      </c>
      <c r="G1385" t="inlineStr">
        <is>
          <t>Campos dos Goytacazes</t>
        </is>
      </c>
      <c r="H1385" t="inlineStr">
        <is>
          <t>RJ</t>
        </is>
      </c>
      <c r="I1385" t="n">
        <v>7741</v>
      </c>
      <c r="J1385" t="inlineStr"/>
      <c r="K1385" t="inlineStr"/>
    </row>
    <row r="1386">
      <c r="A1386" s="1">
        <f>HYPERLINK("https://eurofarma-latam-crm.veevavault.com/#object/account__v/V4TZ0000191FSQZ", "Gabriela Nogueira")</f>
        <v/>
      </c>
      <c r="B1386" s="1">
        <f>HYPERLINK("https://eurofarma-latam-crm.veevavault.com/#object/account__v/V4TZ0000191FSQZ", "Gabriela Santos Magalhães Nogueira")</f>
        <v/>
      </c>
      <c r="C1386" t="inlineStr">
        <is>
          <t>RJ0918920</t>
        </is>
      </c>
      <c r="D1386" t="inlineStr">
        <is>
          <t>PED</t>
        </is>
      </c>
      <c r="E1386" t="inlineStr">
        <is>
          <t>Rua Adelir Novelino Marques, 8</t>
        </is>
      </c>
      <c r="F1386" t="inlineStr">
        <is>
          <t>São Bento</t>
        </is>
      </c>
      <c r="G1386" t="inlineStr">
        <is>
          <t>Cabo Frio</t>
        </is>
      </c>
      <c r="H1386" t="inlineStr">
        <is>
          <t>RJ</t>
        </is>
      </c>
      <c r="I1386" t="n">
        <v>7741</v>
      </c>
      <c r="J1386" t="inlineStr">
        <is>
          <t>CAT 5</t>
        </is>
      </c>
      <c r="K1386" t="inlineStr">
        <is>
          <t>Sim</t>
        </is>
      </c>
    </row>
    <row r="1387">
      <c r="A1387" s="1">
        <f>HYPERLINK("https://eurofarma-latam-crm.veevavault.com/#object/account__v/V4TZ025E8AU6Q53", "Geanne Lemos")</f>
        <v/>
      </c>
      <c r="B1387" s="1">
        <f>HYPERLINK("https://eurofarma-latam-crm.veevavault.com/#object/account__v/V4TZ025E8AU6Q53", "Geanne de Almeida e Silva Lemos")</f>
        <v/>
      </c>
      <c r="C1387" t="inlineStr">
        <is>
          <t>RJ1327194</t>
        </is>
      </c>
      <c r="D1387" t="inlineStr">
        <is>
          <t>PED</t>
        </is>
      </c>
      <c r="E1387" t="inlineStr">
        <is>
          <t>Parque Poeta Manuel Bandeira, S/N</t>
        </is>
      </c>
      <c r="F1387" t="inlineStr">
        <is>
          <t>Cocotá</t>
        </is>
      </c>
      <c r="G1387" t="inlineStr">
        <is>
          <t>Rio de Janeiro</t>
        </is>
      </c>
      <c r="H1387" t="inlineStr">
        <is>
          <t>RJ</t>
        </is>
      </c>
      <c r="I1387" t="n">
        <v>7741</v>
      </c>
      <c r="J1387" t="inlineStr">
        <is>
          <t>CAT 4</t>
        </is>
      </c>
      <c r="K1387" t="inlineStr">
        <is>
          <t>Sim</t>
        </is>
      </c>
    </row>
    <row r="1388">
      <c r="A1388" s="1">
        <f>HYPERLINK("https://eurofarma-latam-crm.veevavault.com/#object/account__v/V4TZ000018NYX5X", "Gerson Kirk")</f>
        <v/>
      </c>
      <c r="B1388" s="1">
        <f>HYPERLINK("https://eurofarma-latam-crm.veevavault.com/#object/account__v/V4TZ000018NYX5X", "Gerson Ferreira Kirk")</f>
        <v/>
      </c>
      <c r="C1388" t="inlineStr">
        <is>
          <t>RJ0332510</t>
        </is>
      </c>
      <c r="D1388" t="inlineStr">
        <is>
          <t>PED</t>
        </is>
      </c>
      <c r="E1388" t="inlineStr">
        <is>
          <t>Praça Edyla Pinheiro, 61</t>
        </is>
      </c>
      <c r="F1388" t="inlineStr">
        <is>
          <t>Centro</t>
        </is>
      </c>
      <c r="G1388" t="inlineStr">
        <is>
          <t>Iguaba Grande</t>
        </is>
      </c>
      <c r="H1388" t="inlineStr">
        <is>
          <t>RJ</t>
        </is>
      </c>
      <c r="I1388" t="n">
        <v>7741</v>
      </c>
      <c r="J1388" t="inlineStr">
        <is>
          <t>CAT 5</t>
        </is>
      </c>
      <c r="K1388" t="inlineStr">
        <is>
          <t>Sim</t>
        </is>
      </c>
    </row>
    <row r="1389">
      <c r="A1389" s="1">
        <f>HYPERLINK("https://eurofarma-latam-crm.veevavault.com/#object/account__v/V4TZ00001915NV9", "Gisele Borges")</f>
        <v/>
      </c>
      <c r="B1389" s="1">
        <f>HYPERLINK("https://eurofarma-latam-crm.veevavault.com/#object/account__v/V4TZ00001915NV9", "Gisele Valadão Borges")</f>
        <v/>
      </c>
      <c r="C1389" t="inlineStr">
        <is>
          <t>RJ0712264</t>
        </is>
      </c>
      <c r="D1389" t="inlineStr">
        <is>
          <t>CLG / END</t>
        </is>
      </c>
      <c r="E1389" t="inlineStr">
        <is>
          <t>Rua Antônio Benedito Siqueira, 387</t>
        </is>
      </c>
      <c r="F1389" t="inlineStr">
        <is>
          <t>Centro</t>
        </is>
      </c>
      <c r="G1389" t="inlineStr">
        <is>
          <t>São Pedro da Aldeia</t>
        </is>
      </c>
      <c r="H1389" t="inlineStr">
        <is>
          <t>RJ</t>
        </is>
      </c>
      <c r="I1389" t="n">
        <v>7741</v>
      </c>
      <c r="J1389" t="inlineStr">
        <is>
          <t>CAT 3</t>
        </is>
      </c>
      <c r="K1389" t="inlineStr">
        <is>
          <t>Sim</t>
        </is>
      </c>
    </row>
    <row r="1390">
      <c r="A1390" s="1">
        <f>HYPERLINK("https://eurofarma-latam-crm.veevavault.com/#object/account__v/V4TZ025E837ZK9D", "Gisele Soares")</f>
        <v/>
      </c>
      <c r="B1390" s="1">
        <f>HYPERLINK("https://eurofarma-latam-crm.veevavault.com/#object/account__v/V4TZ025E837ZK9D", "Gisele Aparecida Soares")</f>
        <v/>
      </c>
      <c r="C1390" t="inlineStr">
        <is>
          <t>MG0111498,RJ1177303</t>
        </is>
      </c>
      <c r="D1390" t="inlineStr">
        <is>
          <t>PSQ</t>
        </is>
      </c>
      <c r="E1390" t="inlineStr">
        <is>
          <t>Rua Lamas Rabello, S/N</t>
        </is>
      </c>
      <c r="F1390" t="inlineStr">
        <is>
          <t>Parque Mataruna</t>
        </is>
      </c>
      <c r="G1390" t="inlineStr">
        <is>
          <t>Araruama</t>
        </is>
      </c>
      <c r="H1390" t="inlineStr">
        <is>
          <t>RJ</t>
        </is>
      </c>
      <c r="I1390" t="n">
        <v>7741</v>
      </c>
      <c r="J1390" t="inlineStr">
        <is>
          <t>CAT 2</t>
        </is>
      </c>
      <c r="K1390" t="inlineStr">
        <is>
          <t>Sim</t>
        </is>
      </c>
    </row>
    <row r="1391">
      <c r="A1391" s="1">
        <f>HYPERLINK("https://eurofarma-latam-crm.veevavault.com/#object/account__v/V4TZ00001915WRX", "Giselle Torres")</f>
        <v/>
      </c>
      <c r="B1391" s="1">
        <f>HYPERLINK("https://eurofarma-latam-crm.veevavault.com/#object/account__v/V4TZ00001915WRX", "Giselle Vieira de Resende Torres")</f>
        <v/>
      </c>
      <c r="C1391" t="inlineStr">
        <is>
          <t>RJ0757055</t>
        </is>
      </c>
      <c r="D1391" t="inlineStr">
        <is>
          <t>CLG / END</t>
        </is>
      </c>
      <c r="E1391" t="inlineStr">
        <is>
          <t>Rua Florisbela Rosa da Penha, S/N</t>
        </is>
      </c>
      <c r="F1391" t="inlineStr">
        <is>
          <t>Braga</t>
        </is>
      </c>
      <c r="G1391" t="inlineStr">
        <is>
          <t>Cabo Frio</t>
        </is>
      </c>
      <c r="H1391" t="inlineStr">
        <is>
          <t>RJ</t>
        </is>
      </c>
      <c r="I1391" t="n">
        <v>7741</v>
      </c>
      <c r="J1391" t="inlineStr">
        <is>
          <t>CAT 5</t>
        </is>
      </c>
      <c r="K1391" t="inlineStr">
        <is>
          <t>N�o</t>
        </is>
      </c>
    </row>
    <row r="1392">
      <c r="A1392" s="1">
        <f>HYPERLINK("https://eurofarma-latam-crm.veevavault.com/#object/account__v/V4TZ00001915AYF", "Gisélli Vidal")</f>
        <v/>
      </c>
      <c r="B1392" s="1">
        <f>HYPERLINK("https://eurofarma-latam-crm.veevavault.com/#object/account__v/V4TZ00001915AYF", "Gisélli Vieira Vidal")</f>
        <v/>
      </c>
      <c r="C1392" t="inlineStr">
        <is>
          <t>RJ0586576</t>
        </is>
      </c>
      <c r="D1392" t="inlineStr">
        <is>
          <t>CLG / END</t>
        </is>
      </c>
      <c r="E1392" t="inlineStr">
        <is>
          <t>Estrada de Búzios, S/N</t>
        </is>
      </c>
      <c r="F1392" t="inlineStr">
        <is>
          <t>Maria Joaquina (Tamoios)</t>
        </is>
      </c>
      <c r="G1392" t="inlineStr">
        <is>
          <t>Cabo Frio</t>
        </is>
      </c>
      <c r="H1392" t="inlineStr">
        <is>
          <t>RJ</t>
        </is>
      </c>
      <c r="I1392" t="n">
        <v>7741</v>
      </c>
      <c r="J1392" t="inlineStr">
        <is>
          <t>CAT 5</t>
        </is>
      </c>
      <c r="K1392" t="inlineStr">
        <is>
          <t>Sim</t>
        </is>
      </c>
    </row>
    <row r="1393">
      <c r="A1393" s="1">
        <f>HYPERLINK("https://eurofarma-latam-crm.veevavault.com/#object/account__v/V4TZ00001916IA7", "Giúlia Pantalena")</f>
        <v/>
      </c>
      <c r="B1393" s="1">
        <f>HYPERLINK("https://eurofarma-latam-crm.veevavault.com/#object/account__v/V4TZ00001916IA7", "Giúlia Cordeiro Pantalena")</f>
        <v/>
      </c>
      <c r="C1393" t="inlineStr">
        <is>
          <t>RJ1135180</t>
        </is>
      </c>
      <c r="D1393" t="inlineStr">
        <is>
          <t>PED</t>
        </is>
      </c>
      <c r="E1393" t="inlineStr">
        <is>
          <t>Rua Vítor Rocha, 410</t>
        </is>
      </c>
      <c r="F1393" t="inlineStr">
        <is>
          <t>Parque Burle</t>
        </is>
      </c>
      <c r="G1393" t="inlineStr">
        <is>
          <t>Cabo Frio</t>
        </is>
      </c>
      <c r="H1393" t="inlineStr">
        <is>
          <t>RJ</t>
        </is>
      </c>
      <c r="I1393" t="n">
        <v>7741</v>
      </c>
      <c r="J1393" t="inlineStr"/>
      <c r="K1393" t="inlineStr"/>
    </row>
    <row r="1394">
      <c r="A1394" s="1">
        <f>HYPERLINK("https://eurofarma-latam-crm.veevavault.com/#object/account__v/V4TZ000019166PU", "Guilherme José Jardim")</f>
        <v/>
      </c>
      <c r="B1394" s="1">
        <f>HYPERLINK("https://eurofarma-latam-crm.veevavault.com/#object/account__v/V4TZ000019166PU", "Guilherme José Jardim")</f>
        <v/>
      </c>
      <c r="C1394" t="inlineStr">
        <is>
          <t>RJ1021001</t>
        </is>
      </c>
      <c r="D1394" t="inlineStr">
        <is>
          <t>PSQ</t>
        </is>
      </c>
      <c r="E1394" t="inlineStr">
        <is>
          <t>Rua Washington Luis, 62</t>
        </is>
      </c>
      <c r="F1394" t="inlineStr">
        <is>
          <t>Centro</t>
        </is>
      </c>
      <c r="G1394" t="inlineStr">
        <is>
          <t>Arraial do Cabo</t>
        </is>
      </c>
      <c r="H1394" t="inlineStr">
        <is>
          <t>RJ</t>
        </is>
      </c>
      <c r="I1394" t="n">
        <v>7741</v>
      </c>
      <c r="J1394" t="inlineStr">
        <is>
          <t>CAT 2</t>
        </is>
      </c>
      <c r="K1394" t="inlineStr">
        <is>
          <t>Sim</t>
        </is>
      </c>
    </row>
    <row r="1395">
      <c r="A1395" s="1">
        <f>HYPERLINK("https://eurofarma-latam-crm.veevavault.com/#object/account__v/V4TZ025E83U40HA", "Helder Grossi Filho")</f>
        <v/>
      </c>
      <c r="B1395" s="1">
        <f>HYPERLINK("https://eurofarma-latam-crm.veevavault.com/#object/account__v/V4TZ025E83U40HA", "Helder Teixeira Grossi Filho")</f>
        <v/>
      </c>
      <c r="C1395" t="inlineStr">
        <is>
          <t>RJ1245805</t>
        </is>
      </c>
      <c r="D1395" t="inlineStr">
        <is>
          <t>CLG / PA</t>
        </is>
      </c>
      <c r="E1395" t="inlineStr">
        <is>
          <t>Rua Tenente Luiz Meirelles, S/N</t>
        </is>
      </c>
      <c r="F1395" t="inlineStr">
        <is>
          <t>Várzea</t>
        </is>
      </c>
      <c r="G1395" t="inlineStr">
        <is>
          <t>Teresópolis</t>
        </is>
      </c>
      <c r="H1395" t="inlineStr">
        <is>
          <t>RJ</t>
        </is>
      </c>
      <c r="I1395" t="n">
        <v>7741</v>
      </c>
      <c r="J1395" t="inlineStr">
        <is>
          <t>CAT 5</t>
        </is>
      </c>
      <c r="K1395" t="inlineStr">
        <is>
          <t>N�o</t>
        </is>
      </c>
    </row>
    <row r="1396">
      <c r="A1396" s="1">
        <f>HYPERLINK("https://eurofarma-latam-crm.veevavault.com/#object/account__v/V4TZ00001915E33", "Helena Haiashida")</f>
        <v/>
      </c>
      <c r="B1396" s="1">
        <f>HYPERLINK("https://eurofarma-latam-crm.veevavault.com/#object/account__v/V4TZ00001915E33", "Helena Aiko Alvim Haiashida")</f>
        <v/>
      </c>
      <c r="C1396" t="inlineStr">
        <is>
          <t>RJ0482945</t>
        </is>
      </c>
      <c r="D1396" t="inlineStr">
        <is>
          <t>PED</t>
        </is>
      </c>
      <c r="E1396" t="inlineStr">
        <is>
          <t>Avenida Assunção, 360</t>
        </is>
      </c>
      <c r="F1396" t="inlineStr">
        <is>
          <t>São Bento</t>
        </is>
      </c>
      <c r="G1396" t="inlineStr">
        <is>
          <t>Cabo Frio</t>
        </is>
      </c>
      <c r="H1396" t="inlineStr">
        <is>
          <t>RJ</t>
        </is>
      </c>
      <c r="I1396" t="n">
        <v>7741</v>
      </c>
      <c r="J1396" t="inlineStr">
        <is>
          <t>CAT 5</t>
        </is>
      </c>
      <c r="K1396" t="inlineStr">
        <is>
          <t>Sim</t>
        </is>
      </c>
    </row>
    <row r="1397">
      <c r="A1397" s="1">
        <f>HYPERLINK("https://eurofarma-latam-crm.veevavault.com/#object/account__v/V4TZ000018NYSFN", "Hellen Martins")</f>
        <v/>
      </c>
      <c r="B1397" s="1">
        <f>HYPERLINK("https://eurofarma-latam-crm.veevavault.com/#object/account__v/V4TZ000018NYSFN", "Hellen de Souza Neves Martins")</f>
        <v/>
      </c>
      <c r="C1397" t="inlineStr">
        <is>
          <t>RJ1177192</t>
        </is>
      </c>
      <c r="D1397" t="inlineStr">
        <is>
          <t>CLG / PA</t>
        </is>
      </c>
      <c r="E1397" t="inlineStr">
        <is>
          <t>Estrada de Antenor Cardoso da Fonseca, S/N</t>
        </is>
      </c>
      <c r="F1397" t="inlineStr">
        <is>
          <t>Porto do Carro</t>
        </is>
      </c>
      <c r="G1397" t="inlineStr">
        <is>
          <t>Cabo Frio</t>
        </is>
      </c>
      <c r="H1397" t="inlineStr">
        <is>
          <t>RJ</t>
        </is>
      </c>
      <c r="I1397" t="n">
        <v>7741</v>
      </c>
      <c r="J1397" t="inlineStr">
        <is>
          <t>CAT 4</t>
        </is>
      </c>
      <c r="K1397" t="inlineStr">
        <is>
          <t>Sim</t>
        </is>
      </c>
    </row>
    <row r="1398">
      <c r="A1398" s="1">
        <f>HYPERLINK("https://eurofarma-latam-crm.veevavault.com/#object/account__v/V4TZ00001915JSN", "Heloá Ferreira")</f>
        <v/>
      </c>
      <c r="B1398" s="1">
        <f>HYPERLINK("https://eurofarma-latam-crm.veevavault.com/#object/account__v/V4TZ00001915JSN", "Heloá Rodrigues dos Reis Ferreira")</f>
        <v/>
      </c>
      <c r="C1398" t="inlineStr">
        <is>
          <t>RJ1252445</t>
        </is>
      </c>
      <c r="D1398" t="inlineStr">
        <is>
          <t>CLG / PA</t>
        </is>
      </c>
      <c r="E1398" t="inlineStr">
        <is>
          <t>Rua Governador Valadares, 22</t>
        </is>
      </c>
      <c r="F1398" t="inlineStr">
        <is>
          <t>São Cristóvão</t>
        </is>
      </c>
      <c r="G1398" t="inlineStr">
        <is>
          <t>Cabo Frio</t>
        </is>
      </c>
      <c r="H1398" t="inlineStr">
        <is>
          <t>RJ</t>
        </is>
      </c>
      <c r="I1398" t="n">
        <v>7741</v>
      </c>
      <c r="J1398" t="inlineStr">
        <is>
          <t>CAT 4</t>
        </is>
      </c>
      <c r="K1398" t="inlineStr">
        <is>
          <t>Sim</t>
        </is>
      </c>
    </row>
    <row r="1399">
      <c r="A1399" s="1">
        <f>HYPERLINK("https://eurofarma-latam-crm.veevavault.com/#object/account__v/V4TZ025E86K65WD", "Hiana Santos")</f>
        <v/>
      </c>
      <c r="B1399" s="1">
        <f>HYPERLINK("https://eurofarma-latam-crm.veevavault.com/#object/account__v/V4TZ025E86K65WD", "Hiana da Silva Aguiar dos Santos")</f>
        <v/>
      </c>
      <c r="C1399" t="inlineStr">
        <is>
          <t>RJ1289799</t>
        </is>
      </c>
      <c r="D1399" t="inlineStr">
        <is>
          <t>CLG / PA</t>
        </is>
      </c>
      <c r="E1399" t="inlineStr">
        <is>
          <t>Rua Pedro Luiz Souza, 108</t>
        </is>
      </c>
      <c r="F1399" t="inlineStr">
        <is>
          <t>Centro</t>
        </is>
      </c>
      <c r="G1399" t="inlineStr">
        <is>
          <t>Araruama</t>
        </is>
      </c>
      <c r="H1399" t="inlineStr">
        <is>
          <t>RJ</t>
        </is>
      </c>
      <c r="I1399" t="n">
        <v>7741</v>
      </c>
      <c r="J1399" t="inlineStr"/>
      <c r="K1399" t="inlineStr"/>
    </row>
    <row r="1400">
      <c r="A1400" s="1">
        <f>HYPERLINK("https://eurofarma-latam-crm.veevavault.com/#object/account__v/V4TZ00001914LNI", "Hildebrando Oliveira")</f>
        <v/>
      </c>
      <c r="B1400" s="1">
        <f>HYPERLINK("https://eurofarma-latam-crm.veevavault.com/#object/account__v/V4TZ00001914LNI", "Hildebrando Fernandes de Oliveira")</f>
        <v/>
      </c>
      <c r="C1400" t="inlineStr">
        <is>
          <t>RJ0622575</t>
        </is>
      </c>
      <c r="D1400" t="inlineStr">
        <is>
          <t>ORL</t>
        </is>
      </c>
      <c r="E1400" t="inlineStr">
        <is>
          <t>Estrada de Antenor Cardoso da Fonseca, S/N</t>
        </is>
      </c>
      <c r="F1400" t="inlineStr">
        <is>
          <t>Porto do Carro</t>
        </is>
      </c>
      <c r="G1400" t="inlineStr">
        <is>
          <t>Cabo Frio</t>
        </is>
      </c>
      <c r="H1400" t="inlineStr">
        <is>
          <t>RJ</t>
        </is>
      </c>
      <c r="I1400" t="n">
        <v>7741</v>
      </c>
      <c r="J1400" t="inlineStr">
        <is>
          <t>CAT 4</t>
        </is>
      </c>
      <c r="K1400" t="inlineStr">
        <is>
          <t>Sim</t>
        </is>
      </c>
    </row>
    <row r="1401">
      <c r="A1401" s="1">
        <f>HYPERLINK("https://eurofarma-latam-crm.veevavault.com/#object/account__v/V4TZ000018NZANU", "Igor Tiné")</f>
        <v/>
      </c>
      <c r="B1401" s="1">
        <f>HYPERLINK("https://eurofarma-latam-crm.veevavault.com/#object/account__v/V4TZ000018NZANU", "Igor Pontes Tiné")</f>
        <v/>
      </c>
      <c r="C1401" t="inlineStr">
        <is>
          <t>RJ1244884</t>
        </is>
      </c>
      <c r="D1401" t="inlineStr">
        <is>
          <t>CLG / PA</t>
        </is>
      </c>
      <c r="E1401" t="inlineStr">
        <is>
          <t>Avenida Getulio Vargas, S/N</t>
        </is>
      </c>
      <c r="F1401" t="inlineStr">
        <is>
          <t>Canaã</t>
        </is>
      </c>
      <c r="G1401" t="inlineStr">
        <is>
          <t>Arraial do Cabo</t>
        </is>
      </c>
      <c r="H1401" t="inlineStr">
        <is>
          <t>RJ</t>
        </is>
      </c>
      <c r="I1401" t="n">
        <v>7741</v>
      </c>
      <c r="J1401" t="inlineStr">
        <is>
          <t>CAT 5</t>
        </is>
      </c>
      <c r="K1401" t="inlineStr">
        <is>
          <t>Sim</t>
        </is>
      </c>
    </row>
    <row r="1402">
      <c r="A1402" s="1">
        <f>HYPERLINK("https://eurofarma-latam-crm.veevavault.com/#object/account__v/V4TZ000019143T8", "Isabel Correa")</f>
        <v/>
      </c>
      <c r="B1402" s="1">
        <f>HYPERLINK("https://eurofarma-latam-crm.veevavault.com/#object/account__v/V4TZ000019143T8", "Isabel Azeredo Lopes de Carvalho Correa")</f>
        <v/>
      </c>
      <c r="C1402" t="inlineStr">
        <is>
          <t>RJ0708410,SP0182366</t>
        </is>
      </c>
      <c r="D1402" t="inlineStr">
        <is>
          <t>PED</t>
        </is>
      </c>
      <c r="E1402" t="inlineStr">
        <is>
          <t>Avenida Cesário de Melo, S/N</t>
        </is>
      </c>
      <c r="F1402" t="inlineStr">
        <is>
          <t>Campo Grande</t>
        </is>
      </c>
      <c r="G1402" t="inlineStr">
        <is>
          <t>Rio de Janeiro</t>
        </is>
      </c>
      <c r="H1402" t="inlineStr">
        <is>
          <t>RJ</t>
        </is>
      </c>
      <c r="I1402" t="n">
        <v>7741</v>
      </c>
      <c r="J1402" t="inlineStr">
        <is>
          <t>CAT 4</t>
        </is>
      </c>
      <c r="K1402" t="inlineStr">
        <is>
          <t>Sim</t>
        </is>
      </c>
    </row>
    <row r="1403">
      <c r="A1403" s="1">
        <f>HYPERLINK("https://eurofarma-latam-crm.veevavault.com/#object/account__v/V4TZ04ASGMUXKJ4", "Isabela Gomes")</f>
        <v/>
      </c>
      <c r="B1403" s="1">
        <f>HYPERLINK("https://eurofarma-latam-crm.veevavault.com/#object/account__v/V4TZ04ASGMUXKJ4", "Isabela Rosa Amaral Gomes")</f>
        <v/>
      </c>
      <c r="C1403" t="inlineStr">
        <is>
          <t>RJ1374496</t>
        </is>
      </c>
      <c r="D1403" t="inlineStr">
        <is>
          <t>CLG / PA</t>
        </is>
      </c>
      <c r="E1403" t="inlineStr">
        <is>
          <t>Rua Conde de Bonfim, S/N</t>
        </is>
      </c>
      <c r="F1403" t="inlineStr">
        <is>
          <t>Tijuca</t>
        </is>
      </c>
      <c r="G1403" t="inlineStr">
        <is>
          <t>Rio de Janeiro</t>
        </is>
      </c>
      <c r="H1403" t="inlineStr">
        <is>
          <t>RJ</t>
        </is>
      </c>
      <c r="I1403" t="n">
        <v>7741</v>
      </c>
      <c r="J1403" t="inlineStr"/>
      <c r="K1403" t="inlineStr"/>
    </row>
    <row r="1404">
      <c r="A1404" s="1">
        <f>HYPERLINK("https://eurofarma-latam-crm.veevavault.com/#object/account__v/V4T00000001J492", "Isabella Morais")</f>
        <v/>
      </c>
      <c r="B1404" s="1">
        <f>HYPERLINK("https://eurofarma-latam-crm.veevavault.com/#object/account__v/V4T00000001J492", "Isabella De Oliveira Morais")</f>
        <v/>
      </c>
      <c r="C1404" t="inlineStr">
        <is>
          <t>RJ1378516</t>
        </is>
      </c>
      <c r="D1404" t="inlineStr">
        <is>
          <t>CLG / PA</t>
        </is>
      </c>
      <c r="E1404" t="inlineStr">
        <is>
          <t>Avenida Lobo Júnior, S/N - Parque Ary Barroso</t>
        </is>
      </c>
      <c r="F1404" t="inlineStr">
        <is>
          <t>Penha Circular</t>
        </is>
      </c>
      <c r="G1404" t="inlineStr">
        <is>
          <t>Rio de Janeiro</t>
        </is>
      </c>
      <c r="H1404" t="inlineStr">
        <is>
          <t>RJ</t>
        </is>
      </c>
      <c r="I1404" t="n">
        <v>7741</v>
      </c>
      <c r="J1404" t="inlineStr"/>
      <c r="K1404" t="inlineStr"/>
    </row>
    <row r="1405">
      <c r="A1405" s="1">
        <f>HYPERLINK("https://eurofarma-latam-crm.veevavault.com/#object/account__v/V4TZ00001914UZB", "Ismara Vitoria Chaves")</f>
        <v/>
      </c>
      <c r="B1405" s="1">
        <f>HYPERLINK("https://eurofarma-latam-crm.veevavault.com/#object/account__v/V4TZ00001914UZB", "Ismara Vitoria Chaves")</f>
        <v/>
      </c>
      <c r="C1405" t="inlineStr">
        <is>
          <t>RJ1185497</t>
        </is>
      </c>
      <c r="D1405" t="inlineStr">
        <is>
          <t>PED</t>
        </is>
      </c>
      <c r="E1405" t="inlineStr">
        <is>
          <t>Estrada de Búzios, S/N</t>
        </is>
      </c>
      <c r="F1405" t="inlineStr">
        <is>
          <t>Maria Joaquina (Tamoios)</t>
        </is>
      </c>
      <c r="G1405" t="inlineStr">
        <is>
          <t>Cabo Frio</t>
        </is>
      </c>
      <c r="H1405" t="inlineStr">
        <is>
          <t>RJ</t>
        </is>
      </c>
      <c r="I1405" t="n">
        <v>7741</v>
      </c>
      <c r="J1405" t="inlineStr">
        <is>
          <t>CAT 4</t>
        </is>
      </c>
      <c r="K1405" t="inlineStr">
        <is>
          <t>Sim</t>
        </is>
      </c>
    </row>
    <row r="1406">
      <c r="A1406" s="1">
        <f>HYPERLINK("https://eurofarma-latam-crm.veevavault.com/#object/account__v/V4TZ000018NYMAU", "Ivan de Menezes")</f>
        <v/>
      </c>
      <c r="B1406" s="1">
        <f>HYPERLINK("https://eurofarma-latam-crm.veevavault.com/#object/account__v/V4TZ000018NYMAU", "Ivan Rezende Bezerra de Menezes")</f>
        <v/>
      </c>
      <c r="C1406" t="inlineStr">
        <is>
          <t>RJ0625035</t>
        </is>
      </c>
      <c r="D1406" t="inlineStr">
        <is>
          <t>ORT</t>
        </is>
      </c>
      <c r="E1406" t="inlineStr">
        <is>
          <t>Rua Angélica Mota, 58 - Números 66, 76, 90 e 114</t>
        </is>
      </c>
      <c r="F1406" t="inlineStr">
        <is>
          <t>Olaria</t>
        </is>
      </c>
      <c r="G1406" t="inlineStr">
        <is>
          <t>Rio de Janeiro</t>
        </is>
      </c>
      <c r="H1406" t="inlineStr">
        <is>
          <t>RJ</t>
        </is>
      </c>
      <c r="I1406" t="n">
        <v>7741</v>
      </c>
      <c r="J1406" t="inlineStr">
        <is>
          <t>CAT 3</t>
        </is>
      </c>
      <c r="K1406" t="inlineStr">
        <is>
          <t>Sim</t>
        </is>
      </c>
    </row>
    <row r="1407">
      <c r="A1407" s="1">
        <f>HYPERLINK("https://eurofarma-latam-crm.veevavault.com/#object/account__v/V4TZ04ASGMUXCFH", "Izabela Neves")</f>
        <v/>
      </c>
      <c r="B1407" s="1">
        <f>HYPERLINK("https://eurofarma-latam-crm.veevavault.com/#object/account__v/V4TZ04ASGMUXCFH", "Izabela Carneiro Neves")</f>
        <v/>
      </c>
      <c r="C1407" t="inlineStr">
        <is>
          <t>RJ1366670</t>
        </is>
      </c>
      <c r="D1407" t="inlineStr">
        <is>
          <t>CLG / PA</t>
        </is>
      </c>
      <c r="E1407" t="inlineStr"/>
      <c r="F1407" t="inlineStr"/>
      <c r="G1407" t="inlineStr"/>
      <c r="H1407" t="inlineStr"/>
      <c r="I1407" t="n">
        <v>7741</v>
      </c>
      <c r="J1407" t="inlineStr"/>
      <c r="K1407" t="inlineStr"/>
    </row>
    <row r="1408">
      <c r="A1408" s="1">
        <f>HYPERLINK("https://eurofarma-latam-crm.veevavault.com/#object/account__v/V4TZ000018NXIOG", "Jackson Machado")</f>
        <v/>
      </c>
      <c r="B1408" s="1">
        <f>HYPERLINK("https://eurofarma-latam-crm.veevavault.com/#object/account__v/V4TZ000018NXIOG", "Jackson da Cruz Machado")</f>
        <v/>
      </c>
      <c r="C1408" t="inlineStr">
        <is>
          <t>RJ0984973</t>
        </is>
      </c>
      <c r="D1408" t="inlineStr">
        <is>
          <t>URO</t>
        </is>
      </c>
      <c r="E1408" t="inlineStr">
        <is>
          <t>Estrada Professor Leandro Faria Sarzedas, 1300 - Sala 02/03/04/05 Nivel L3</t>
        </is>
      </c>
      <c r="F1408" t="inlineStr">
        <is>
          <t>Village Rio das Ostras</t>
        </is>
      </c>
      <c r="G1408" t="inlineStr">
        <is>
          <t>Rio das Ostras</t>
        </is>
      </c>
      <c r="H1408" t="inlineStr">
        <is>
          <t>RJ</t>
        </is>
      </c>
      <c r="I1408" t="n">
        <v>7741</v>
      </c>
      <c r="J1408" t="inlineStr">
        <is>
          <t>CAT 4</t>
        </is>
      </c>
      <c r="K1408" t="inlineStr">
        <is>
          <t>Sim</t>
        </is>
      </c>
    </row>
    <row r="1409">
      <c r="A1409" s="1">
        <f>HYPERLINK("https://eurofarma-latam-crm.veevavault.com/#object/account__v/V4TZ00001914ADP", "Janaina Barros")</f>
        <v/>
      </c>
      <c r="B1409" s="1">
        <f>HYPERLINK("https://eurofarma-latam-crm.veevavault.com/#object/account__v/V4TZ00001914ADP", "Janaina Paes de Barros")</f>
        <v/>
      </c>
      <c r="C1409" t="inlineStr">
        <is>
          <t>RJ0631345</t>
        </is>
      </c>
      <c r="D1409" t="inlineStr">
        <is>
          <t>CLG</t>
        </is>
      </c>
      <c r="E1409" t="inlineStr">
        <is>
          <t>Estrada de Antenor Cardoso da Fonseca, S/N</t>
        </is>
      </c>
      <c r="F1409" t="inlineStr">
        <is>
          <t>Porto do Carro</t>
        </is>
      </c>
      <c r="G1409" t="inlineStr">
        <is>
          <t>Cabo Frio</t>
        </is>
      </c>
      <c r="H1409" t="inlineStr">
        <is>
          <t>RJ</t>
        </is>
      </c>
      <c r="I1409" t="n">
        <v>7741</v>
      </c>
      <c r="J1409" t="inlineStr">
        <is>
          <t>CAT 4</t>
        </is>
      </c>
      <c r="K1409" t="inlineStr">
        <is>
          <t>Sim</t>
        </is>
      </c>
    </row>
    <row r="1410">
      <c r="A1410" s="1">
        <f>HYPERLINK("https://eurofarma-latam-crm.veevavault.com/#object/account__v/V4TZ00001915S7X", "Janaínna Guio")</f>
        <v/>
      </c>
      <c r="B1410" s="1">
        <f>HYPERLINK("https://eurofarma-latam-crm.veevavault.com/#object/account__v/V4TZ00001915S7X", "Janaínna Marques Guio")</f>
        <v/>
      </c>
      <c r="C1410" t="inlineStr">
        <is>
          <t>RJ1170473</t>
        </is>
      </c>
      <c r="D1410" t="inlineStr">
        <is>
          <t>PED</t>
        </is>
      </c>
      <c r="E1410" t="inlineStr">
        <is>
          <t>Rua São Pedro, 36 - Casa</t>
        </is>
      </c>
      <c r="F1410" t="inlineStr">
        <is>
          <t>Estação</t>
        </is>
      </c>
      <c r="G1410" t="inlineStr">
        <is>
          <t>São Pedro da Aldeia</t>
        </is>
      </c>
      <c r="H1410" t="inlineStr">
        <is>
          <t>RJ</t>
        </is>
      </c>
      <c r="I1410" t="n">
        <v>7741</v>
      </c>
      <c r="J1410" t="inlineStr">
        <is>
          <t>CAT 2</t>
        </is>
      </c>
      <c r="K1410" t="inlineStr">
        <is>
          <t>Sim</t>
        </is>
      </c>
    </row>
    <row r="1411">
      <c r="A1411" s="1">
        <f>HYPERLINK("https://eurofarma-latam-crm.veevavault.com/#object/account__v/V4TZ00001913PFS", "Jani Carolina Machado")</f>
        <v/>
      </c>
      <c r="B1411" s="1">
        <f>HYPERLINK("https://eurofarma-latam-crm.veevavault.com/#object/account__v/V4TZ00001913PFS", "Jani Carolina dos Santos Machado")</f>
        <v/>
      </c>
      <c r="C1411" t="inlineStr">
        <is>
          <t>RJ0863017</t>
        </is>
      </c>
      <c r="D1411" t="inlineStr">
        <is>
          <t>END</t>
        </is>
      </c>
      <c r="E1411" t="inlineStr">
        <is>
          <t>Rua Andira, 122</t>
        </is>
      </c>
      <c r="F1411" t="inlineStr">
        <is>
          <t>Vila Verde</t>
        </is>
      </c>
      <c r="G1411" t="inlineStr">
        <is>
          <t>Armação dos Búzios</t>
        </is>
      </c>
      <c r="H1411" t="inlineStr">
        <is>
          <t>RJ</t>
        </is>
      </c>
      <c r="I1411" t="n">
        <v>7741</v>
      </c>
      <c r="J1411" t="inlineStr">
        <is>
          <t>CAT 4</t>
        </is>
      </c>
      <c r="K1411" t="inlineStr">
        <is>
          <t>Sim</t>
        </is>
      </c>
    </row>
    <row r="1412">
      <c r="A1412" s="1">
        <f>HYPERLINK("https://eurofarma-latam-crm.veevavault.com/#object/account__v/V4TZ00001913PNC", "Jéssica Bittencourt")</f>
        <v/>
      </c>
      <c r="B1412" s="1">
        <f>HYPERLINK("https://eurofarma-latam-crm.veevavault.com/#object/account__v/V4TZ00001913PNC", "Jéssica Sztajn Bittencourt")</f>
        <v/>
      </c>
      <c r="C1412" t="inlineStr">
        <is>
          <t>RJ1111639</t>
        </is>
      </c>
      <c r="D1412" t="inlineStr">
        <is>
          <t>GAS</t>
        </is>
      </c>
      <c r="E1412" t="inlineStr">
        <is>
          <t>Avenida Francisco Mendes, 350 - Sala 22 23</t>
        </is>
      </c>
      <c r="F1412" t="inlineStr">
        <is>
          <t>Centro</t>
        </is>
      </c>
      <c r="G1412" t="inlineStr">
        <is>
          <t>Cabo Frio</t>
        </is>
      </c>
      <c r="H1412" t="inlineStr">
        <is>
          <t>RJ</t>
        </is>
      </c>
      <c r="I1412" t="n">
        <v>7741</v>
      </c>
      <c r="J1412" t="inlineStr">
        <is>
          <t>CAT 5</t>
        </is>
      </c>
      <c r="K1412" t="inlineStr">
        <is>
          <t>Sim</t>
        </is>
      </c>
    </row>
    <row r="1413">
      <c r="A1413" s="1">
        <f>HYPERLINK("https://eurofarma-latam-crm.veevavault.com/#object/account__v/V4TZ025E87O0CJ1", "Jéssica Peniche")</f>
        <v/>
      </c>
      <c r="B1413" s="1">
        <f>HYPERLINK("https://eurofarma-latam-crm.veevavault.com/#object/account__v/V4TZ025E87O0CJ1", "Jéssica de Paula Peniche")</f>
        <v/>
      </c>
      <c r="C1413" t="inlineStr">
        <is>
          <t>MG0105086,RJ1318209</t>
        </is>
      </c>
      <c r="D1413" t="inlineStr">
        <is>
          <t>PED</t>
        </is>
      </c>
      <c r="E1413" t="inlineStr">
        <is>
          <t>Rua Flores Campestres, 49</t>
        </is>
      </c>
      <c r="F1413" t="inlineStr">
        <is>
          <t>Vila Verde</t>
        </is>
      </c>
      <c r="G1413" t="inlineStr">
        <is>
          <t>Armação dos Búzios</t>
        </is>
      </c>
      <c r="H1413" t="inlineStr">
        <is>
          <t>RJ</t>
        </is>
      </c>
      <c r="I1413" t="n">
        <v>7741</v>
      </c>
      <c r="J1413" t="inlineStr"/>
      <c r="K1413" t="inlineStr"/>
    </row>
    <row r="1414">
      <c r="A1414" s="1">
        <f>HYPERLINK("https://eurofarma-latam-crm.veevavault.com/#object/account__v/V4TZ00001914TGV", "João Gabriel Hernandes")</f>
        <v/>
      </c>
      <c r="B1414" s="1">
        <f>HYPERLINK("https://eurofarma-latam-crm.veevavault.com/#object/account__v/V4TZ00001914TGV", "João Gabriel Garcia Hernandes")</f>
        <v/>
      </c>
      <c r="C1414" t="inlineStr">
        <is>
          <t>RJ1048996</t>
        </is>
      </c>
      <c r="D1414" t="inlineStr">
        <is>
          <t>CLG / PA</t>
        </is>
      </c>
      <c r="E1414" t="inlineStr">
        <is>
          <t>Avenida Getulio Vargas, S/N</t>
        </is>
      </c>
      <c r="F1414" t="inlineStr">
        <is>
          <t>Canaã</t>
        </is>
      </c>
      <c r="G1414" t="inlineStr">
        <is>
          <t>Arraial do Cabo</t>
        </is>
      </c>
      <c r="H1414" t="inlineStr">
        <is>
          <t>RJ</t>
        </is>
      </c>
      <c r="I1414" t="n">
        <v>7741</v>
      </c>
      <c r="J1414" t="inlineStr">
        <is>
          <t>CAT 4</t>
        </is>
      </c>
      <c r="K1414" t="inlineStr">
        <is>
          <t>Sim</t>
        </is>
      </c>
    </row>
    <row r="1415">
      <c r="A1415" s="1">
        <f>HYPERLINK("https://eurofarma-latam-crm.veevavault.com/#object/account__v/V4TZ000018NXYHS", "Jorge Leonardo Pinto")</f>
        <v/>
      </c>
      <c r="B1415" s="1">
        <f>HYPERLINK("https://eurofarma-latam-crm.veevavault.com/#object/account__v/V4TZ000018NXYHS", "Jorge Leonardo Figueiredo Pinto")</f>
        <v/>
      </c>
      <c r="C1415" t="inlineStr">
        <is>
          <t>RJ1041029</t>
        </is>
      </c>
      <c r="D1415" t="inlineStr">
        <is>
          <t>CLG</t>
        </is>
      </c>
      <c r="E1415" t="inlineStr">
        <is>
          <t>Rua Francisco dos Santos Silva, 71 - Sala 304 306</t>
        </is>
      </c>
      <c r="F1415" t="inlineStr">
        <is>
          <t>Centro</t>
        </is>
      </c>
      <c r="G1415" t="inlineStr">
        <is>
          <t>São Pedro da Aldeia</t>
        </is>
      </c>
      <c r="H1415" t="inlineStr">
        <is>
          <t>RJ</t>
        </is>
      </c>
      <c r="I1415" t="n">
        <v>7741</v>
      </c>
      <c r="J1415" t="inlineStr">
        <is>
          <t>CAT 5</t>
        </is>
      </c>
      <c r="K1415" t="inlineStr">
        <is>
          <t>Sim</t>
        </is>
      </c>
    </row>
    <row r="1416">
      <c r="A1416" s="1">
        <f>HYPERLINK("https://eurofarma-latam-crm.veevavault.com/#object/account__v/V4TZ000018NYZBL", "Jorge Manuel Mendes")</f>
        <v/>
      </c>
      <c r="B1416" s="1">
        <f>HYPERLINK("https://eurofarma-latam-crm.veevavault.com/#object/account__v/V4TZ000018NYZBL", "Jorge Manuel Lemos Mendes")</f>
        <v/>
      </c>
      <c r="C1416" t="inlineStr">
        <is>
          <t>RJ0281095</t>
        </is>
      </c>
      <c r="D1416" t="inlineStr">
        <is>
          <t>ORL</t>
        </is>
      </c>
      <c r="E1416" t="inlineStr">
        <is>
          <t>Rua Marechal Castelo Branco, 39</t>
        </is>
      </c>
      <c r="F1416" t="inlineStr">
        <is>
          <t>São João</t>
        </is>
      </c>
      <c r="G1416" t="inlineStr">
        <is>
          <t>São Pedro da Aldeia</t>
        </is>
      </c>
      <c r="H1416" t="inlineStr">
        <is>
          <t>RJ</t>
        </is>
      </c>
      <c r="I1416" t="n">
        <v>7741</v>
      </c>
      <c r="J1416" t="inlineStr">
        <is>
          <t>CAT 4</t>
        </is>
      </c>
      <c r="K1416" t="inlineStr">
        <is>
          <t>Sim</t>
        </is>
      </c>
    </row>
    <row r="1417">
      <c r="A1417" s="1">
        <f>HYPERLINK("https://eurofarma-latam-crm.veevavault.com/#object/account__v/V4TZ000019160DK", "José Marcos Pillar")</f>
        <v/>
      </c>
      <c r="B1417" s="1">
        <f>HYPERLINK("https://eurofarma-latam-crm.veevavault.com/#object/account__v/V4TZ000019160DK", "José Marcos Barroso Pillar")</f>
        <v/>
      </c>
      <c r="C1417" t="inlineStr">
        <is>
          <t>RJ0307481</t>
        </is>
      </c>
      <c r="D1417" t="inlineStr">
        <is>
          <t>ORT</t>
        </is>
      </c>
      <c r="E1417" t="inlineStr">
        <is>
          <t>Avenida Júlia Kubitschek, 35 - Loja 01</t>
        </is>
      </c>
      <c r="F1417" t="inlineStr">
        <is>
          <t>Centro</t>
        </is>
      </c>
      <c r="G1417" t="inlineStr">
        <is>
          <t>Cabo Frio</t>
        </is>
      </c>
      <c r="H1417" t="inlineStr">
        <is>
          <t>RJ</t>
        </is>
      </c>
      <c r="I1417" t="n">
        <v>7741</v>
      </c>
      <c r="J1417" t="inlineStr">
        <is>
          <t>CAT 5</t>
        </is>
      </c>
      <c r="K1417" t="inlineStr">
        <is>
          <t>Sim</t>
        </is>
      </c>
    </row>
    <row r="1418">
      <c r="A1418" s="1">
        <f>HYPERLINK("https://eurofarma-latam-crm.veevavault.com/#object/account__v/V4TZ000018NYIYA", "Jose Pereira")</f>
        <v/>
      </c>
      <c r="B1418" s="1">
        <f>HYPERLINK("https://eurofarma-latam-crm.veevavault.com/#object/account__v/V4TZ000018NYIYA", "Jose do Carmo Pereira")</f>
        <v/>
      </c>
      <c r="C1418" t="inlineStr">
        <is>
          <t>RJ0221450</t>
        </is>
      </c>
      <c r="D1418" t="inlineStr">
        <is>
          <t>GAS</t>
        </is>
      </c>
      <c r="E1418" t="inlineStr">
        <is>
          <t>Rua Barão do Rio Branco, 9 - Sala 101</t>
        </is>
      </c>
      <c r="F1418" t="inlineStr">
        <is>
          <t>Passagem</t>
        </is>
      </c>
      <c r="G1418" t="inlineStr">
        <is>
          <t>Cabo Frio</t>
        </is>
      </c>
      <c r="H1418" t="inlineStr">
        <is>
          <t>RJ</t>
        </is>
      </c>
      <c r="I1418" t="n">
        <v>7741</v>
      </c>
      <c r="J1418" t="inlineStr">
        <is>
          <t>CAT 5</t>
        </is>
      </c>
      <c r="K1418" t="inlineStr">
        <is>
          <t>Sim</t>
        </is>
      </c>
    </row>
    <row r="1419">
      <c r="A1419" s="1">
        <f>HYPERLINK("https://eurofarma-latam-crm.veevavault.com/#object/account__v/V4TZ000018NZ7SX", "Júlia Barreto")</f>
        <v/>
      </c>
      <c r="B1419" s="1">
        <f>HYPERLINK("https://eurofarma-latam-crm.veevavault.com/#object/account__v/V4TZ000018NZ7SX", "Júlia Guimarães Barreto")</f>
        <v/>
      </c>
      <c r="C1419" t="inlineStr">
        <is>
          <t>RJ0786446</t>
        </is>
      </c>
      <c r="D1419" t="inlineStr">
        <is>
          <t>PED</t>
        </is>
      </c>
      <c r="E1419" t="inlineStr">
        <is>
          <t>Rua Florisbela Rosa da Penha, S/N</t>
        </is>
      </c>
      <c r="F1419" t="inlineStr">
        <is>
          <t>Braga</t>
        </is>
      </c>
      <c r="G1419" t="inlineStr">
        <is>
          <t>Cabo Frio</t>
        </is>
      </c>
      <c r="H1419" t="inlineStr">
        <is>
          <t>RJ</t>
        </is>
      </c>
      <c r="I1419" t="n">
        <v>7741</v>
      </c>
      <c r="J1419" t="inlineStr">
        <is>
          <t>CAT 5</t>
        </is>
      </c>
      <c r="K1419" t="inlineStr">
        <is>
          <t>Sim</t>
        </is>
      </c>
    </row>
    <row r="1420">
      <c r="A1420" s="1">
        <f>HYPERLINK("https://eurofarma-latam-crm.veevavault.com/#object/account__v/V4TZ00001913SP5", "Juliana e Silva")</f>
        <v/>
      </c>
      <c r="B1420" s="1">
        <f>HYPERLINK("https://eurofarma-latam-crm.veevavault.com/#object/account__v/V4TZ00001913SP5", "Juliana de Oliveira Souza e Silva")</f>
        <v/>
      </c>
      <c r="C1420" t="inlineStr">
        <is>
          <t>RJ0724866</t>
        </is>
      </c>
      <c r="D1420" t="inlineStr">
        <is>
          <t>GAS</t>
        </is>
      </c>
      <c r="E1420" t="inlineStr">
        <is>
          <t>Avenida Francisco Mendes, 350 - Sala 22 23</t>
        </is>
      </c>
      <c r="F1420" t="inlineStr">
        <is>
          <t>Centro</t>
        </is>
      </c>
      <c r="G1420" t="inlineStr">
        <is>
          <t>Cabo Frio</t>
        </is>
      </c>
      <c r="H1420" t="inlineStr">
        <is>
          <t>RJ</t>
        </is>
      </c>
      <c r="I1420" t="n">
        <v>7741</v>
      </c>
      <c r="J1420" t="inlineStr">
        <is>
          <t>CAT 5</t>
        </is>
      </c>
      <c r="K1420" t="inlineStr">
        <is>
          <t>Sim</t>
        </is>
      </c>
    </row>
    <row r="1421">
      <c r="A1421" s="1">
        <f>HYPERLINK("https://eurofarma-latam-crm.veevavault.com/#object/account__v/V4TZ00001915NDX", "Juliana Lobo")</f>
        <v/>
      </c>
      <c r="B1421" s="1">
        <f>HYPERLINK("https://eurofarma-latam-crm.veevavault.com/#object/account__v/V4TZ00001915NDX", "Juliana Moraes Lobo")</f>
        <v/>
      </c>
      <c r="C1421" t="inlineStr">
        <is>
          <t>RJ0774057</t>
        </is>
      </c>
      <c r="D1421" t="inlineStr">
        <is>
          <t>PED</t>
        </is>
      </c>
      <c r="E1421" t="inlineStr">
        <is>
          <t>Avenida Getúlio Vargas, 290 - Casa</t>
        </is>
      </c>
      <c r="F1421" t="inlineStr">
        <is>
          <t>Centro</t>
        </is>
      </c>
      <c r="G1421" t="inlineStr">
        <is>
          <t>São Pedro da Aldeia</t>
        </is>
      </c>
      <c r="H1421" t="inlineStr">
        <is>
          <t>RJ</t>
        </is>
      </c>
      <c r="I1421" t="n">
        <v>7741</v>
      </c>
      <c r="J1421" t="inlineStr">
        <is>
          <t>CAT 5</t>
        </is>
      </c>
      <c r="K1421" t="inlineStr">
        <is>
          <t>Sim</t>
        </is>
      </c>
    </row>
    <row r="1422">
      <c r="A1422" s="1">
        <f>HYPERLINK("https://eurofarma-latam-crm.veevavault.com/#object/account__v/V4TZ025E88NT4R2", "Juliana Soares")</f>
        <v/>
      </c>
      <c r="B1422" s="1">
        <f>HYPERLINK("https://eurofarma-latam-crm.veevavault.com/#object/account__v/V4TZ025E88NT4R2", "Juliana de Sousa Soares")</f>
        <v/>
      </c>
      <c r="C1422" t="inlineStr">
        <is>
          <t>RJ1317733</t>
        </is>
      </c>
      <c r="D1422" t="inlineStr">
        <is>
          <t>CLG / PA</t>
        </is>
      </c>
      <c r="E1422" t="inlineStr">
        <is>
          <t>Rua Júlio Rosa, 366</t>
        </is>
      </c>
      <c r="F1422" t="inlineStr">
        <is>
          <t>Tijuca</t>
        </is>
      </c>
      <c r="G1422" t="inlineStr">
        <is>
          <t>Teresópolis</t>
        </is>
      </c>
      <c r="H1422" t="inlineStr">
        <is>
          <t>RJ</t>
        </is>
      </c>
      <c r="I1422" t="n">
        <v>7741</v>
      </c>
      <c r="J1422" t="inlineStr">
        <is>
          <t>CAT 4</t>
        </is>
      </c>
      <c r="K1422" t="inlineStr">
        <is>
          <t>Sim</t>
        </is>
      </c>
    </row>
    <row r="1423">
      <c r="A1423" s="1">
        <f>HYPERLINK("https://eurofarma-latam-crm.veevavault.com/#object/account__v/V4TZ00001913O99", "Karin de Mello")</f>
        <v/>
      </c>
      <c r="B1423" s="1">
        <f>HYPERLINK("https://eurofarma-latam-crm.veevavault.com/#object/account__v/V4TZ00001913O99", "Karin Xavier de Mello")</f>
        <v/>
      </c>
      <c r="C1423" t="inlineStr">
        <is>
          <t>RJ0622648</t>
        </is>
      </c>
      <c r="D1423" t="inlineStr">
        <is>
          <t>PED</t>
        </is>
      </c>
      <c r="E1423" t="inlineStr">
        <is>
          <t>Rua Raul Veiga, 15 - Sala 105</t>
        </is>
      </c>
      <c r="F1423" t="inlineStr">
        <is>
          <t>Centro</t>
        </is>
      </c>
      <c r="G1423" t="inlineStr">
        <is>
          <t>Cabo Frio</t>
        </is>
      </c>
      <c r="H1423" t="inlineStr">
        <is>
          <t>RJ</t>
        </is>
      </c>
      <c r="I1423" t="n">
        <v>7741</v>
      </c>
      <c r="J1423" t="inlineStr">
        <is>
          <t>CAT 5</t>
        </is>
      </c>
      <c r="K1423" t="inlineStr">
        <is>
          <t>Sim</t>
        </is>
      </c>
    </row>
    <row r="1424">
      <c r="A1424" s="1">
        <f>HYPERLINK("https://eurofarma-latam-crm.veevavault.com/#object/account__v/V4TZ000018NYZ3G", "Karina Cavalcanti")</f>
        <v/>
      </c>
      <c r="B1424" s="1">
        <f>HYPERLINK("https://eurofarma-latam-crm.veevavault.com/#object/account__v/V4TZ000018NYZ3G", "Karina Machado Cavalcanti")</f>
        <v/>
      </c>
      <c r="C1424" t="inlineStr">
        <is>
          <t>RJ0704393</t>
        </is>
      </c>
      <c r="D1424" t="inlineStr">
        <is>
          <t>ORL</t>
        </is>
      </c>
      <c r="E1424" t="inlineStr">
        <is>
          <t>Rua Barão do Rio Branco, 55 - Sala 307</t>
        </is>
      </c>
      <c r="F1424" t="inlineStr">
        <is>
          <t>Passagem</t>
        </is>
      </c>
      <c r="G1424" t="inlineStr">
        <is>
          <t>Cabo Frio</t>
        </is>
      </c>
      <c r="H1424" t="inlineStr">
        <is>
          <t>RJ</t>
        </is>
      </c>
      <c r="I1424" t="n">
        <v>7741</v>
      </c>
      <c r="J1424" t="inlineStr">
        <is>
          <t>CAT 4</t>
        </is>
      </c>
      <c r="K1424" t="inlineStr">
        <is>
          <t>Sim</t>
        </is>
      </c>
    </row>
    <row r="1425">
      <c r="A1425" s="1">
        <f>HYPERLINK("https://eurofarma-latam-crm.veevavault.com/#object/account__v/V4TZ000019137N1", "Kathia Gurgel")</f>
        <v/>
      </c>
      <c r="B1425" s="1">
        <f>HYPERLINK("https://eurofarma-latam-crm.veevavault.com/#object/account__v/V4TZ000019137N1", "Kathia Christine Lobo Izay e Gurgel")</f>
        <v/>
      </c>
      <c r="C1425" t="inlineStr">
        <is>
          <t>RJ0619511</t>
        </is>
      </c>
      <c r="D1425" t="inlineStr">
        <is>
          <t>PED</t>
        </is>
      </c>
      <c r="E1425" t="inlineStr">
        <is>
          <t>Rua Florisbela Rosa da Penha, S/N</t>
        </is>
      </c>
      <c r="F1425" t="inlineStr">
        <is>
          <t>Braga</t>
        </is>
      </c>
      <c r="G1425" t="inlineStr">
        <is>
          <t>Cabo Frio</t>
        </is>
      </c>
      <c r="H1425" t="inlineStr">
        <is>
          <t>RJ</t>
        </is>
      </c>
      <c r="I1425" t="n">
        <v>7741</v>
      </c>
      <c r="J1425" t="inlineStr">
        <is>
          <t>CAT 4</t>
        </is>
      </c>
      <c r="K1425" t="inlineStr">
        <is>
          <t>Sim</t>
        </is>
      </c>
    </row>
    <row r="1426">
      <c r="A1426" s="1">
        <f>HYPERLINK("https://eurofarma-latam-crm.veevavault.com/#object/account__v/V4TZ000018NY168", "Kelen Gleice Nascimento")</f>
        <v/>
      </c>
      <c r="B1426" s="1">
        <f>HYPERLINK("https://eurofarma-latam-crm.veevavault.com/#object/account__v/V4TZ000018NY168", "Kelen Gleice Lima Lemos Nascimento")</f>
        <v/>
      </c>
      <c r="C1426" t="inlineStr">
        <is>
          <t>RJ0662097</t>
        </is>
      </c>
      <c r="D1426" t="inlineStr">
        <is>
          <t>PED</t>
        </is>
      </c>
      <c r="E1426" t="inlineStr">
        <is>
          <t>Estrada de Búzios, S/N</t>
        </is>
      </c>
      <c r="F1426" t="inlineStr">
        <is>
          <t>Maria Joaquina (Tamoios)</t>
        </is>
      </c>
      <c r="G1426" t="inlineStr">
        <is>
          <t>Cabo Frio</t>
        </is>
      </c>
      <c r="H1426" t="inlineStr">
        <is>
          <t>RJ</t>
        </is>
      </c>
      <c r="I1426" t="n">
        <v>7741</v>
      </c>
      <c r="J1426" t="inlineStr">
        <is>
          <t>CAT 5</t>
        </is>
      </c>
      <c r="K1426" t="inlineStr">
        <is>
          <t>N�o</t>
        </is>
      </c>
    </row>
    <row r="1427">
      <c r="A1427" s="1">
        <f>HYPERLINK("https://eurofarma-latam-crm.veevavault.com/#object/account__v/V4TZ000018NXZCH", "Kellen Jassus")</f>
        <v/>
      </c>
      <c r="B1427" s="1">
        <f>HYPERLINK("https://eurofarma-latam-crm.veevavault.com/#object/account__v/V4TZ000018NXZCH", "Kellen Rodrigues Jassus")</f>
        <v/>
      </c>
      <c r="C1427" t="inlineStr">
        <is>
          <t>RJ0716820</t>
        </is>
      </c>
      <c r="D1427" t="inlineStr">
        <is>
          <t>CLG / PA</t>
        </is>
      </c>
      <c r="E1427" t="inlineStr">
        <is>
          <t>Rua Baster Pillar, S/N</t>
        </is>
      </c>
      <c r="F1427" t="inlineStr">
        <is>
          <t>Parque Hotel</t>
        </is>
      </c>
      <c r="G1427" t="inlineStr">
        <is>
          <t>Araruama</t>
        </is>
      </c>
      <c r="H1427" t="inlineStr">
        <is>
          <t>RJ</t>
        </is>
      </c>
      <c r="I1427" t="n">
        <v>7741</v>
      </c>
      <c r="J1427" t="inlineStr">
        <is>
          <t>CAT 4</t>
        </is>
      </c>
      <c r="K1427" t="inlineStr">
        <is>
          <t>Sim</t>
        </is>
      </c>
    </row>
    <row r="1428">
      <c r="A1428" s="1">
        <f>HYPERLINK("https://eurofarma-latam-crm.veevavault.com/#object/account__v/V4TZ000019155SC", "Laís Dantas")</f>
        <v/>
      </c>
      <c r="B1428" s="1">
        <f>HYPERLINK("https://eurofarma-latam-crm.veevavault.com/#object/account__v/V4TZ000019155SC", "Laís Soliño Francisco de Abreu Dantas")</f>
        <v/>
      </c>
      <c r="C1428" t="inlineStr">
        <is>
          <t>RJ1271164</t>
        </is>
      </c>
      <c r="D1428" t="inlineStr">
        <is>
          <t>CLG / PA</t>
        </is>
      </c>
      <c r="E1428" t="inlineStr">
        <is>
          <t>Avenida Amílcar Pereira da Silva, 138</t>
        </is>
      </c>
      <c r="F1428" t="inlineStr">
        <is>
          <t>Piteiras</t>
        </is>
      </c>
      <c r="G1428" t="inlineStr">
        <is>
          <t>Quissamã</t>
        </is>
      </c>
      <c r="H1428" t="inlineStr">
        <is>
          <t>RJ</t>
        </is>
      </c>
      <c r="I1428" t="n">
        <v>7741</v>
      </c>
      <c r="J1428" t="inlineStr">
        <is>
          <t>CAT 4</t>
        </is>
      </c>
      <c r="K1428" t="inlineStr">
        <is>
          <t>Sim</t>
        </is>
      </c>
    </row>
    <row r="1429">
      <c r="A1429" s="1">
        <f>HYPERLINK("https://eurofarma-latam-crm.veevavault.com/#object/account__v/V4TZ025E88YGI7S", "Lara Martins")</f>
        <v/>
      </c>
      <c r="B1429" s="1">
        <f>HYPERLINK("https://eurofarma-latam-crm.veevavault.com/#object/account__v/V4TZ025E88YGI7S", "Lara da Silva Martins")</f>
        <v/>
      </c>
      <c r="C1429" t="inlineStr">
        <is>
          <t>RJ1336088</t>
        </is>
      </c>
      <c r="D1429" t="inlineStr">
        <is>
          <t>CLG / PA</t>
        </is>
      </c>
      <c r="E1429" t="inlineStr">
        <is>
          <t>Rua Vítor Rocha, 410</t>
        </is>
      </c>
      <c r="F1429" t="inlineStr">
        <is>
          <t>Parque Burle</t>
        </is>
      </c>
      <c r="G1429" t="inlineStr">
        <is>
          <t>Cabo Frio</t>
        </is>
      </c>
      <c r="H1429" t="inlineStr">
        <is>
          <t>RJ</t>
        </is>
      </c>
      <c r="I1429" t="n">
        <v>7741</v>
      </c>
      <c r="J1429" t="inlineStr">
        <is>
          <t>CAT 4</t>
        </is>
      </c>
      <c r="K1429" t="inlineStr">
        <is>
          <t>N�o</t>
        </is>
      </c>
    </row>
    <row r="1430">
      <c r="A1430" s="1">
        <f>HYPERLINK("https://eurofarma-latam-crm.veevavault.com/#object/account__v/V4TZ000019151V3", "Larissa Aires")</f>
        <v/>
      </c>
      <c r="B1430" s="1">
        <f>HYPERLINK("https://eurofarma-latam-crm.veevavault.com/#object/account__v/V4TZ000019151V3", "Larissa Duarte Pinheiro Aires")</f>
        <v/>
      </c>
      <c r="C1430" t="inlineStr">
        <is>
          <t>RJ1183516</t>
        </is>
      </c>
      <c r="D1430" t="inlineStr">
        <is>
          <t>CLG / PA</t>
        </is>
      </c>
      <c r="E1430" t="inlineStr">
        <is>
          <t>Avenida Amaral Peixoto, S/N - KM 136</t>
        </is>
      </c>
      <c r="F1430" t="inlineStr">
        <is>
          <t>Vista Alegre (Tamoios)</t>
        </is>
      </c>
      <c r="G1430" t="inlineStr">
        <is>
          <t>Cabo Frio</t>
        </is>
      </c>
      <c r="H1430" t="inlineStr">
        <is>
          <t>RJ</t>
        </is>
      </c>
      <c r="I1430" t="n">
        <v>7741</v>
      </c>
      <c r="J1430" t="inlineStr">
        <is>
          <t>CAT 4</t>
        </is>
      </c>
      <c r="K1430" t="inlineStr">
        <is>
          <t>Sim</t>
        </is>
      </c>
    </row>
    <row r="1431">
      <c r="A1431" s="1">
        <f>HYPERLINK("https://eurofarma-latam-crm.veevavault.com/#object/account__v/V4TZ04ASGMAJ6SS", "Larissa Souza")</f>
        <v/>
      </c>
      <c r="B1431" s="1">
        <f>HYPERLINK("https://eurofarma-latam-crm.veevavault.com/#object/account__v/V4TZ04ASGMAJ6SS", "Larissa Alvarenga Pereira De Souza")</f>
        <v/>
      </c>
      <c r="C1431" t="inlineStr">
        <is>
          <t>RJ1377131</t>
        </is>
      </c>
      <c r="D1431" t="inlineStr">
        <is>
          <t>CLG / PA</t>
        </is>
      </c>
      <c r="E1431" t="inlineStr">
        <is>
          <t>Avenida Getulio Vargas, S/N</t>
        </is>
      </c>
      <c r="F1431" t="inlineStr">
        <is>
          <t>Canaã</t>
        </is>
      </c>
      <c r="G1431" t="inlineStr">
        <is>
          <t>Arraial do Cabo</t>
        </is>
      </c>
      <c r="H1431" t="inlineStr">
        <is>
          <t>RJ</t>
        </is>
      </c>
      <c r="I1431" t="n">
        <v>7741</v>
      </c>
      <c r="J1431" t="inlineStr">
        <is>
          <t>CAT 5</t>
        </is>
      </c>
      <c r="K1431" t="inlineStr">
        <is>
          <t>N�o</t>
        </is>
      </c>
    </row>
    <row r="1432">
      <c r="A1432" s="1">
        <f>HYPERLINK("https://eurofarma-latam-crm.veevavault.com/#object/account__v/V4TZ00001915UL8", "Laryssa Ferreira")</f>
        <v/>
      </c>
      <c r="B1432" s="1">
        <f>HYPERLINK("https://eurofarma-latam-crm.veevavault.com/#object/account__v/V4TZ00001915UL8", "Laryssa Heringer Ferreira")</f>
        <v/>
      </c>
      <c r="C1432" t="inlineStr">
        <is>
          <t>RJ1273752</t>
        </is>
      </c>
      <c r="D1432" t="inlineStr">
        <is>
          <t>CLG / PA</t>
        </is>
      </c>
      <c r="E1432" t="inlineStr">
        <is>
          <t>Rua Vítor Rocha, 410</t>
        </is>
      </c>
      <c r="F1432" t="inlineStr">
        <is>
          <t>Parque Burle</t>
        </is>
      </c>
      <c r="G1432" t="inlineStr">
        <is>
          <t>Cabo Frio</t>
        </is>
      </c>
      <c r="H1432" t="inlineStr">
        <is>
          <t>RJ</t>
        </is>
      </c>
      <c r="I1432" t="n">
        <v>7741</v>
      </c>
      <c r="J1432" t="inlineStr">
        <is>
          <t>CAT 4</t>
        </is>
      </c>
      <c r="K1432" t="inlineStr">
        <is>
          <t>Sim</t>
        </is>
      </c>
    </row>
    <row r="1433">
      <c r="A1433" s="1">
        <f>HYPERLINK("https://eurofarma-latam-crm.veevavault.com/#object/account__v/V4TZ00001914958", "Lauane Cintra Escafura")</f>
        <v/>
      </c>
      <c r="B1433" s="1">
        <f>HYPERLINK("https://eurofarma-latam-crm.veevavault.com/#object/account__v/V4TZ00001914958", "Lauane Cintra Torres Escafura")</f>
        <v/>
      </c>
      <c r="C1433" t="inlineStr">
        <is>
          <t>RJ1072633</t>
        </is>
      </c>
      <c r="D1433" t="inlineStr">
        <is>
          <t>END</t>
        </is>
      </c>
      <c r="E1433" t="inlineStr">
        <is>
          <t>Rua Barão do Rio Branco, 223 - Sala 102</t>
        </is>
      </c>
      <c r="F1433" t="inlineStr">
        <is>
          <t>Passagem</t>
        </is>
      </c>
      <c r="G1433" t="inlineStr">
        <is>
          <t>Cabo Frio</t>
        </is>
      </c>
      <c r="H1433" t="inlineStr">
        <is>
          <t>RJ</t>
        </is>
      </c>
      <c r="I1433" t="n">
        <v>7741</v>
      </c>
      <c r="J1433" t="inlineStr">
        <is>
          <t>CAT 4</t>
        </is>
      </c>
      <c r="K1433" t="inlineStr">
        <is>
          <t>Sim</t>
        </is>
      </c>
    </row>
    <row r="1434">
      <c r="A1434" s="1">
        <f>HYPERLINK("https://eurofarma-latam-crm.veevavault.com/#object/account__v/V4T000000012056", "Laura Alves")</f>
        <v/>
      </c>
      <c r="B1434" s="1">
        <f>HYPERLINK("https://eurofarma-latam-crm.veevavault.com/#object/account__v/V4T000000012056", "Laura Victoria Dos Santos Alves")</f>
        <v/>
      </c>
      <c r="C1434" t="inlineStr">
        <is>
          <t>RJ1381635</t>
        </is>
      </c>
      <c r="D1434" t="inlineStr">
        <is>
          <t>CLG / PA</t>
        </is>
      </c>
      <c r="E1434" t="inlineStr">
        <is>
          <t>Rodovia Amaral Peixoto, S/N - KM 107</t>
        </is>
      </c>
      <c r="F1434" t="inlineStr">
        <is>
          <t>Balneário São Pedro</t>
        </is>
      </c>
      <c r="G1434" t="inlineStr">
        <is>
          <t>São Pedro da Aldeia</t>
        </is>
      </c>
      <c r="H1434" t="inlineStr">
        <is>
          <t>RJ</t>
        </is>
      </c>
      <c r="I1434" t="n">
        <v>7741</v>
      </c>
      <c r="J1434" t="inlineStr"/>
      <c r="K1434" t="inlineStr"/>
    </row>
    <row r="1435">
      <c r="A1435" s="1">
        <f>HYPERLINK("https://eurofarma-latam-crm.veevavault.com/#object/account__v/V4TZ000019136A7", "Leandro Constantino")</f>
        <v/>
      </c>
      <c r="B1435" s="1">
        <f>HYPERLINK("https://eurofarma-latam-crm.veevavault.com/#object/account__v/V4TZ000019136A7", "Leandro Estevão Constantino")</f>
        <v/>
      </c>
      <c r="C1435" t="inlineStr">
        <is>
          <t>RJ0850527</t>
        </is>
      </c>
      <c r="D1435" t="inlineStr">
        <is>
          <t>ORT</t>
        </is>
      </c>
      <c r="E1435" t="inlineStr">
        <is>
          <t>Rua Raul Veiga, 15 - Sala 112</t>
        </is>
      </c>
      <c r="F1435" t="inlineStr">
        <is>
          <t>Centro</t>
        </is>
      </c>
      <c r="G1435" t="inlineStr">
        <is>
          <t>Cabo Frio</t>
        </is>
      </c>
      <c r="H1435" t="inlineStr">
        <is>
          <t>RJ</t>
        </is>
      </c>
      <c r="I1435" t="n">
        <v>7741</v>
      </c>
      <c r="J1435" t="inlineStr">
        <is>
          <t>CAT 5</t>
        </is>
      </c>
      <c r="K1435" t="inlineStr">
        <is>
          <t>Sim</t>
        </is>
      </c>
    </row>
    <row r="1436">
      <c r="A1436" s="1">
        <f>HYPERLINK("https://eurofarma-latam-crm.veevavault.com/#object/account__v/V4TZ000018NXPJC", "Leandro Machado")</f>
        <v/>
      </c>
      <c r="B1436" s="1">
        <f>HYPERLINK("https://eurofarma-latam-crm.veevavault.com/#object/account__v/V4TZ000018NXPJC", "Leandro Jacomassi Machado")</f>
        <v/>
      </c>
      <c r="C1436" t="inlineStr">
        <is>
          <t>RJ1013270</t>
        </is>
      </c>
      <c r="D1436" t="inlineStr">
        <is>
          <t>ORT</t>
        </is>
      </c>
      <c r="E1436" t="inlineStr">
        <is>
          <t>Rua Figueiredo Magalhães, 219 - Sobrelojas 207 E 208</t>
        </is>
      </c>
      <c r="F1436" t="inlineStr">
        <is>
          <t>Copacabana</t>
        </is>
      </c>
      <c r="G1436" t="inlineStr">
        <is>
          <t>Rio de Janeiro</t>
        </is>
      </c>
      <c r="H1436" t="inlineStr">
        <is>
          <t>RJ</t>
        </is>
      </c>
      <c r="I1436" t="n">
        <v>7741</v>
      </c>
      <c r="J1436" t="inlineStr">
        <is>
          <t>CAT 3</t>
        </is>
      </c>
      <c r="K1436" t="inlineStr">
        <is>
          <t>Sim</t>
        </is>
      </c>
    </row>
    <row r="1437">
      <c r="A1437" s="1">
        <f>HYPERLINK("https://eurofarma-latam-crm.veevavault.com/#object/account__v/V4TZ00001913B5S", "Leonardo Amaral")</f>
        <v/>
      </c>
      <c r="B1437" s="1">
        <f>HYPERLINK("https://eurofarma-latam-crm.veevavault.com/#object/account__v/V4TZ00001913B5S", "Leonardo Magno de Paula Amaral")</f>
        <v/>
      </c>
      <c r="C1437" t="inlineStr">
        <is>
          <t>RJ0662798</t>
        </is>
      </c>
      <c r="D1437" t="inlineStr">
        <is>
          <t>CLG</t>
        </is>
      </c>
      <c r="E1437" t="inlineStr">
        <is>
          <t>Rua Alcino Porto, S/N</t>
        </is>
      </c>
      <c r="F1437" t="inlineStr">
        <is>
          <t>Manguinhos</t>
        </is>
      </c>
      <c r="G1437" t="inlineStr">
        <is>
          <t>Armação dos Búzios</t>
        </is>
      </c>
      <c r="H1437" t="inlineStr">
        <is>
          <t>RJ</t>
        </is>
      </c>
      <c r="I1437" t="n">
        <v>7741</v>
      </c>
      <c r="J1437" t="inlineStr">
        <is>
          <t>CAT 5</t>
        </is>
      </c>
      <c r="K1437" t="inlineStr">
        <is>
          <t>Sim</t>
        </is>
      </c>
    </row>
    <row r="1438">
      <c r="A1438" s="1">
        <f>HYPERLINK("https://eurofarma-latam-crm.veevavault.com/#object/account__v/V4TZ000019146VZ", "Leonardo Buczynski")</f>
        <v/>
      </c>
      <c r="B1438" s="1">
        <f>HYPERLINK("https://eurofarma-latam-crm.veevavault.com/#object/account__v/V4TZ000019146VZ", "Leonardo da Costa Buczynski")</f>
        <v/>
      </c>
      <c r="C1438" t="inlineStr">
        <is>
          <t>RJ0679097</t>
        </is>
      </c>
      <c r="D1438" t="inlineStr">
        <is>
          <t>CLG</t>
        </is>
      </c>
      <c r="E1438" t="inlineStr">
        <is>
          <t>Estrada de Búzios, S/N</t>
        </is>
      </c>
      <c r="F1438" t="inlineStr">
        <is>
          <t>Maria Joaquina (Tamoios)</t>
        </is>
      </c>
      <c r="G1438" t="inlineStr">
        <is>
          <t>Cabo Frio</t>
        </is>
      </c>
      <c r="H1438" t="inlineStr">
        <is>
          <t>RJ</t>
        </is>
      </c>
      <c r="I1438" t="n">
        <v>7741</v>
      </c>
      <c r="J1438" t="inlineStr">
        <is>
          <t>CAT 4</t>
        </is>
      </c>
      <c r="K1438" t="inlineStr">
        <is>
          <t>Sim</t>
        </is>
      </c>
    </row>
    <row r="1439">
      <c r="A1439" s="1">
        <f>HYPERLINK("https://eurofarma-latam-crm.veevavault.com/#object/account__v/V4TZ00001914L7V", "Leonardo Cleto")</f>
        <v/>
      </c>
      <c r="B1439" s="1">
        <f>HYPERLINK("https://eurofarma-latam-crm.veevavault.com/#object/account__v/V4TZ00001914L7V", "Leonardo Teixeira Cleto")</f>
        <v/>
      </c>
      <c r="C1439" t="inlineStr">
        <is>
          <t>RJ0685100</t>
        </is>
      </c>
      <c r="D1439" t="inlineStr">
        <is>
          <t>URO</t>
        </is>
      </c>
      <c r="E1439" t="inlineStr">
        <is>
          <t>Avenida Getulio Vargas, S/N</t>
        </is>
      </c>
      <c r="F1439" t="inlineStr">
        <is>
          <t>Canaã</t>
        </is>
      </c>
      <c r="G1439" t="inlineStr">
        <is>
          <t>Arraial do Cabo</t>
        </is>
      </c>
      <c r="H1439" t="inlineStr">
        <is>
          <t>RJ</t>
        </is>
      </c>
      <c r="I1439" t="n">
        <v>7741</v>
      </c>
      <c r="J1439" t="inlineStr">
        <is>
          <t>CAT 4</t>
        </is>
      </c>
      <c r="K1439" t="inlineStr">
        <is>
          <t>Sim</t>
        </is>
      </c>
    </row>
    <row r="1440">
      <c r="A1440" s="1">
        <f>HYPERLINK("https://eurofarma-latam-crm.veevavault.com/#object/account__v/V4TZ000018NYGEC", "Leonardo Ferreira")</f>
        <v/>
      </c>
      <c r="B1440" s="1">
        <f>HYPERLINK("https://eurofarma-latam-crm.veevavault.com/#object/account__v/V4TZ000018NYGEC", "Leonardo Jabour Ferreira")</f>
        <v/>
      </c>
      <c r="C1440" t="inlineStr">
        <is>
          <t>RJ0996939</t>
        </is>
      </c>
      <c r="D1440" t="inlineStr">
        <is>
          <t>CLG / PA</t>
        </is>
      </c>
      <c r="E1440" t="inlineStr">
        <is>
          <t>Rua Adolfo Bravo, S/N</t>
        </is>
      </c>
      <c r="F1440" t="inlineStr">
        <is>
          <t>Bacaxá (Bacaxá)</t>
        </is>
      </c>
      <c r="G1440" t="inlineStr">
        <is>
          <t>Saquarema</t>
        </is>
      </c>
      <c r="H1440" t="inlineStr">
        <is>
          <t>RJ</t>
        </is>
      </c>
      <c r="I1440" t="n">
        <v>7741</v>
      </c>
      <c r="J1440" t="inlineStr">
        <is>
          <t>CAT 3</t>
        </is>
      </c>
      <c r="K1440" t="inlineStr">
        <is>
          <t>Sim</t>
        </is>
      </c>
    </row>
    <row r="1441">
      <c r="A1441" s="1">
        <f>HYPERLINK("https://eurofarma-latam-crm.veevavault.com/#object/account__v/V4TZ025E8B344QW", "Letícia Lobo")</f>
        <v/>
      </c>
      <c r="B1441" s="1">
        <f>HYPERLINK("https://eurofarma-latam-crm.veevavault.com/#object/account__v/V4TZ025E8B344QW", "Letícia Bacellar Lobo")</f>
        <v/>
      </c>
      <c r="C1441" t="inlineStr">
        <is>
          <t>RJ1307215</t>
        </is>
      </c>
      <c r="D1441" t="inlineStr">
        <is>
          <t>PED</t>
        </is>
      </c>
      <c r="E1441" t="inlineStr">
        <is>
          <t>Rodovia Amaral Peixoto, S/N - KM 107</t>
        </is>
      </c>
      <c r="F1441" t="inlineStr">
        <is>
          <t>Balneário São Pedro</t>
        </is>
      </c>
      <c r="G1441" t="inlineStr">
        <is>
          <t>São Pedro da Aldeia</t>
        </is>
      </c>
      <c r="H1441" t="inlineStr">
        <is>
          <t>RJ</t>
        </is>
      </c>
      <c r="I1441" t="n">
        <v>7741</v>
      </c>
      <c r="J1441" t="inlineStr">
        <is>
          <t>CAT 5</t>
        </is>
      </c>
      <c r="K1441" t="inlineStr">
        <is>
          <t>Sim</t>
        </is>
      </c>
    </row>
    <row r="1442">
      <c r="A1442" s="1">
        <f>HYPERLINK("https://eurofarma-latam-crm.veevavault.com/#object/account__v/V4TZ025E8F0SJSF", "Letícia Marques")</f>
        <v/>
      </c>
      <c r="B1442" s="1">
        <f>HYPERLINK("https://eurofarma-latam-crm.veevavault.com/#object/account__v/V4TZ025E8F0SJSF", "Letícia de Andrade Marques")</f>
        <v/>
      </c>
      <c r="C1442" t="inlineStr">
        <is>
          <t>RJ1381440</t>
        </is>
      </c>
      <c r="D1442" t="inlineStr">
        <is>
          <t>CLG / PA</t>
        </is>
      </c>
      <c r="E1442" t="inlineStr">
        <is>
          <t>Rua Barão do Rio Branco, 72</t>
        </is>
      </c>
      <c r="F1442" t="inlineStr">
        <is>
          <t>Passagem</t>
        </is>
      </c>
      <c r="G1442" t="inlineStr">
        <is>
          <t>Cabo Frio</t>
        </is>
      </c>
      <c r="H1442" t="inlineStr">
        <is>
          <t>RJ</t>
        </is>
      </c>
      <c r="I1442" t="n">
        <v>7741</v>
      </c>
      <c r="J1442" t="inlineStr"/>
      <c r="K1442" t="inlineStr"/>
    </row>
    <row r="1443">
      <c r="A1443" s="1">
        <f>HYPERLINK("https://eurofarma-latam-crm.veevavault.com/#object/account__v/V4TZ025E840170P", "Letícia Pessanha")</f>
        <v/>
      </c>
      <c r="B1443" s="1">
        <f>HYPERLINK("https://eurofarma-latam-crm.veevavault.com/#object/account__v/V4TZ025E840170P", "Letícia Pereira Pessanha")</f>
        <v/>
      </c>
      <c r="C1443" t="inlineStr">
        <is>
          <t>RJ1290088</t>
        </is>
      </c>
      <c r="D1443" t="inlineStr">
        <is>
          <t>CLG / PA</t>
        </is>
      </c>
      <c r="E1443" t="inlineStr">
        <is>
          <t>Rua Manoel Duarte, S/N</t>
        </is>
      </c>
      <c r="F1443" t="inlineStr">
        <is>
          <t>Centro</t>
        </is>
      </c>
      <c r="G1443" t="inlineStr">
        <is>
          <t>Arraial do Cabo</t>
        </is>
      </c>
      <c r="H1443" t="inlineStr">
        <is>
          <t>RJ</t>
        </is>
      </c>
      <c r="I1443" t="n">
        <v>7741</v>
      </c>
      <c r="J1443" t="inlineStr">
        <is>
          <t>CAT 5</t>
        </is>
      </c>
      <c r="K1443" t="inlineStr">
        <is>
          <t>N�o</t>
        </is>
      </c>
    </row>
    <row r="1444">
      <c r="A1444" s="1">
        <f>HYPERLINK("https://eurofarma-latam-crm.veevavault.com/#object/account__v/V4TZ025E88VSQAP", "Letícia Saggese")</f>
        <v/>
      </c>
      <c r="B1444" s="1">
        <f>HYPERLINK("https://eurofarma-latam-crm.veevavault.com/#object/account__v/V4TZ025E88VSQAP", "Letícia Ferreira Saggese")</f>
        <v/>
      </c>
      <c r="C1444" t="inlineStr">
        <is>
          <t>RJ1332538</t>
        </is>
      </c>
      <c r="D1444" t="inlineStr">
        <is>
          <t>CLG / PA</t>
        </is>
      </c>
      <c r="E1444" t="inlineStr">
        <is>
          <t>Avenida Getulio Vargas, S/N</t>
        </is>
      </c>
      <c r="F1444" t="inlineStr">
        <is>
          <t>Canaã</t>
        </is>
      </c>
      <c r="G1444" t="inlineStr">
        <is>
          <t>Arraial do Cabo</t>
        </is>
      </c>
      <c r="H1444" t="inlineStr">
        <is>
          <t>RJ</t>
        </is>
      </c>
      <c r="I1444" t="n">
        <v>7741</v>
      </c>
      <c r="J1444" t="inlineStr">
        <is>
          <t>CAT 5</t>
        </is>
      </c>
      <c r="K1444" t="inlineStr">
        <is>
          <t>Sim</t>
        </is>
      </c>
    </row>
    <row r="1445">
      <c r="A1445" s="1">
        <f>HYPERLINK("https://eurofarma-latam-crm.veevavault.com/#object/account__v/V4TZ000018NYL5N", "Liana Dornellas")</f>
        <v/>
      </c>
      <c r="B1445" s="1">
        <f>HYPERLINK("https://eurofarma-latam-crm.veevavault.com/#object/account__v/V4TZ000018NYL5N", "Liana Miranda Bensi dos Santos Dornellas")</f>
        <v/>
      </c>
      <c r="C1445" t="inlineStr">
        <is>
          <t>RJ0631213</t>
        </is>
      </c>
      <c r="D1445" t="inlineStr">
        <is>
          <t>PSQ</t>
        </is>
      </c>
      <c r="E1445" t="inlineStr">
        <is>
          <t>Rua Francisco Lopes, 51</t>
        </is>
      </c>
      <c r="F1445" t="inlineStr">
        <is>
          <t>Centro</t>
        </is>
      </c>
      <c r="G1445" t="inlineStr">
        <is>
          <t>Casimiro de Abreu</t>
        </is>
      </c>
      <c r="H1445" t="inlineStr">
        <is>
          <t>RJ</t>
        </is>
      </c>
      <c r="I1445" t="n">
        <v>7741</v>
      </c>
      <c r="J1445" t="inlineStr">
        <is>
          <t>CAT 2</t>
        </is>
      </c>
      <c r="K1445" t="inlineStr">
        <is>
          <t>Sim</t>
        </is>
      </c>
    </row>
    <row r="1446">
      <c r="A1446" s="1">
        <f>HYPERLINK("https://eurofarma-latam-crm.veevavault.com/#object/account__v/V4TZ00001914FBB", "Lílian Paula Stwilliams")</f>
        <v/>
      </c>
      <c r="B1446" s="1">
        <f>HYPERLINK("https://eurofarma-latam-crm.veevavault.com/#object/account__v/V4TZ00001914FBB", "Lílian Paula Pereira de Araujo Stwilliams")</f>
        <v/>
      </c>
      <c r="C1446" t="inlineStr">
        <is>
          <t>RJ1088858</t>
        </is>
      </c>
      <c r="D1446" t="inlineStr">
        <is>
          <t>PSQ</t>
        </is>
      </c>
      <c r="E1446" t="inlineStr">
        <is>
          <t>Rua Tatuí, S/N</t>
        </is>
      </c>
      <c r="F1446" t="inlineStr">
        <is>
          <t>Aquarius (Tamoios)</t>
        </is>
      </c>
      <c r="G1446" t="inlineStr">
        <is>
          <t>Cabo Frio</t>
        </is>
      </c>
      <c r="H1446" t="inlineStr">
        <is>
          <t>RJ</t>
        </is>
      </c>
      <c r="I1446" t="n">
        <v>7741</v>
      </c>
      <c r="J1446" t="inlineStr">
        <is>
          <t>CAT 4</t>
        </is>
      </c>
      <c r="K1446" t="inlineStr">
        <is>
          <t>Sim</t>
        </is>
      </c>
    </row>
    <row r="1447">
      <c r="A1447" s="1">
        <f>HYPERLINK("https://eurofarma-latam-crm.veevavault.com/#object/account__v/V4TZ025E84EWY1X", "Lorena Leite")</f>
        <v/>
      </c>
      <c r="B1447" s="1">
        <f>HYPERLINK("https://eurofarma-latam-crm.veevavault.com/#object/account__v/V4TZ025E84EWY1X", "Lorena Thairly Fonseca Leite")</f>
        <v/>
      </c>
      <c r="C1447" t="inlineStr">
        <is>
          <t>RJ1306618</t>
        </is>
      </c>
      <c r="D1447" t="inlineStr">
        <is>
          <t>CLG / PA</t>
        </is>
      </c>
      <c r="E1447" t="inlineStr">
        <is>
          <t>Avenida Pedro Sanches, S/N - Figueira</t>
        </is>
      </c>
      <c r="F1447" t="inlineStr">
        <is>
          <t>Centro</t>
        </is>
      </c>
      <c r="G1447" t="inlineStr">
        <is>
          <t>Arraial do Cabo</t>
        </is>
      </c>
      <c r="H1447" t="inlineStr">
        <is>
          <t>RJ</t>
        </is>
      </c>
      <c r="I1447" t="n">
        <v>7741</v>
      </c>
      <c r="J1447" t="inlineStr">
        <is>
          <t>CAT 5</t>
        </is>
      </c>
      <c r="K1447" t="inlineStr">
        <is>
          <t>N�o</t>
        </is>
      </c>
    </row>
    <row r="1448">
      <c r="A1448" s="1">
        <f>HYPERLINK("https://eurofarma-latam-crm.veevavault.com/#object/account__v/V4TZ025E89JI1QU", "Luanna Cremonez")</f>
        <v/>
      </c>
      <c r="B1448" s="1">
        <f>HYPERLINK("https://eurofarma-latam-crm.veevavault.com/#object/account__v/V4TZ025E89JI1QU", "Luanna de Souza Côrtes Cremonez")</f>
        <v/>
      </c>
      <c r="C1448" t="inlineStr">
        <is>
          <t>RJ1337637</t>
        </is>
      </c>
      <c r="D1448" t="inlineStr">
        <is>
          <t>CLG / PA</t>
        </is>
      </c>
      <c r="E1448" t="inlineStr">
        <is>
          <t>Rua Prefeito Waldir da Silva Lobo, 01</t>
        </is>
      </c>
      <c r="F1448" t="inlineStr">
        <is>
          <t>Morro do Milagre</t>
        </is>
      </c>
      <c r="G1448" t="inlineStr">
        <is>
          <t>São Pedro da Aldeia</t>
        </is>
      </c>
      <c r="H1448" t="inlineStr">
        <is>
          <t>RJ</t>
        </is>
      </c>
      <c r="I1448" t="n">
        <v>7741</v>
      </c>
      <c r="J1448" t="inlineStr">
        <is>
          <t>CAT 4</t>
        </is>
      </c>
      <c r="K1448" t="inlineStr">
        <is>
          <t>Sim</t>
        </is>
      </c>
    </row>
    <row r="1449">
      <c r="A1449" s="1">
        <f>HYPERLINK("https://eurofarma-latam-crm.veevavault.com/#object/account__v/V4TZ000018NYR1J", "Lucas Amaral")</f>
        <v/>
      </c>
      <c r="B1449" s="1">
        <f>HYPERLINK("https://eurofarma-latam-crm.veevavault.com/#object/account__v/V4TZ000018NYR1J", "Lucas Maia de Almeida Veiga Amaral")</f>
        <v/>
      </c>
      <c r="C1449" t="inlineStr">
        <is>
          <t>RJ1076345</t>
        </is>
      </c>
      <c r="D1449" t="inlineStr">
        <is>
          <t>CLG / PA</t>
        </is>
      </c>
      <c r="E1449" t="inlineStr">
        <is>
          <t>Rua Duque de Caxias, 25 - Loja</t>
        </is>
      </c>
      <c r="F1449" t="inlineStr">
        <is>
          <t>Centro</t>
        </is>
      </c>
      <c r="G1449" t="inlineStr">
        <is>
          <t>São Pedro da Aldeia</t>
        </is>
      </c>
      <c r="H1449" t="inlineStr">
        <is>
          <t>RJ</t>
        </is>
      </c>
      <c r="I1449" t="n">
        <v>7741</v>
      </c>
      <c r="J1449" t="inlineStr">
        <is>
          <t>CAT 5</t>
        </is>
      </c>
      <c r="K1449" t="inlineStr">
        <is>
          <t>N�o</t>
        </is>
      </c>
    </row>
    <row r="1450">
      <c r="A1450" s="1">
        <f>HYPERLINK("https://eurofarma-latam-crm.veevavault.com/#object/account__v/V4TZ025E89BFH95", "Lucas Baptista")</f>
        <v/>
      </c>
      <c r="B1450" s="1">
        <f>HYPERLINK("https://eurofarma-latam-crm.veevavault.com/#object/account__v/V4TZ025E89BFH95", "Lucas Nascimento Baptista")</f>
        <v/>
      </c>
      <c r="C1450" t="inlineStr">
        <is>
          <t>RJ1324608</t>
        </is>
      </c>
      <c r="D1450" t="inlineStr">
        <is>
          <t>CLG / PA</t>
        </is>
      </c>
      <c r="E1450" t="inlineStr">
        <is>
          <t>Rua Baster Pillar, S/N</t>
        </is>
      </c>
      <c r="F1450" t="inlineStr">
        <is>
          <t>Parque Hotel</t>
        </is>
      </c>
      <c r="G1450" t="inlineStr">
        <is>
          <t>Araruama</t>
        </is>
      </c>
      <c r="H1450" t="inlineStr">
        <is>
          <t>RJ</t>
        </is>
      </c>
      <c r="I1450" t="n">
        <v>7741</v>
      </c>
      <c r="J1450" t="inlineStr">
        <is>
          <t>CAT 5</t>
        </is>
      </c>
      <c r="K1450" t="inlineStr">
        <is>
          <t>N�o</t>
        </is>
      </c>
    </row>
    <row r="1451">
      <c r="A1451" s="1">
        <f>HYPERLINK("https://eurofarma-latam-crm.veevavault.com/#object/account__v/V4TZ00001916BXW", "Lucas Defaveri")</f>
        <v/>
      </c>
      <c r="B1451" s="1">
        <f>HYPERLINK("https://eurofarma-latam-crm.veevavault.com/#object/account__v/V4TZ00001916BXW", "Lucas Emanuel Defaveri")</f>
        <v/>
      </c>
      <c r="C1451" t="inlineStr">
        <is>
          <t>RJ1214268</t>
        </is>
      </c>
      <c r="D1451" t="inlineStr">
        <is>
          <t>CLG / PA</t>
        </is>
      </c>
      <c r="E1451" t="inlineStr">
        <is>
          <t>Rua Prefeito Waldir da Silva Lobo, 01</t>
        </is>
      </c>
      <c r="F1451" t="inlineStr">
        <is>
          <t>Morro do Milagre</t>
        </is>
      </c>
      <c r="G1451" t="inlineStr">
        <is>
          <t>São Pedro da Aldeia</t>
        </is>
      </c>
      <c r="H1451" t="inlineStr">
        <is>
          <t>RJ</t>
        </is>
      </c>
      <c r="I1451" t="n">
        <v>7741</v>
      </c>
      <c r="J1451" t="inlineStr">
        <is>
          <t>CAT 3</t>
        </is>
      </c>
      <c r="K1451" t="inlineStr">
        <is>
          <t>Sim</t>
        </is>
      </c>
    </row>
    <row r="1452">
      <c r="A1452" s="1">
        <f>HYPERLINK("https://eurofarma-latam-crm.veevavault.com/#object/account__v/V4TZ04ASGN74KMC", "Lucas Garcia")</f>
        <v/>
      </c>
      <c r="B1452" s="1">
        <f>HYPERLINK("https://eurofarma-latam-crm.veevavault.com/#object/account__v/V4TZ04ASGN74KMC", "Lucas Ferreira Garcia")</f>
        <v/>
      </c>
      <c r="C1452" t="inlineStr">
        <is>
          <t>RJ1386589</t>
        </is>
      </c>
      <c r="D1452" t="inlineStr">
        <is>
          <t>PED</t>
        </is>
      </c>
      <c r="E1452" t="inlineStr">
        <is>
          <t>Rodovia Amaral Peixoto, S/N - KM 107</t>
        </is>
      </c>
      <c r="F1452" t="inlineStr">
        <is>
          <t>Balneário São Pedro</t>
        </is>
      </c>
      <c r="G1452" t="inlineStr">
        <is>
          <t>São Pedro da Aldeia</t>
        </is>
      </c>
      <c r="H1452" t="inlineStr">
        <is>
          <t>RJ</t>
        </is>
      </c>
      <c r="I1452" t="n">
        <v>7741</v>
      </c>
      <c r="J1452" t="inlineStr"/>
      <c r="K1452" t="inlineStr"/>
    </row>
    <row r="1453">
      <c r="A1453" s="1">
        <f>HYPERLINK("https://eurofarma-latam-crm.veevavault.com/#object/account__v/V4TZ000018NYBET", "Luciana Coelho")</f>
        <v/>
      </c>
      <c r="B1453" s="1">
        <f>HYPERLINK("https://eurofarma-latam-crm.veevavault.com/#object/account__v/V4TZ000018NYBET", "Luciana Correia Coelho")</f>
        <v/>
      </c>
      <c r="C1453" t="inlineStr">
        <is>
          <t>RJ0685135</t>
        </is>
      </c>
      <c r="D1453" t="inlineStr">
        <is>
          <t>PED</t>
        </is>
      </c>
      <c r="E1453" t="inlineStr">
        <is>
          <t>Rodovia Amaral Peixoto, S/N - KM 107</t>
        </is>
      </c>
      <c r="F1453" t="inlineStr">
        <is>
          <t>Balneário São Pedro</t>
        </is>
      </c>
      <c r="G1453" t="inlineStr">
        <is>
          <t>São Pedro da Aldeia</t>
        </is>
      </c>
      <c r="H1453" t="inlineStr">
        <is>
          <t>RJ</t>
        </is>
      </c>
      <c r="I1453" t="n">
        <v>7741</v>
      </c>
      <c r="J1453" t="inlineStr">
        <is>
          <t>CAT 5</t>
        </is>
      </c>
      <c r="K1453" t="inlineStr">
        <is>
          <t>N�o</t>
        </is>
      </c>
    </row>
    <row r="1454">
      <c r="A1454" s="1">
        <f>HYPERLINK("https://eurofarma-latam-crm.veevavault.com/#object/account__v/V4TZ000018NXLL8", "Luciana de Oliveira")</f>
        <v/>
      </c>
      <c r="B1454" s="1">
        <f>HYPERLINK("https://eurofarma-latam-crm.veevavault.com/#object/account__v/V4TZ000018NXLL8", "Luciana Porto de Oliveira")</f>
        <v/>
      </c>
      <c r="C1454" t="inlineStr">
        <is>
          <t>RJ0856444</t>
        </is>
      </c>
      <c r="D1454" t="inlineStr">
        <is>
          <t>END</t>
        </is>
      </c>
      <c r="E1454" t="inlineStr">
        <is>
          <t>Rua Prefeito Waldir da Silva Lobo, 2</t>
        </is>
      </c>
      <c r="F1454" t="inlineStr">
        <is>
          <t>Morro do Milagre</t>
        </is>
      </c>
      <c r="G1454" t="inlineStr">
        <is>
          <t>São Pedro da Aldeia</t>
        </is>
      </c>
      <c r="H1454" t="inlineStr">
        <is>
          <t>RJ</t>
        </is>
      </c>
      <c r="I1454" t="n">
        <v>7741</v>
      </c>
      <c r="J1454" t="inlineStr">
        <is>
          <t>CAT 1</t>
        </is>
      </c>
      <c r="K1454" t="inlineStr">
        <is>
          <t>Sim</t>
        </is>
      </c>
    </row>
    <row r="1455">
      <c r="A1455" s="1">
        <f>HYPERLINK("https://eurofarma-latam-crm.veevavault.com/#object/account__v/V4TZ000018NZ1VB", "Luis Carlos Souza")</f>
        <v/>
      </c>
      <c r="B1455" s="1">
        <f>HYPERLINK("https://eurofarma-latam-crm.veevavault.com/#object/account__v/V4TZ000018NZ1VB", "Luis Carlos dos Santos Souza")</f>
        <v/>
      </c>
      <c r="C1455" t="inlineStr">
        <is>
          <t>RJ0469330</t>
        </is>
      </c>
      <c r="D1455" t="inlineStr">
        <is>
          <t>URO</t>
        </is>
      </c>
      <c r="E1455" t="inlineStr">
        <is>
          <t>Avenida Brasil, 155</t>
        </is>
      </c>
      <c r="F1455" t="inlineStr">
        <is>
          <t>Centro</t>
        </is>
      </c>
      <c r="G1455" t="inlineStr">
        <is>
          <t>Araruama</t>
        </is>
      </c>
      <c r="H1455" t="inlineStr">
        <is>
          <t>RJ</t>
        </is>
      </c>
      <c r="I1455" t="n">
        <v>7741</v>
      </c>
      <c r="J1455" t="inlineStr">
        <is>
          <t>CAT 4</t>
        </is>
      </c>
      <c r="K1455" t="inlineStr">
        <is>
          <t>Sim</t>
        </is>
      </c>
    </row>
    <row r="1456">
      <c r="A1456" s="1">
        <f>HYPERLINK("https://eurofarma-latam-crm.veevavault.com/#object/account__v/V4TZ000018NYB37", "Luisa Dias")</f>
        <v/>
      </c>
      <c r="B1456" s="1">
        <f>HYPERLINK("https://eurofarma-latam-crm.veevavault.com/#object/account__v/V4TZ000018NYB37", "Luisa Werneck da Costa Dias")</f>
        <v/>
      </c>
      <c r="C1456" t="inlineStr">
        <is>
          <t>RJ1121251</t>
        </is>
      </c>
      <c r="D1456" t="inlineStr">
        <is>
          <t>PED</t>
        </is>
      </c>
      <c r="E1456" t="inlineStr">
        <is>
          <t>Rua Raul Veiga, 153 - Sala  203</t>
        </is>
      </c>
      <c r="F1456" t="inlineStr">
        <is>
          <t>Centro</t>
        </is>
      </c>
      <c r="G1456" t="inlineStr">
        <is>
          <t>Cabo Frio</t>
        </is>
      </c>
      <c r="H1456" t="inlineStr">
        <is>
          <t>RJ</t>
        </is>
      </c>
      <c r="I1456" t="n">
        <v>7741</v>
      </c>
      <c r="J1456" t="inlineStr">
        <is>
          <t>CAT 5</t>
        </is>
      </c>
      <c r="K1456" t="inlineStr">
        <is>
          <t>Sim</t>
        </is>
      </c>
    </row>
    <row r="1457">
      <c r="A1457" s="1">
        <f>HYPERLINK("https://eurofarma-latam-crm.veevavault.com/#object/account__v/V4TZ025E88NESXJ", "Luisa Pessanha")</f>
        <v/>
      </c>
      <c r="B1457" s="1">
        <f>HYPERLINK("https://eurofarma-latam-crm.veevavault.com/#object/account__v/V4TZ025E88NESXJ", "Luisa Fontes Pessanha")</f>
        <v/>
      </c>
      <c r="C1457" t="inlineStr">
        <is>
          <t>RJ1328956</t>
        </is>
      </c>
      <c r="D1457" t="inlineStr">
        <is>
          <t>CLG / PA</t>
        </is>
      </c>
      <c r="E1457" t="inlineStr">
        <is>
          <t>Rua Vítor Rocha, 410</t>
        </is>
      </c>
      <c r="F1457" t="inlineStr">
        <is>
          <t>Parque Burle</t>
        </is>
      </c>
      <c r="G1457" t="inlineStr">
        <is>
          <t>Cabo Frio</t>
        </is>
      </c>
      <c r="H1457" t="inlineStr">
        <is>
          <t>RJ</t>
        </is>
      </c>
      <c r="I1457" t="n">
        <v>7741</v>
      </c>
      <c r="J1457" t="inlineStr">
        <is>
          <t>CAT 3</t>
        </is>
      </c>
      <c r="K1457" t="inlineStr">
        <is>
          <t>Sim</t>
        </is>
      </c>
    </row>
    <row r="1458">
      <c r="A1458" s="1">
        <f>HYPERLINK("https://eurofarma-latam-crm.veevavault.com/#object/account__v/V4TZ00001914UJ0", "Luísa Ramos")</f>
        <v/>
      </c>
      <c r="B1458" s="1">
        <f>HYPERLINK("https://eurofarma-latam-crm.veevavault.com/#object/account__v/V4TZ00001914UJ0", "Luísa de Mello Ramos")</f>
        <v/>
      </c>
      <c r="C1458" t="inlineStr">
        <is>
          <t>RJ1252747</t>
        </is>
      </c>
      <c r="D1458" t="inlineStr">
        <is>
          <t>CLG / PA</t>
        </is>
      </c>
      <c r="E1458" t="inlineStr">
        <is>
          <t>Rua Raul Veiga, 01</t>
        </is>
      </c>
      <c r="F1458" t="inlineStr">
        <is>
          <t>Centro</t>
        </is>
      </c>
      <c r="G1458" t="inlineStr">
        <is>
          <t>Cabo Frio</t>
        </is>
      </c>
      <c r="H1458" t="inlineStr">
        <is>
          <t>RJ</t>
        </is>
      </c>
      <c r="I1458" t="n">
        <v>7741</v>
      </c>
      <c r="J1458" t="inlineStr">
        <is>
          <t>CAT 4</t>
        </is>
      </c>
      <c r="K1458" t="inlineStr">
        <is>
          <t>Sim</t>
        </is>
      </c>
    </row>
    <row r="1459">
      <c r="A1459" s="1">
        <f>HYPERLINK("https://eurofarma-latam-crm.veevavault.com/#object/account__v/V4TZ00001913RF3", "Luiz Santos")</f>
        <v/>
      </c>
      <c r="B1459" s="1">
        <f>HYPERLINK("https://eurofarma-latam-crm.veevavault.com/#object/account__v/V4TZ00001913RF3", "Luiz Eduardo Baptista dos Santos")</f>
        <v/>
      </c>
      <c r="C1459" t="inlineStr">
        <is>
          <t>RJ0474294</t>
        </is>
      </c>
      <c r="D1459" t="inlineStr">
        <is>
          <t>ORT</t>
        </is>
      </c>
      <c r="E1459" t="inlineStr">
        <is>
          <t>Rua Andira, 122</t>
        </is>
      </c>
      <c r="F1459" t="inlineStr">
        <is>
          <t>Vila Verde</t>
        </is>
      </c>
      <c r="G1459" t="inlineStr">
        <is>
          <t>Armação dos Búzios</t>
        </is>
      </c>
      <c r="H1459" t="inlineStr">
        <is>
          <t>RJ</t>
        </is>
      </c>
      <c r="I1459" t="n">
        <v>7741</v>
      </c>
      <c r="J1459" t="inlineStr">
        <is>
          <t>CAT 5</t>
        </is>
      </c>
      <c r="K1459" t="inlineStr">
        <is>
          <t>Sim</t>
        </is>
      </c>
    </row>
    <row r="1460">
      <c r="A1460" s="1">
        <f>HYPERLINK("https://eurofarma-latam-crm.veevavault.com/#object/account__v/V4TZ025E884OH5R", "Luíza dos Santos")</f>
        <v/>
      </c>
      <c r="B1460" s="1">
        <f>HYPERLINK("https://eurofarma-latam-crm.veevavault.com/#object/account__v/V4TZ025E884OH5R", "Luíza de Souza dos Santos")</f>
        <v/>
      </c>
      <c r="C1460" t="inlineStr">
        <is>
          <t>RJ1282506</t>
        </is>
      </c>
      <c r="D1460" t="inlineStr">
        <is>
          <t>PSQ</t>
        </is>
      </c>
      <c r="E1460" t="inlineStr">
        <is>
          <t>Rua Prefeito Waldir da Silva Lobo, 02 - Casa</t>
        </is>
      </c>
      <c r="F1460" t="inlineStr">
        <is>
          <t>Morro do Milagre</t>
        </is>
      </c>
      <c r="G1460" t="inlineStr">
        <is>
          <t>São Pedro da Aldeia</t>
        </is>
      </c>
      <c r="H1460" t="inlineStr">
        <is>
          <t>RJ</t>
        </is>
      </c>
      <c r="I1460" t="n">
        <v>7741</v>
      </c>
      <c r="J1460" t="inlineStr"/>
      <c r="K1460" t="inlineStr"/>
    </row>
    <row r="1461">
      <c r="A1461" s="1">
        <f>HYPERLINK("https://eurofarma-latam-crm.veevavault.com/#object/account__v/V4TZ00001913VM4", "Madge Padua")</f>
        <v/>
      </c>
      <c r="B1461" s="1">
        <f>HYPERLINK("https://eurofarma-latam-crm.veevavault.com/#object/account__v/V4TZ00001913VM4", "Madge Santos Padua")</f>
        <v/>
      </c>
      <c r="C1461" t="inlineStr">
        <is>
          <t>RJ0189931</t>
        </is>
      </c>
      <c r="D1461" t="inlineStr">
        <is>
          <t>CLG</t>
        </is>
      </c>
      <c r="E1461" t="inlineStr">
        <is>
          <t>Avenida Júlia Kubitschek, 39 204 C</t>
        </is>
      </c>
      <c r="F1461" t="inlineStr">
        <is>
          <t>Centro</t>
        </is>
      </c>
      <c r="G1461" t="inlineStr">
        <is>
          <t>Cabo Frio</t>
        </is>
      </c>
      <c r="H1461" t="inlineStr">
        <is>
          <t>RJ</t>
        </is>
      </c>
      <c r="I1461" t="n">
        <v>7741</v>
      </c>
      <c r="J1461" t="inlineStr">
        <is>
          <t>CAT 2</t>
        </is>
      </c>
      <c r="K1461" t="inlineStr">
        <is>
          <t>Sim</t>
        </is>
      </c>
    </row>
    <row r="1462">
      <c r="A1462" s="1">
        <f>HYPERLINK("https://eurofarma-latam-crm.veevavault.com/#object/account__v/V4TZ0000191642D", "Marcella Santos")</f>
        <v/>
      </c>
      <c r="B1462" s="1">
        <f>HYPERLINK("https://eurofarma-latam-crm.veevavault.com/#object/account__v/V4TZ0000191642D", "Marcella Simão dos Santos")</f>
        <v/>
      </c>
      <c r="C1462" t="inlineStr">
        <is>
          <t>RJ1277588</t>
        </is>
      </c>
      <c r="D1462" t="inlineStr">
        <is>
          <t>CLG / PA</t>
        </is>
      </c>
      <c r="E1462" t="inlineStr">
        <is>
          <t>Rua Sérgio Ferreira Nunes, 12</t>
        </is>
      </c>
      <c r="F1462" t="inlineStr">
        <is>
          <t>Recanto do Sol</t>
        </is>
      </c>
      <c r="G1462" t="inlineStr">
        <is>
          <t>São Pedro da Aldeia</t>
        </is>
      </c>
      <c r="H1462" t="inlineStr">
        <is>
          <t>RJ</t>
        </is>
      </c>
      <c r="I1462" t="n">
        <v>7741</v>
      </c>
      <c r="J1462" t="inlineStr"/>
      <c r="K1462" t="inlineStr"/>
    </row>
    <row r="1463">
      <c r="A1463" s="1">
        <f>HYPERLINK("https://eurofarma-latam-crm.veevavault.com/#object/account__v/V4TZ000018NYXFR", "Marcelo Camilo")</f>
        <v/>
      </c>
      <c r="B1463" s="1">
        <f>HYPERLINK("https://eurofarma-latam-crm.veevavault.com/#object/account__v/V4TZ000018NYXFR", "Marcelo Márcio Teixeira Camilo")</f>
        <v/>
      </c>
      <c r="C1463" t="inlineStr">
        <is>
          <t>RJ1246666</t>
        </is>
      </c>
      <c r="D1463" t="inlineStr">
        <is>
          <t>CLG / PA</t>
        </is>
      </c>
      <c r="E1463" t="inlineStr">
        <is>
          <t>Rua Mil e Dezessete, 660</t>
        </is>
      </c>
      <c r="F1463" t="inlineStr">
        <is>
          <t>Santo Agostinho</t>
        </is>
      </c>
      <c r="G1463" t="inlineStr">
        <is>
          <t>Volta Redonda</t>
        </is>
      </c>
      <c r="H1463" t="inlineStr">
        <is>
          <t>RJ</t>
        </is>
      </c>
      <c r="I1463" t="n">
        <v>7741</v>
      </c>
      <c r="J1463" t="inlineStr">
        <is>
          <t>CAT 2</t>
        </is>
      </c>
      <c r="K1463" t="inlineStr">
        <is>
          <t>Sim</t>
        </is>
      </c>
    </row>
    <row r="1464">
      <c r="A1464" s="1">
        <f>HYPERLINK("https://eurofarma-latam-crm.veevavault.com/#object/account__v/V4TZ000018NZ3FM", "Marcelo de Freitas")</f>
        <v/>
      </c>
      <c r="B1464" s="1">
        <f>HYPERLINK("https://eurofarma-latam-crm.veevavault.com/#object/account__v/V4TZ000018NZ3FM", "Marcelo Cerqueira Garcia de Freitas")</f>
        <v/>
      </c>
      <c r="C1464" t="inlineStr">
        <is>
          <t>RJ0531026</t>
        </is>
      </c>
      <c r="D1464" t="inlineStr">
        <is>
          <t>ORL</t>
        </is>
      </c>
      <c r="E1464" t="inlineStr">
        <is>
          <t>Rua Tatuí, S/N</t>
        </is>
      </c>
      <c r="F1464" t="inlineStr">
        <is>
          <t>Aquarius (Tamoios)</t>
        </is>
      </c>
      <c r="G1464" t="inlineStr">
        <is>
          <t>Cabo Frio</t>
        </is>
      </c>
      <c r="H1464" t="inlineStr">
        <is>
          <t>RJ</t>
        </is>
      </c>
      <c r="I1464" t="n">
        <v>7741</v>
      </c>
      <c r="J1464" t="inlineStr">
        <is>
          <t>CAT 3</t>
        </is>
      </c>
      <c r="K1464" t="inlineStr">
        <is>
          <t>Sim</t>
        </is>
      </c>
    </row>
    <row r="1465">
      <c r="A1465" s="1">
        <f>HYPERLINK("https://eurofarma-latam-crm.veevavault.com/#object/account__v/V4TZ000019148Q6", "Marcelo Pereira")</f>
        <v/>
      </c>
      <c r="B1465" s="1">
        <f>HYPERLINK("https://eurofarma-latam-crm.veevavault.com/#object/account__v/V4TZ000019148Q6", "Marcelo Tutungi Pereira")</f>
        <v/>
      </c>
      <c r="C1465" t="inlineStr">
        <is>
          <t>RJ0544900</t>
        </is>
      </c>
      <c r="D1465" t="inlineStr">
        <is>
          <t>CLG / SNC</t>
        </is>
      </c>
      <c r="E1465" t="inlineStr">
        <is>
          <t>Rua Barão do Rio Branco, 55 - Sala 206</t>
        </is>
      </c>
      <c r="F1465" t="inlineStr">
        <is>
          <t>Passagem</t>
        </is>
      </c>
      <c r="G1465" t="inlineStr">
        <is>
          <t>Cabo Frio</t>
        </is>
      </c>
      <c r="H1465" t="inlineStr">
        <is>
          <t>RJ</t>
        </is>
      </c>
      <c r="I1465" t="n">
        <v>7741</v>
      </c>
      <c r="J1465" t="inlineStr">
        <is>
          <t>CAT 1</t>
        </is>
      </c>
      <c r="K1465" t="inlineStr">
        <is>
          <t>Sim</t>
        </is>
      </c>
    </row>
    <row r="1466">
      <c r="A1466" s="1">
        <f>HYPERLINK("https://eurofarma-latam-crm.veevavault.com/#object/account__v/V4TZ00001915EBW", "Marcia Lima")</f>
        <v/>
      </c>
      <c r="B1466" s="1">
        <f>HYPERLINK("https://eurofarma-latam-crm.veevavault.com/#object/account__v/V4TZ00001915EBW", "Marcia Ermida Lima")</f>
        <v/>
      </c>
      <c r="C1466" t="inlineStr">
        <is>
          <t>RJ0312170</t>
        </is>
      </c>
      <c r="D1466" t="inlineStr">
        <is>
          <t>CLG</t>
        </is>
      </c>
      <c r="E1466" t="inlineStr">
        <is>
          <t>Rua Manoel José de Carvalho, 97</t>
        </is>
      </c>
      <c r="F1466" t="inlineStr">
        <is>
          <t>São Cristóvão</t>
        </is>
      </c>
      <c r="G1466" t="inlineStr">
        <is>
          <t>Cabo Frio</t>
        </is>
      </c>
      <c r="H1466" t="inlineStr">
        <is>
          <t>RJ</t>
        </is>
      </c>
      <c r="I1466" t="n">
        <v>7741</v>
      </c>
      <c r="J1466" t="inlineStr">
        <is>
          <t>CAT 4</t>
        </is>
      </c>
      <c r="K1466" t="inlineStr">
        <is>
          <t>Sim</t>
        </is>
      </c>
    </row>
    <row r="1467">
      <c r="A1467" s="1">
        <f>HYPERLINK("https://eurofarma-latam-crm.veevavault.com/#object/account__v/V4TZ00001915CM2", "Marcia Mattos")</f>
        <v/>
      </c>
      <c r="B1467" s="1">
        <f>HYPERLINK("https://eurofarma-latam-crm.veevavault.com/#object/account__v/V4TZ00001915CM2", "Marcia Cristina do Nascimento Moreira Mattos")</f>
        <v/>
      </c>
      <c r="C1467" t="inlineStr">
        <is>
          <t>RJ0599024</t>
        </is>
      </c>
      <c r="D1467" t="inlineStr">
        <is>
          <t>PED</t>
        </is>
      </c>
      <c r="E1467" t="inlineStr">
        <is>
          <t>Avenida Ayrton Senna, 2000</t>
        </is>
      </c>
      <c r="F1467" t="inlineStr">
        <is>
          <t>Barra da Tijuca</t>
        </is>
      </c>
      <c r="G1467" t="inlineStr">
        <is>
          <t>Rio de Janeiro</t>
        </is>
      </c>
      <c r="H1467" t="inlineStr">
        <is>
          <t>RJ</t>
        </is>
      </c>
      <c r="I1467" t="n">
        <v>7741</v>
      </c>
      <c r="J1467" t="inlineStr">
        <is>
          <t>CAT 5</t>
        </is>
      </c>
      <c r="K1467" t="inlineStr">
        <is>
          <t>N�o</t>
        </is>
      </c>
    </row>
    <row r="1468">
      <c r="A1468" s="1">
        <f>HYPERLINK("https://eurofarma-latam-crm.veevavault.com/#object/account__v/V4TZ00001915CFE", "Marcio da Silva")</f>
        <v/>
      </c>
      <c r="B1468" s="1">
        <f>HYPERLINK("https://eurofarma-latam-crm.veevavault.com/#object/account__v/V4TZ00001915CFE", "Marcio Abrahão da Silva")</f>
        <v/>
      </c>
      <c r="C1468" t="inlineStr">
        <is>
          <t>RJ0832073</t>
        </is>
      </c>
      <c r="D1468" t="inlineStr">
        <is>
          <t>ORT</t>
        </is>
      </c>
      <c r="E1468" t="inlineStr">
        <is>
          <t>Avenida Getulio Vargas, S/N</t>
        </is>
      </c>
      <c r="F1468" t="inlineStr">
        <is>
          <t>Canaã</t>
        </is>
      </c>
      <c r="G1468" t="inlineStr">
        <is>
          <t>Arraial do Cabo</t>
        </is>
      </c>
      <c r="H1468" t="inlineStr">
        <is>
          <t>RJ</t>
        </is>
      </c>
      <c r="I1468" t="n">
        <v>7741</v>
      </c>
      <c r="J1468" t="inlineStr">
        <is>
          <t>CAT 5</t>
        </is>
      </c>
      <c r="K1468" t="inlineStr">
        <is>
          <t>Sim</t>
        </is>
      </c>
    </row>
    <row r="1469">
      <c r="A1469" s="1">
        <f>HYPERLINK("https://eurofarma-latam-crm.veevavault.com/#object/account__v/V4TZ000018NXO8K", "Marco Antônio Couto")</f>
        <v/>
      </c>
      <c r="B1469" s="1">
        <f>HYPERLINK("https://eurofarma-latam-crm.veevavault.com/#object/account__v/V4TZ000018NXO8K", "Marco Antônio Couto")</f>
        <v/>
      </c>
      <c r="C1469" t="inlineStr">
        <is>
          <t>RJ0308138</t>
        </is>
      </c>
      <c r="D1469" t="inlineStr">
        <is>
          <t>CLG</t>
        </is>
      </c>
      <c r="E1469" t="inlineStr">
        <is>
          <t>Rua Barão do Rio Branco, 9</t>
        </is>
      </c>
      <c r="F1469" t="inlineStr">
        <is>
          <t>Passagem</t>
        </is>
      </c>
      <c r="G1469" t="inlineStr">
        <is>
          <t>Cabo Frio</t>
        </is>
      </c>
      <c r="H1469" t="inlineStr">
        <is>
          <t>RJ</t>
        </is>
      </c>
      <c r="I1469" t="n">
        <v>7741</v>
      </c>
      <c r="J1469" t="inlineStr">
        <is>
          <t>CAT 5</t>
        </is>
      </c>
      <c r="K1469" t="inlineStr">
        <is>
          <t>N�o</t>
        </is>
      </c>
    </row>
    <row r="1470">
      <c r="A1470" s="1">
        <f>HYPERLINK("https://eurofarma-latam-crm.veevavault.com/#object/account__v/V4TZ000018NXXGQ", "Marco Aurelio Assad")</f>
        <v/>
      </c>
      <c r="B1470" s="1">
        <f>HYPERLINK("https://eurofarma-latam-crm.veevavault.com/#object/account__v/V4TZ000018NXXGQ", "Marco Aurelio Ferreira Assad")</f>
        <v/>
      </c>
      <c r="C1470" t="inlineStr">
        <is>
          <t>RJ0505342</t>
        </is>
      </c>
      <c r="D1470" t="inlineStr">
        <is>
          <t>GER</t>
        </is>
      </c>
      <c r="E1470" t="inlineStr">
        <is>
          <t>Avenida Francisco Mendes, 149 - Loja 08</t>
        </is>
      </c>
      <c r="F1470" t="inlineStr">
        <is>
          <t>Centro</t>
        </is>
      </c>
      <c r="G1470" t="inlineStr">
        <is>
          <t>Cabo Frio</t>
        </is>
      </c>
      <c r="H1470" t="inlineStr">
        <is>
          <t>RJ</t>
        </is>
      </c>
      <c r="I1470" t="n">
        <v>7741</v>
      </c>
      <c r="J1470" t="inlineStr">
        <is>
          <t>CAT 3</t>
        </is>
      </c>
      <c r="K1470" t="inlineStr">
        <is>
          <t>Sim</t>
        </is>
      </c>
    </row>
    <row r="1471">
      <c r="A1471" s="1">
        <f>HYPERLINK("https://eurofarma-latam-crm.veevavault.com/#object/account__v/V4TZ025E83HQSQE", "Marco Aurélio Silva")</f>
        <v/>
      </c>
      <c r="B1471" s="1">
        <f>HYPERLINK("https://eurofarma-latam-crm.veevavault.com/#object/account__v/V4TZ025E83HQSQE", "Marco Aurélio Lacerda Silva")</f>
        <v/>
      </c>
      <c r="C1471" t="inlineStr">
        <is>
          <t>RJ1289160</t>
        </is>
      </c>
      <c r="D1471" t="inlineStr">
        <is>
          <t>CLG / PA</t>
        </is>
      </c>
      <c r="E1471" t="inlineStr">
        <is>
          <t>Avenida Getulio Vargas, S/N</t>
        </is>
      </c>
      <c r="F1471" t="inlineStr">
        <is>
          <t>Canaã</t>
        </is>
      </c>
      <c r="G1471" t="inlineStr">
        <is>
          <t>Arraial do Cabo</t>
        </is>
      </c>
      <c r="H1471" t="inlineStr">
        <is>
          <t>RJ</t>
        </is>
      </c>
      <c r="I1471" t="n">
        <v>7741</v>
      </c>
      <c r="J1471" t="inlineStr">
        <is>
          <t>CAT 5</t>
        </is>
      </c>
      <c r="K1471" t="inlineStr">
        <is>
          <t>Sim</t>
        </is>
      </c>
    </row>
    <row r="1472">
      <c r="A1472" s="1">
        <f>HYPERLINK("https://eurofarma-latam-crm.veevavault.com/#object/account__v/V4TZ00001913BVO", "Marcos Fernando Coelho")</f>
        <v/>
      </c>
      <c r="B1472" s="1">
        <f>HYPERLINK("https://eurofarma-latam-crm.veevavault.com/#object/account__v/V4TZ00001913BVO", "Marcos Fernando de Almeida Coelho")</f>
        <v/>
      </c>
      <c r="C1472" t="inlineStr">
        <is>
          <t>RJ0553393</t>
        </is>
      </c>
      <c r="D1472" t="inlineStr">
        <is>
          <t>PSQ</t>
        </is>
      </c>
      <c r="E1472" t="inlineStr">
        <is>
          <t>Rua Henrique Sarzedas, 1001</t>
        </is>
      </c>
      <c r="F1472" t="inlineStr">
        <is>
          <t>Parque Zabulão</t>
        </is>
      </c>
      <c r="G1472" t="inlineStr">
        <is>
          <t>Rio das Ostras</t>
        </is>
      </c>
      <c r="H1472" t="inlineStr">
        <is>
          <t>RJ</t>
        </is>
      </c>
      <c r="I1472" t="n">
        <v>7741</v>
      </c>
      <c r="J1472" t="inlineStr">
        <is>
          <t>CAT 2</t>
        </is>
      </c>
      <c r="K1472" t="inlineStr">
        <is>
          <t>Sim</t>
        </is>
      </c>
    </row>
    <row r="1473">
      <c r="A1473" s="1">
        <f>HYPERLINK("https://eurofarma-latam-crm.veevavault.com/#object/account__v/V4TZ00001914X8W", "Marcos Gusmao")</f>
        <v/>
      </c>
      <c r="B1473" s="1">
        <f>HYPERLINK("https://eurofarma-latam-crm.veevavault.com/#object/account__v/V4TZ00001914X8W", "Marcos Nelson Velloso de Gusmao")</f>
        <v/>
      </c>
      <c r="C1473" t="inlineStr">
        <is>
          <t>RJ0578039</t>
        </is>
      </c>
      <c r="D1473" t="inlineStr">
        <is>
          <t>ORL</t>
        </is>
      </c>
      <c r="E1473" t="inlineStr">
        <is>
          <t>Rua Raul Veiga, 153 - Sala  203</t>
        </is>
      </c>
      <c r="F1473" t="inlineStr">
        <is>
          <t>Centro</t>
        </is>
      </c>
      <c r="G1473" t="inlineStr">
        <is>
          <t>Cabo Frio</t>
        </is>
      </c>
      <c r="H1473" t="inlineStr">
        <is>
          <t>RJ</t>
        </is>
      </c>
      <c r="I1473" t="n">
        <v>7741</v>
      </c>
      <c r="J1473" t="inlineStr">
        <is>
          <t>CAT 4</t>
        </is>
      </c>
      <c r="K1473" t="inlineStr">
        <is>
          <t>Sim</t>
        </is>
      </c>
    </row>
    <row r="1474">
      <c r="A1474" s="1">
        <f>HYPERLINK("https://eurofarma-latam-crm.veevavault.com/#object/account__v/V4TZ025E83NOWQF", "Marcos José dos Santos")</f>
        <v/>
      </c>
      <c r="B1474" s="1">
        <f>HYPERLINK("https://eurofarma-latam-crm.veevavault.com/#object/account__v/V4TZ025E83NOWQF", "Marcos José Francisco dos Santos")</f>
        <v/>
      </c>
      <c r="C1474" t="inlineStr">
        <is>
          <t>RJ1098888</t>
        </is>
      </c>
      <c r="D1474" t="inlineStr">
        <is>
          <t>GAS</t>
        </is>
      </c>
      <c r="E1474" t="inlineStr">
        <is>
          <t>Rua dos Búzios, 2</t>
        </is>
      </c>
      <c r="F1474" t="inlineStr">
        <is>
          <t>Magalhães Bastos</t>
        </is>
      </c>
      <c r="G1474" t="inlineStr">
        <is>
          <t>Rio de Janeiro</t>
        </is>
      </c>
      <c r="H1474" t="inlineStr">
        <is>
          <t>RJ</t>
        </is>
      </c>
      <c r="I1474" t="n">
        <v>7741</v>
      </c>
      <c r="J1474" t="inlineStr">
        <is>
          <t>CAT 5</t>
        </is>
      </c>
      <c r="K1474" t="inlineStr">
        <is>
          <t>N�o</t>
        </is>
      </c>
    </row>
    <row r="1475">
      <c r="A1475" s="1">
        <f>HYPERLINK("https://eurofarma-latam-crm.veevavault.com/#object/account__v/V4TZ000019134EU", "Marcos Mendes")</f>
        <v/>
      </c>
      <c r="B1475" s="1">
        <f>HYPERLINK("https://eurofarma-latam-crm.veevavault.com/#object/account__v/V4TZ000019134EU", "Marcos da Rocha Mendes")</f>
        <v/>
      </c>
      <c r="C1475" t="inlineStr">
        <is>
          <t>RJ0422771</t>
        </is>
      </c>
      <c r="D1475" t="inlineStr">
        <is>
          <t>ORT</t>
        </is>
      </c>
      <c r="E1475" t="inlineStr">
        <is>
          <t>Rua Barão Do Rio Branco, 226</t>
        </is>
      </c>
      <c r="F1475" t="inlineStr">
        <is>
          <t>Passagem</t>
        </is>
      </c>
      <c r="G1475" t="inlineStr">
        <is>
          <t>Cabo Frio</t>
        </is>
      </c>
      <c r="H1475" t="inlineStr">
        <is>
          <t>RJ</t>
        </is>
      </c>
      <c r="I1475" t="n">
        <v>7741</v>
      </c>
      <c r="J1475" t="inlineStr">
        <is>
          <t>CAT 5</t>
        </is>
      </c>
      <c r="K1475" t="inlineStr">
        <is>
          <t>Sim</t>
        </is>
      </c>
    </row>
    <row r="1476">
      <c r="A1476" s="1">
        <f>HYPERLINK("https://eurofarma-latam-crm.veevavault.com/#object/account__v/V4TZ025E89G3F05", "Maria Calvano")</f>
        <v/>
      </c>
      <c r="B1476" s="1">
        <f>HYPERLINK("https://eurofarma-latam-crm.veevavault.com/#object/account__v/V4TZ025E89G3F05", "Maria Elvira Silva Calvano")</f>
        <v/>
      </c>
      <c r="C1476" t="inlineStr">
        <is>
          <t>RJ1331264</t>
        </is>
      </c>
      <c r="D1476" t="inlineStr"/>
      <c r="E1476" t="inlineStr">
        <is>
          <t>Rua Sérgio Ferreira Nunes, 12</t>
        </is>
      </c>
      <c r="F1476" t="inlineStr">
        <is>
          <t>Recanto do Sol</t>
        </is>
      </c>
      <c r="G1476" t="inlineStr">
        <is>
          <t>São Pedro da Aldeia</t>
        </is>
      </c>
      <c r="H1476" t="inlineStr">
        <is>
          <t>RJ</t>
        </is>
      </c>
      <c r="I1476" t="n">
        <v>7741</v>
      </c>
      <c r="J1476" t="inlineStr"/>
      <c r="K1476" t="inlineStr"/>
    </row>
    <row r="1477">
      <c r="A1477" s="1">
        <f>HYPERLINK("https://eurofarma-latam-crm.veevavault.com/#object/account__v/V4TZ00001913ZOH", "Maria Carolina Amaral")</f>
        <v/>
      </c>
      <c r="B1477" s="1">
        <f>HYPERLINK("https://eurofarma-latam-crm.veevavault.com/#object/account__v/V4TZ00001913ZOH", "Maria Carolina Dalboni Lemos Amaral")</f>
        <v/>
      </c>
      <c r="C1477" t="inlineStr">
        <is>
          <t>RJ0707201</t>
        </is>
      </c>
      <c r="D1477" t="inlineStr">
        <is>
          <t>CLG</t>
        </is>
      </c>
      <c r="E1477" t="inlineStr">
        <is>
          <t>Avenida Getulio Vargas, S/N</t>
        </is>
      </c>
      <c r="F1477" t="inlineStr">
        <is>
          <t>Canaã</t>
        </is>
      </c>
      <c r="G1477" t="inlineStr">
        <is>
          <t>Arraial do Cabo</t>
        </is>
      </c>
      <c r="H1477" t="inlineStr">
        <is>
          <t>RJ</t>
        </is>
      </c>
      <c r="I1477" t="n">
        <v>7741</v>
      </c>
      <c r="J1477" t="inlineStr">
        <is>
          <t>CAT 5</t>
        </is>
      </c>
      <c r="K1477" t="inlineStr">
        <is>
          <t>Sim</t>
        </is>
      </c>
    </row>
    <row r="1478">
      <c r="A1478" s="1">
        <f>HYPERLINK("https://eurofarma-latam-crm.veevavault.com/#object/account__v/V4TZ00001913HK5", "Maria Castro")</f>
        <v/>
      </c>
      <c r="B1478" s="1">
        <f>HYPERLINK("https://eurofarma-latam-crm.veevavault.com/#object/account__v/V4TZ00001913HK5", "Maria Augusta Rosa de Castro")</f>
        <v/>
      </c>
      <c r="C1478" t="inlineStr">
        <is>
          <t>RJ0893595,SP0140429</t>
        </is>
      </c>
      <c r="D1478" t="inlineStr">
        <is>
          <t>PED</t>
        </is>
      </c>
      <c r="E1478" t="inlineStr">
        <is>
          <t>Rua Expedicionários, 148</t>
        </is>
      </c>
      <c r="F1478" t="inlineStr">
        <is>
          <t>Centro</t>
        </is>
      </c>
      <c r="G1478" t="inlineStr">
        <is>
          <t>São João de Meriti</t>
        </is>
      </c>
      <c r="H1478" t="inlineStr">
        <is>
          <t>RJ</t>
        </is>
      </c>
      <c r="I1478" t="n">
        <v>7741</v>
      </c>
      <c r="J1478" t="inlineStr">
        <is>
          <t>CAT 4</t>
        </is>
      </c>
      <c r="K1478" t="inlineStr">
        <is>
          <t>Sim</t>
        </is>
      </c>
    </row>
    <row r="1479">
      <c r="A1479" s="1">
        <f>HYPERLINK("https://eurofarma-latam-crm.veevavault.com/#object/account__v/V4TZ000018NXSKR", "Maria Cavalcanti")</f>
        <v/>
      </c>
      <c r="B1479" s="1">
        <f>HYPERLINK("https://eurofarma-latam-crm.veevavault.com/#object/account__v/V4TZ000018NXSKR", "Maria Cristina Peralva Cavalcanti")</f>
        <v/>
      </c>
      <c r="C1479" t="inlineStr">
        <is>
          <t>RJ0806129</t>
        </is>
      </c>
      <c r="D1479" t="inlineStr">
        <is>
          <t>PSQ</t>
        </is>
      </c>
      <c r="E1479" t="inlineStr">
        <is>
          <t>Rua Prof Edilson Duarte, 136</t>
        </is>
      </c>
      <c r="F1479" t="inlineStr">
        <is>
          <t>Jardim Caiçara</t>
        </is>
      </c>
      <c r="G1479" t="inlineStr">
        <is>
          <t>Cabo Frio</t>
        </is>
      </c>
      <c r="H1479" t="inlineStr">
        <is>
          <t>RJ</t>
        </is>
      </c>
      <c r="I1479" t="n">
        <v>7741</v>
      </c>
      <c r="J1479" t="inlineStr">
        <is>
          <t>CAT 4</t>
        </is>
      </c>
      <c r="K1479" t="inlineStr">
        <is>
          <t>Sim</t>
        </is>
      </c>
    </row>
    <row r="1480">
      <c r="A1480" s="1">
        <f>HYPERLINK("https://eurofarma-latam-crm.veevavault.com/#object/account__v/V4TZ000019140GC", "Maria Cesar")</f>
        <v/>
      </c>
      <c r="B1480" s="1">
        <f>HYPERLINK("https://eurofarma-latam-crm.veevavault.com/#object/account__v/V4TZ000019140GC", "Maria Eugenia Gonzalez Cesar")</f>
        <v/>
      </c>
      <c r="C1480" t="inlineStr">
        <is>
          <t>RJ1117386</t>
        </is>
      </c>
      <c r="D1480" t="inlineStr">
        <is>
          <t>PED</t>
        </is>
      </c>
      <c r="E1480" t="inlineStr">
        <is>
          <t>Rua da Paz, S/N - Cond Monte Carlo</t>
        </is>
      </c>
      <c r="F1480" t="inlineStr">
        <is>
          <t>Jardim Esperança</t>
        </is>
      </c>
      <c r="G1480" t="inlineStr">
        <is>
          <t>Cabo Frio</t>
        </is>
      </c>
      <c r="H1480" t="inlineStr">
        <is>
          <t>RJ</t>
        </is>
      </c>
      <c r="I1480" t="n">
        <v>7741</v>
      </c>
      <c r="J1480" t="inlineStr">
        <is>
          <t>CAT 5</t>
        </is>
      </c>
      <c r="K1480" t="inlineStr">
        <is>
          <t>N�o</t>
        </is>
      </c>
    </row>
    <row r="1481">
      <c r="A1481" s="1">
        <f>HYPERLINK("https://eurofarma-latam-crm.veevavault.com/#object/account__v/V4TZ00001914Q13", "Maria Helena Capobianco")</f>
        <v/>
      </c>
      <c r="B1481" s="1">
        <f>HYPERLINK("https://eurofarma-latam-crm.veevavault.com/#object/account__v/V4TZ00001914Q13", "Maria Helena Capobianco")</f>
        <v/>
      </c>
      <c r="C1481" t="inlineStr">
        <is>
          <t>RJ0926353</t>
        </is>
      </c>
      <c r="D1481" t="inlineStr">
        <is>
          <t>PED</t>
        </is>
      </c>
      <c r="E1481" t="inlineStr">
        <is>
          <t>Rua Adelir Novelino Marques, 8</t>
        </is>
      </c>
      <c r="F1481" t="inlineStr">
        <is>
          <t>São Bento</t>
        </is>
      </c>
      <c r="G1481" t="inlineStr">
        <is>
          <t>Cabo Frio</t>
        </is>
      </c>
      <c r="H1481" t="inlineStr">
        <is>
          <t>RJ</t>
        </is>
      </c>
      <c r="I1481" t="n">
        <v>7741</v>
      </c>
      <c r="J1481" t="inlineStr">
        <is>
          <t>CAT 5</t>
        </is>
      </c>
      <c r="K1481" t="inlineStr">
        <is>
          <t>N�o</t>
        </is>
      </c>
    </row>
    <row r="1482">
      <c r="A1482" s="1">
        <f>HYPERLINK("https://eurofarma-latam-crm.veevavault.com/#object/account__v/V4TZ025E84NFCAV", "Maria Helena Centeio")</f>
        <v/>
      </c>
      <c r="B1482" s="1">
        <f>HYPERLINK("https://eurofarma-latam-crm.veevavault.com/#object/account__v/V4TZ025E84NFCAV", "Maria Helena Coutinho Centeio")</f>
        <v/>
      </c>
      <c r="C1482" t="inlineStr">
        <is>
          <t>RJ0609270</t>
        </is>
      </c>
      <c r="D1482" t="inlineStr">
        <is>
          <t>CLG</t>
        </is>
      </c>
      <c r="E1482" t="inlineStr">
        <is>
          <t>Rua Fagundes de Varella, S/N</t>
        </is>
      </c>
      <c r="F1482" t="inlineStr">
        <is>
          <t>São Cristóvão</t>
        </is>
      </c>
      <c r="G1482" t="inlineStr">
        <is>
          <t>Cabo Frio</t>
        </is>
      </c>
      <c r="H1482" t="inlineStr">
        <is>
          <t>RJ</t>
        </is>
      </c>
      <c r="I1482" t="n">
        <v>7741</v>
      </c>
      <c r="J1482" t="inlineStr">
        <is>
          <t>CAT 5</t>
        </is>
      </c>
      <c r="K1482" t="inlineStr">
        <is>
          <t>Sim</t>
        </is>
      </c>
    </row>
    <row r="1483">
      <c r="A1483" s="1">
        <f>HYPERLINK("https://eurofarma-latam-crm.veevavault.com/#object/account__v/V4TZ000018NXQV8", "Maria Isabel Noleto")</f>
        <v/>
      </c>
      <c r="B1483" s="1">
        <f>HYPERLINK("https://eurofarma-latam-crm.veevavault.com/#object/account__v/V4TZ000018NXQV8", "Maria Isabel Arias Vidal Noleto")</f>
        <v/>
      </c>
      <c r="C1483" t="inlineStr">
        <is>
          <t>RJ0437360</t>
        </is>
      </c>
      <c r="D1483" t="inlineStr">
        <is>
          <t>CLG</t>
        </is>
      </c>
      <c r="E1483" t="inlineStr">
        <is>
          <t>Rua São José, 20 - Andar 6 Sala 601 e 602</t>
        </is>
      </c>
      <c r="F1483" t="inlineStr">
        <is>
          <t>Centro</t>
        </is>
      </c>
      <c r="G1483" t="inlineStr">
        <is>
          <t>Rio de Janeiro</t>
        </is>
      </c>
      <c r="H1483" t="inlineStr">
        <is>
          <t>RJ</t>
        </is>
      </c>
      <c r="I1483" t="n">
        <v>7741</v>
      </c>
      <c r="J1483" t="inlineStr">
        <is>
          <t>CAT 3</t>
        </is>
      </c>
      <c r="K1483" t="inlineStr">
        <is>
          <t>Sim</t>
        </is>
      </c>
    </row>
    <row r="1484">
      <c r="A1484" s="1">
        <f>HYPERLINK("https://eurofarma-latam-crm.veevavault.com/#object/account__v/V4TZ00001913B8M", "Maria Nascimento")</f>
        <v/>
      </c>
      <c r="B1484" s="1">
        <f>HYPERLINK("https://eurofarma-latam-crm.veevavault.com/#object/account__v/V4TZ00001913B8M", "Maria Ligia Rodrigues Fernandes do Nascimento")</f>
        <v/>
      </c>
      <c r="C1484" t="inlineStr">
        <is>
          <t>RJ0332421</t>
        </is>
      </c>
      <c r="D1484" t="inlineStr">
        <is>
          <t>PED</t>
        </is>
      </c>
      <c r="E1484" t="inlineStr">
        <is>
          <t>Estrada Velho de Búzios, S/N</t>
        </is>
      </c>
      <c r="F1484" t="inlineStr">
        <is>
          <t>Jardim Esperança</t>
        </is>
      </c>
      <c r="G1484" t="inlineStr">
        <is>
          <t>Cabo Frio</t>
        </is>
      </c>
      <c r="H1484" t="inlineStr">
        <is>
          <t>RJ</t>
        </is>
      </c>
      <c r="I1484" t="n">
        <v>7741</v>
      </c>
      <c r="J1484" t="inlineStr">
        <is>
          <t>CAT 5</t>
        </is>
      </c>
      <c r="K1484" t="inlineStr">
        <is>
          <t>N�o</t>
        </is>
      </c>
    </row>
    <row r="1485">
      <c r="A1485" s="1">
        <f>HYPERLINK("https://eurofarma-latam-crm.veevavault.com/#object/account__v/V4TZ00001913UI7", "Maria Sonia Orsolon")</f>
        <v/>
      </c>
      <c r="B1485" s="1">
        <f>HYPERLINK("https://eurofarma-latam-crm.veevavault.com/#object/account__v/V4TZ00001913UI7", "Maria Sonia Coelho Orsolon")</f>
        <v/>
      </c>
      <c r="C1485" t="inlineStr">
        <is>
          <t>RJ0385943</t>
        </is>
      </c>
      <c r="D1485" t="inlineStr">
        <is>
          <t>PED</t>
        </is>
      </c>
      <c r="E1485" t="inlineStr">
        <is>
          <t>Rua Manoel José de Carvalho, 97</t>
        </is>
      </c>
      <c r="F1485" t="inlineStr">
        <is>
          <t>São Cristóvão</t>
        </is>
      </c>
      <c r="G1485" t="inlineStr">
        <is>
          <t>Cabo Frio</t>
        </is>
      </c>
      <c r="H1485" t="inlineStr">
        <is>
          <t>RJ</t>
        </is>
      </c>
      <c r="I1485" t="n">
        <v>7741</v>
      </c>
      <c r="J1485" t="inlineStr">
        <is>
          <t>CAT 3</t>
        </is>
      </c>
      <c r="K1485" t="inlineStr">
        <is>
          <t>Sim</t>
        </is>
      </c>
    </row>
    <row r="1486">
      <c r="A1486" s="1">
        <f>HYPERLINK("https://eurofarma-latam-crm.veevavault.com/#object/account__v/V4TZ00001915F9Y", "Maria Thereza de Andrade")</f>
        <v/>
      </c>
      <c r="B1486" s="1">
        <f>HYPERLINK("https://eurofarma-latam-crm.veevavault.com/#object/account__v/V4TZ00001915F9Y", "Maria Thereza Sacramento Conceição de Andrade")</f>
        <v/>
      </c>
      <c r="C1486" t="inlineStr">
        <is>
          <t>RJ0418999</t>
        </is>
      </c>
      <c r="D1486" t="inlineStr">
        <is>
          <t>PED</t>
        </is>
      </c>
      <c r="E1486" t="inlineStr">
        <is>
          <t>Avenida Getúlio Vargas, 242</t>
        </is>
      </c>
      <c r="F1486" t="inlineStr">
        <is>
          <t>Centro</t>
        </is>
      </c>
      <c r="G1486" t="inlineStr">
        <is>
          <t>São Pedro da Aldeia</t>
        </is>
      </c>
      <c r="H1486" t="inlineStr">
        <is>
          <t>RJ</t>
        </is>
      </c>
      <c r="I1486" t="n">
        <v>7741</v>
      </c>
      <c r="J1486" t="inlineStr">
        <is>
          <t>CAT 4</t>
        </is>
      </c>
      <c r="K1486" t="inlineStr">
        <is>
          <t>Sim</t>
        </is>
      </c>
    </row>
    <row r="1487">
      <c r="A1487" s="1">
        <f>HYPERLINK("https://eurofarma-latam-crm.veevavault.com/#object/account__v/V4TZ00001915GBM", "Mariah Lima")</f>
        <v/>
      </c>
      <c r="B1487" s="1">
        <f>HYPERLINK("https://eurofarma-latam-crm.veevavault.com/#object/account__v/V4TZ00001915GBM", "Mariah Fernandes Meirelles Lima")</f>
        <v/>
      </c>
      <c r="C1487" t="inlineStr">
        <is>
          <t>RJ0914835</t>
        </is>
      </c>
      <c r="D1487" t="inlineStr">
        <is>
          <t>CLG / SNC</t>
        </is>
      </c>
      <c r="E1487" t="inlineStr">
        <is>
          <t>Rua Francisco dos Santos Silva, 71 - Sala 207</t>
        </is>
      </c>
      <c r="F1487" t="inlineStr">
        <is>
          <t>Centro</t>
        </is>
      </c>
      <c r="G1487" t="inlineStr">
        <is>
          <t>São Pedro da Aldeia</t>
        </is>
      </c>
      <c r="H1487" t="inlineStr">
        <is>
          <t>RJ</t>
        </is>
      </c>
      <c r="I1487" t="n">
        <v>7741</v>
      </c>
      <c r="J1487" t="inlineStr">
        <is>
          <t>CAT 4</t>
        </is>
      </c>
      <c r="K1487" t="inlineStr">
        <is>
          <t>Sim</t>
        </is>
      </c>
    </row>
    <row r="1488">
      <c r="A1488" s="1">
        <f>HYPERLINK("https://eurofarma-latam-crm.veevavault.com/#object/account__v/V4TZ000019149NG", "Mariana Rodrigues")</f>
        <v/>
      </c>
      <c r="B1488" s="1">
        <f>HYPERLINK("https://eurofarma-latam-crm.veevavault.com/#object/account__v/V4TZ000019149NG", "Mariana Parga Rodrigues")</f>
        <v/>
      </c>
      <c r="C1488" t="inlineStr">
        <is>
          <t>RJ0640549</t>
        </is>
      </c>
      <c r="D1488" t="inlineStr">
        <is>
          <t>END</t>
        </is>
      </c>
      <c r="E1488" t="inlineStr">
        <is>
          <t>Rodovia Amaral Peixoto, S/N - Km 142</t>
        </is>
      </c>
      <c r="F1488" t="inlineStr">
        <is>
          <t>Santa Margarida I (Tamoios)</t>
        </is>
      </c>
      <c r="G1488" t="inlineStr">
        <is>
          <t>Cabo Frio</t>
        </is>
      </c>
      <c r="H1488" t="inlineStr">
        <is>
          <t>RJ</t>
        </is>
      </c>
      <c r="I1488" t="n">
        <v>7741</v>
      </c>
      <c r="J1488" t="inlineStr">
        <is>
          <t>CAT 4</t>
        </is>
      </c>
      <c r="K1488" t="inlineStr">
        <is>
          <t>Sim</t>
        </is>
      </c>
    </row>
    <row r="1489">
      <c r="A1489" s="1">
        <f>HYPERLINK("https://eurofarma-latam-crm.veevavault.com/#object/account__v/V4TZ00001914GUH", "Marília Ramalho")</f>
        <v/>
      </c>
      <c r="B1489" s="1">
        <f>HYPERLINK("https://eurofarma-latam-crm.veevavault.com/#object/account__v/V4TZ00001914GUH", "Marília Penalber Ramalho")</f>
        <v/>
      </c>
      <c r="C1489" t="inlineStr">
        <is>
          <t>RJ0119480</t>
        </is>
      </c>
      <c r="D1489" t="inlineStr">
        <is>
          <t>PED</t>
        </is>
      </c>
      <c r="E1489" t="inlineStr">
        <is>
          <t>Avenida Getulio Vargas, S/N</t>
        </is>
      </c>
      <c r="F1489" t="inlineStr">
        <is>
          <t>Canaã</t>
        </is>
      </c>
      <c r="G1489" t="inlineStr">
        <is>
          <t>Arraial do Cabo</t>
        </is>
      </c>
      <c r="H1489" t="inlineStr">
        <is>
          <t>RJ</t>
        </is>
      </c>
      <c r="I1489" t="n">
        <v>7741</v>
      </c>
      <c r="J1489" t="inlineStr">
        <is>
          <t>CAT 5</t>
        </is>
      </c>
      <c r="K1489" t="inlineStr">
        <is>
          <t>N�o</t>
        </is>
      </c>
    </row>
    <row r="1490">
      <c r="A1490" s="1">
        <f>HYPERLINK("https://eurofarma-latam-crm.veevavault.com/#object/account__v/V4TZ025E8EKVG2Q", "Marina Criscolo")</f>
        <v/>
      </c>
      <c r="B1490" s="1">
        <f>HYPERLINK("https://eurofarma-latam-crm.veevavault.com/#object/account__v/V4TZ025E8EKVG2Q", "Marina Paiva Criscolo")</f>
        <v/>
      </c>
      <c r="C1490" t="inlineStr">
        <is>
          <t>RJ1379566</t>
        </is>
      </c>
      <c r="D1490" t="inlineStr">
        <is>
          <t>CLG / PA</t>
        </is>
      </c>
      <c r="E1490" t="inlineStr">
        <is>
          <t>Rua Barão de Itapagipe, 167</t>
        </is>
      </c>
      <c r="F1490" t="inlineStr">
        <is>
          <t>Rio Comprido</t>
        </is>
      </c>
      <c r="G1490" t="inlineStr">
        <is>
          <t>Rio de Janeiro</t>
        </is>
      </c>
      <c r="H1490" t="inlineStr">
        <is>
          <t>RJ</t>
        </is>
      </c>
      <c r="I1490" t="n">
        <v>7741</v>
      </c>
      <c r="J1490" t="inlineStr"/>
      <c r="K1490" t="inlineStr"/>
    </row>
    <row r="1491">
      <c r="A1491" s="1">
        <f>HYPERLINK("https://eurofarma-latam-crm.veevavault.com/#object/account__v/V4TZ04ASGLVMHQE", "Mário Moore")</f>
        <v/>
      </c>
      <c r="B1491" s="1">
        <f>HYPERLINK("https://eurofarma-latam-crm.veevavault.com/#object/account__v/V4TZ04ASGLVMHQE", "Mário Alberto do Valle Rocha Moore")</f>
        <v/>
      </c>
      <c r="C1491" t="inlineStr">
        <is>
          <t>RJ1295969</t>
        </is>
      </c>
      <c r="D1491" t="inlineStr">
        <is>
          <t>PED</t>
        </is>
      </c>
      <c r="E1491" t="inlineStr">
        <is>
          <t>Rodovia Amaral Peixoto, S/N - KM 107</t>
        </is>
      </c>
      <c r="F1491" t="inlineStr">
        <is>
          <t>Balneário São Pedro</t>
        </is>
      </c>
      <c r="G1491" t="inlineStr">
        <is>
          <t>São Pedro da Aldeia</t>
        </is>
      </c>
      <c r="H1491" t="inlineStr">
        <is>
          <t>RJ</t>
        </is>
      </c>
      <c r="I1491" t="n">
        <v>7741</v>
      </c>
      <c r="J1491" t="inlineStr"/>
      <c r="K1491" t="inlineStr"/>
    </row>
    <row r="1492">
      <c r="A1492" s="1">
        <f>HYPERLINK("https://eurofarma-latam-crm.veevavault.com/#object/account__v/V4TZ000018NY5EN", "Marta Vieira")</f>
        <v/>
      </c>
      <c r="B1492" s="1">
        <f>HYPERLINK("https://eurofarma-latam-crm.veevavault.com/#object/account__v/V4TZ000018NY5EN", "Marta Ribeiro Alexandre Vieira")</f>
        <v/>
      </c>
      <c r="C1492" t="inlineStr">
        <is>
          <t>RJ0717053</t>
        </is>
      </c>
      <c r="D1492" t="inlineStr">
        <is>
          <t>END</t>
        </is>
      </c>
      <c r="E1492" t="inlineStr">
        <is>
          <t>Rua Governador Valadares, S/N</t>
        </is>
      </c>
      <c r="F1492" t="inlineStr">
        <is>
          <t>São Cristóvão</t>
        </is>
      </c>
      <c r="G1492" t="inlineStr">
        <is>
          <t>Cabo Frio</t>
        </is>
      </c>
      <c r="H1492" t="inlineStr">
        <is>
          <t>RJ</t>
        </is>
      </c>
      <c r="I1492" t="n">
        <v>7741</v>
      </c>
      <c r="J1492" t="inlineStr">
        <is>
          <t>CAT 2</t>
        </is>
      </c>
      <c r="K1492" t="inlineStr">
        <is>
          <t>Sim</t>
        </is>
      </c>
    </row>
    <row r="1493">
      <c r="A1493" s="1">
        <f>HYPERLINK("https://eurofarma-latam-crm.veevavault.com/#object/account__v/V4TZ00001913IZM", "Mateus Mello")</f>
        <v/>
      </c>
      <c r="B1493" s="1">
        <f>HYPERLINK("https://eurofarma-latam-crm.veevavault.com/#object/account__v/V4TZ00001913IZM", "Mateus Furtado Bandeira de Mello")</f>
        <v/>
      </c>
      <c r="C1493" t="inlineStr">
        <is>
          <t>RJ0806900</t>
        </is>
      </c>
      <c r="D1493" t="inlineStr">
        <is>
          <t>GAS</t>
        </is>
      </c>
      <c r="E1493" t="inlineStr">
        <is>
          <t>Estrada de Búzios, S/N</t>
        </is>
      </c>
      <c r="F1493" t="inlineStr">
        <is>
          <t>Maria Joaquina (Tamoios)</t>
        </is>
      </c>
      <c r="G1493" t="inlineStr">
        <is>
          <t>Cabo Frio</t>
        </is>
      </c>
      <c r="H1493" t="inlineStr">
        <is>
          <t>RJ</t>
        </is>
      </c>
      <c r="I1493" t="n">
        <v>7741</v>
      </c>
      <c r="J1493" t="inlineStr">
        <is>
          <t>CAT 5</t>
        </is>
      </c>
      <c r="K1493" t="inlineStr">
        <is>
          <t>Sim</t>
        </is>
      </c>
    </row>
    <row r="1494">
      <c r="A1494" s="1">
        <f>HYPERLINK("https://eurofarma-latam-crm.veevavault.com/#object/account__v/V4TZ000019149SG", "Mauricio Rosa")</f>
        <v/>
      </c>
      <c r="B1494" s="1">
        <f>HYPERLINK("https://eurofarma-latam-crm.veevavault.com/#object/account__v/V4TZ000019149SG", "Mauricio Barreto Rosa")</f>
        <v/>
      </c>
      <c r="C1494" t="inlineStr">
        <is>
          <t>RJ0929123</t>
        </is>
      </c>
      <c r="D1494" t="inlineStr">
        <is>
          <t>END</t>
        </is>
      </c>
      <c r="E1494" t="inlineStr">
        <is>
          <t>Rua Arizio Gomes da Costa, 186</t>
        </is>
      </c>
      <c r="F1494" t="inlineStr">
        <is>
          <t>Jardim Flamboyant</t>
        </is>
      </c>
      <c r="G1494" t="inlineStr">
        <is>
          <t>Cabo Frio</t>
        </is>
      </c>
      <c r="H1494" t="inlineStr">
        <is>
          <t>RJ</t>
        </is>
      </c>
      <c r="I1494" t="n">
        <v>7741</v>
      </c>
      <c r="J1494" t="inlineStr">
        <is>
          <t>CAT 3</t>
        </is>
      </c>
      <c r="K1494" t="inlineStr">
        <is>
          <t>Sim</t>
        </is>
      </c>
    </row>
    <row r="1495">
      <c r="A1495" s="1">
        <f>HYPERLINK("https://eurofarma-latam-crm.veevavault.com/#object/account__v/V4TZ025E85AJ2I9", "Mauro Taveira")</f>
        <v/>
      </c>
      <c r="B1495" s="1">
        <f>HYPERLINK("https://eurofarma-latam-crm.veevavault.com/#object/account__v/V4TZ025E85AJ2I9", "Mauro Antonio Sousa Taveira")</f>
        <v/>
      </c>
      <c r="C1495" t="inlineStr">
        <is>
          <t>RJ1176897</t>
        </is>
      </c>
      <c r="D1495" t="inlineStr">
        <is>
          <t>CLG / PA</t>
        </is>
      </c>
      <c r="E1495" t="inlineStr">
        <is>
          <t>Estrada de Antenor Cardoso da Fonseca, S/N</t>
        </is>
      </c>
      <c r="F1495" t="inlineStr">
        <is>
          <t>Porto do Carro</t>
        </is>
      </c>
      <c r="G1495" t="inlineStr">
        <is>
          <t>Cabo Frio</t>
        </is>
      </c>
      <c r="H1495" t="inlineStr">
        <is>
          <t>RJ</t>
        </is>
      </c>
      <c r="I1495" t="n">
        <v>7741</v>
      </c>
      <c r="J1495" t="inlineStr">
        <is>
          <t>CAT 5</t>
        </is>
      </c>
      <c r="K1495" t="inlineStr">
        <is>
          <t>Sim</t>
        </is>
      </c>
    </row>
    <row r="1496">
      <c r="A1496" s="1">
        <f>HYPERLINK("https://eurofarma-latam-crm.veevavault.com/#object/account__v/V4TZ00001913GN2", "Mayara Arêas")</f>
        <v/>
      </c>
      <c r="B1496" s="1">
        <f>HYPERLINK("https://eurofarma-latam-crm.veevavault.com/#object/account__v/V4TZ00001913GN2", "Mayara Souza Arêas")</f>
        <v/>
      </c>
      <c r="C1496" t="inlineStr">
        <is>
          <t>RJ1201239</t>
        </is>
      </c>
      <c r="D1496" t="inlineStr">
        <is>
          <t>CLG / PA</t>
        </is>
      </c>
      <c r="E1496" t="inlineStr">
        <is>
          <t>Rua Prefeito Waldir da Silva Lobo, 2</t>
        </is>
      </c>
      <c r="F1496" t="inlineStr">
        <is>
          <t>Morro do Milagre</t>
        </is>
      </c>
      <c r="G1496" t="inlineStr">
        <is>
          <t>São Pedro da Aldeia</t>
        </is>
      </c>
      <c r="H1496" t="inlineStr">
        <is>
          <t>RJ</t>
        </is>
      </c>
      <c r="I1496" t="n">
        <v>7741</v>
      </c>
      <c r="J1496" t="inlineStr">
        <is>
          <t>CAT 4</t>
        </is>
      </c>
      <c r="K1496" t="inlineStr">
        <is>
          <t>Sim</t>
        </is>
      </c>
    </row>
    <row r="1497">
      <c r="A1497" s="1">
        <f>HYPERLINK("https://eurofarma-latam-crm.veevavault.com/#object/account__v/V4TZ00001916FJP", "Mayara Cruz")</f>
        <v/>
      </c>
      <c r="B1497" s="1">
        <f>HYPERLINK("https://eurofarma-latam-crm.veevavault.com/#object/account__v/V4TZ00001916FJP", "Mayara Machado de Oliveira Cruz")</f>
        <v/>
      </c>
      <c r="C1497" t="inlineStr">
        <is>
          <t>RJ0860697</t>
        </is>
      </c>
      <c r="D1497" t="inlineStr">
        <is>
          <t>END</t>
        </is>
      </c>
      <c r="E1497" t="inlineStr">
        <is>
          <t>Rua Silva Jardim, 120 - Sala 01</t>
        </is>
      </c>
      <c r="F1497" t="inlineStr">
        <is>
          <t>Centro</t>
        </is>
      </c>
      <c r="G1497" t="inlineStr">
        <is>
          <t>Cabo Frio</t>
        </is>
      </c>
      <c r="H1497" t="inlineStr">
        <is>
          <t>RJ</t>
        </is>
      </c>
      <c r="I1497" t="n">
        <v>7741</v>
      </c>
      <c r="J1497" t="inlineStr">
        <is>
          <t>CAT 3</t>
        </is>
      </c>
      <c r="K1497" t="inlineStr">
        <is>
          <t>Sim</t>
        </is>
      </c>
    </row>
    <row r="1498">
      <c r="A1498" s="1">
        <f>HYPERLINK("https://eurofarma-latam-crm.veevavault.com/#object/account__v/V4TZ00001915D5D", "Melânia Braga")</f>
        <v/>
      </c>
      <c r="B1498" s="1">
        <f>HYPERLINK("https://eurofarma-latam-crm.veevavault.com/#object/account__v/V4TZ00001915D5D", "Melânia Hoffmam Braga")</f>
        <v/>
      </c>
      <c r="C1498" t="inlineStr">
        <is>
          <t>RJ1251414,SP0288608</t>
        </is>
      </c>
      <c r="D1498" t="inlineStr">
        <is>
          <t>CLG / END</t>
        </is>
      </c>
      <c r="E1498" t="inlineStr">
        <is>
          <t>Rua Prefeito Waldir da Silva Lobo, 2</t>
        </is>
      </c>
      <c r="F1498" t="inlineStr">
        <is>
          <t>Morro do Milagre</t>
        </is>
      </c>
      <c r="G1498" t="inlineStr">
        <is>
          <t>São Pedro da Aldeia</t>
        </is>
      </c>
      <c r="H1498" t="inlineStr">
        <is>
          <t>RJ</t>
        </is>
      </c>
      <c r="I1498" t="n">
        <v>7741</v>
      </c>
      <c r="J1498" t="inlineStr">
        <is>
          <t>CAT 2</t>
        </is>
      </c>
      <c r="K1498" t="inlineStr">
        <is>
          <t>Sim</t>
        </is>
      </c>
    </row>
    <row r="1499">
      <c r="A1499" s="1">
        <f>HYPERLINK("https://eurofarma-latam-crm.veevavault.com/#object/account__v/V4TZ000018NXTKV", "Melissa Thompson")</f>
        <v/>
      </c>
      <c r="B1499" s="1">
        <f>HYPERLINK("https://eurofarma-latam-crm.veevavault.com/#object/account__v/V4TZ000018NXTKV", "Melissa Muri Thompson")</f>
        <v/>
      </c>
      <c r="C1499" t="inlineStr">
        <is>
          <t>RJ0781240</t>
        </is>
      </c>
      <c r="D1499" t="inlineStr">
        <is>
          <t>PED</t>
        </is>
      </c>
      <c r="E1499" t="inlineStr">
        <is>
          <t>Avenida Adolfo Beranger Júnior, 3626</t>
        </is>
      </c>
      <c r="F1499" t="inlineStr">
        <is>
          <t>São Cristóvão</t>
        </is>
      </c>
      <c r="G1499" t="inlineStr">
        <is>
          <t>Cabo Frio</t>
        </is>
      </c>
      <c r="H1499" t="inlineStr">
        <is>
          <t>RJ</t>
        </is>
      </c>
      <c r="I1499" t="n">
        <v>7741</v>
      </c>
      <c r="J1499" t="inlineStr">
        <is>
          <t>CAT 5</t>
        </is>
      </c>
      <c r="K1499" t="inlineStr">
        <is>
          <t>Sim</t>
        </is>
      </c>
    </row>
    <row r="1500">
      <c r="A1500" s="1">
        <f>HYPERLINK("https://eurofarma-latam-crm.veevavault.com/#object/account__v/V4TZ025E8EEW2WU", "Mila Ramos")</f>
        <v/>
      </c>
      <c r="B1500" s="1">
        <f>HYPERLINK("https://eurofarma-latam-crm.veevavault.com/#object/account__v/V4TZ025E8EEW2WU", "Mila Queiroga Ramos")</f>
        <v/>
      </c>
      <c r="C1500" t="inlineStr">
        <is>
          <t>RJ1362396</t>
        </is>
      </c>
      <c r="D1500" t="inlineStr">
        <is>
          <t>CLG / PA</t>
        </is>
      </c>
      <c r="E1500" t="inlineStr">
        <is>
          <t>Rua Prefeito Waldir da Silva Lobo, 01</t>
        </is>
      </c>
      <c r="F1500" t="inlineStr">
        <is>
          <t>Morro do Milagre</t>
        </is>
      </c>
      <c r="G1500" t="inlineStr">
        <is>
          <t>São Pedro da Aldeia</t>
        </is>
      </c>
      <c r="H1500" t="inlineStr">
        <is>
          <t>RJ</t>
        </is>
      </c>
      <c r="I1500" t="n">
        <v>7741</v>
      </c>
      <c r="J1500" t="inlineStr">
        <is>
          <t>CAT 4</t>
        </is>
      </c>
      <c r="K1500" t="inlineStr">
        <is>
          <t>Sim</t>
        </is>
      </c>
    </row>
    <row r="1501">
      <c r="A1501" s="1">
        <f>HYPERLINK("https://eurofarma-latam-crm.veevavault.com/#object/account__v/V4TZ00001916F9R", "Moadir Santana Neto")</f>
        <v/>
      </c>
      <c r="B1501" s="1">
        <f>HYPERLINK("https://eurofarma-latam-crm.veevavault.com/#object/account__v/V4TZ00001916F9R", "Moadir Santana Neto")</f>
        <v/>
      </c>
      <c r="C1501" t="inlineStr">
        <is>
          <t>RJ1095056,SP0196335</t>
        </is>
      </c>
      <c r="D1501" t="inlineStr">
        <is>
          <t>URO</t>
        </is>
      </c>
      <c r="E1501" t="inlineStr">
        <is>
          <t>Rua Barão do Rio Branco, 72</t>
        </is>
      </c>
      <c r="F1501" t="inlineStr">
        <is>
          <t>Passagem</t>
        </is>
      </c>
      <c r="G1501" t="inlineStr">
        <is>
          <t>Cabo Frio</t>
        </is>
      </c>
      <c r="H1501" t="inlineStr">
        <is>
          <t>RJ</t>
        </is>
      </c>
      <c r="I1501" t="n">
        <v>7741</v>
      </c>
      <c r="J1501" t="inlineStr">
        <is>
          <t>CAT 5</t>
        </is>
      </c>
      <c r="K1501" t="inlineStr">
        <is>
          <t>Sim</t>
        </is>
      </c>
    </row>
    <row r="1502">
      <c r="A1502" s="1">
        <f>HYPERLINK("https://eurofarma-latam-crm.veevavault.com/#object/account__v/V4TZ00001914FK7", "Mohamed Kamar")</f>
        <v/>
      </c>
      <c r="B1502" s="1">
        <f>HYPERLINK("https://eurofarma-latam-crm.veevavault.com/#object/account__v/V4TZ00001914FK7", "Mohamed Chouky Kamar")</f>
        <v/>
      </c>
      <c r="C1502" t="inlineStr">
        <is>
          <t>RJ0847704</t>
        </is>
      </c>
      <c r="D1502" t="inlineStr">
        <is>
          <t>GAS</t>
        </is>
      </c>
      <c r="E1502" t="inlineStr">
        <is>
          <t>Rua Barão do Rio Branco, 72</t>
        </is>
      </c>
      <c r="F1502" t="inlineStr">
        <is>
          <t>Passagem</t>
        </is>
      </c>
      <c r="G1502" t="inlineStr">
        <is>
          <t>Cabo Frio</t>
        </is>
      </c>
      <c r="H1502" t="inlineStr">
        <is>
          <t>RJ</t>
        </is>
      </c>
      <c r="I1502" t="n">
        <v>7741</v>
      </c>
      <c r="J1502" t="inlineStr">
        <is>
          <t>CAT 5</t>
        </is>
      </c>
      <c r="K1502" t="inlineStr">
        <is>
          <t>Sim</t>
        </is>
      </c>
    </row>
    <row r="1503">
      <c r="A1503" s="1">
        <f>HYPERLINK("https://eurofarma-latam-crm.veevavault.com/#object/account__v/V4TZ000018NYO4N", "Monaliza Cruz")</f>
        <v/>
      </c>
      <c r="B1503" s="1">
        <f>HYPERLINK("https://eurofarma-latam-crm.veevavault.com/#object/account__v/V4TZ000018NYO4N", "Monaliza Mendes Carvalho da Cruz")</f>
        <v/>
      </c>
      <c r="C1503" t="inlineStr">
        <is>
          <t>RJ1236008</t>
        </is>
      </c>
      <c r="D1503" t="inlineStr">
        <is>
          <t>CLG / PA</t>
        </is>
      </c>
      <c r="E1503" t="inlineStr">
        <is>
          <t>Rua Raul Veiga, 01</t>
        </is>
      </c>
      <c r="F1503" t="inlineStr">
        <is>
          <t>Centro</t>
        </is>
      </c>
      <c r="G1503" t="inlineStr">
        <is>
          <t>Cabo Frio</t>
        </is>
      </c>
      <c r="H1503" t="inlineStr">
        <is>
          <t>RJ</t>
        </is>
      </c>
      <c r="I1503" t="n">
        <v>7741</v>
      </c>
      <c r="J1503" t="inlineStr">
        <is>
          <t>CAT 4</t>
        </is>
      </c>
      <c r="K1503" t="inlineStr">
        <is>
          <t>Sim</t>
        </is>
      </c>
    </row>
    <row r="1504">
      <c r="A1504" s="1">
        <f>HYPERLINK("https://eurofarma-latam-crm.veevavault.com/#object/account__v/V4TZ000019135DO", "Mônica de Mello")</f>
        <v/>
      </c>
      <c r="B1504" s="1">
        <f>HYPERLINK("https://eurofarma-latam-crm.veevavault.com/#object/account__v/V4TZ000019135DO", "Mônica Campesato Godoy de Mello")</f>
        <v/>
      </c>
      <c r="C1504" t="inlineStr">
        <is>
          <t>RJ0766682</t>
        </is>
      </c>
      <c r="D1504" t="inlineStr">
        <is>
          <t>PSQ</t>
        </is>
      </c>
      <c r="E1504" t="inlineStr">
        <is>
          <t>Rua José Paes de Abreu, 510</t>
        </is>
      </c>
      <c r="F1504" t="inlineStr">
        <is>
          <t>Jardim Flamboyant</t>
        </is>
      </c>
      <c r="G1504" t="inlineStr">
        <is>
          <t>Cabo Frio</t>
        </is>
      </c>
      <c r="H1504" t="inlineStr">
        <is>
          <t>RJ</t>
        </is>
      </c>
      <c r="I1504" t="n">
        <v>7741</v>
      </c>
      <c r="J1504" t="inlineStr">
        <is>
          <t>CAT 1</t>
        </is>
      </c>
      <c r="K1504" t="inlineStr">
        <is>
          <t>Sim</t>
        </is>
      </c>
    </row>
    <row r="1505">
      <c r="A1505" s="1">
        <f>HYPERLINK("https://eurofarma-latam-crm.veevavault.com/#object/account__v/V4TZ000018NY2MW", "Mônica Fernandes")</f>
        <v/>
      </c>
      <c r="B1505" s="1">
        <f>HYPERLINK("https://eurofarma-latam-crm.veevavault.com/#object/account__v/V4TZ000018NY2MW", "Mônica Gonçalves Fernandes")</f>
        <v/>
      </c>
      <c r="C1505" t="inlineStr">
        <is>
          <t>RJ0578329</t>
        </is>
      </c>
      <c r="D1505" t="inlineStr">
        <is>
          <t>CLG / END</t>
        </is>
      </c>
      <c r="E1505" t="inlineStr">
        <is>
          <t>Estrada do Alecrim, S/N - Casa</t>
        </is>
      </c>
      <c r="F1505" t="inlineStr">
        <is>
          <t>Alecrim</t>
        </is>
      </c>
      <c r="G1505" t="inlineStr">
        <is>
          <t>São Pedro da Aldeia</t>
        </is>
      </c>
      <c r="H1505" t="inlineStr">
        <is>
          <t>RJ</t>
        </is>
      </c>
      <c r="I1505" t="n">
        <v>7741</v>
      </c>
      <c r="J1505" t="inlineStr">
        <is>
          <t>CAT 2</t>
        </is>
      </c>
      <c r="K1505" t="inlineStr">
        <is>
          <t>Sim</t>
        </is>
      </c>
    </row>
    <row r="1506">
      <c r="A1506" s="1">
        <f>HYPERLINK("https://eurofarma-latam-crm.veevavault.com/#object/account__v/V4TZ0000191538Q", "Monique Costa")</f>
        <v/>
      </c>
      <c r="B1506" s="1">
        <f>HYPERLINK("https://eurofarma-latam-crm.veevavault.com/#object/account__v/V4TZ0000191538Q", "Monique Silva da Costa")</f>
        <v/>
      </c>
      <c r="C1506" t="inlineStr">
        <is>
          <t>RJ0655171</t>
        </is>
      </c>
      <c r="D1506" t="inlineStr">
        <is>
          <t>CLG</t>
        </is>
      </c>
      <c r="E1506" t="inlineStr">
        <is>
          <t>Rua dos Búzios, 2</t>
        </is>
      </c>
      <c r="F1506" t="inlineStr">
        <is>
          <t>Magalhães Bastos</t>
        </is>
      </c>
      <c r="G1506" t="inlineStr">
        <is>
          <t>Rio de Janeiro</t>
        </is>
      </c>
      <c r="H1506" t="inlineStr">
        <is>
          <t>RJ</t>
        </is>
      </c>
      <c r="I1506" t="n">
        <v>7741</v>
      </c>
      <c r="J1506" t="inlineStr">
        <is>
          <t>CAT 5</t>
        </is>
      </c>
      <c r="K1506" t="inlineStr">
        <is>
          <t>Sim</t>
        </is>
      </c>
    </row>
    <row r="1507">
      <c r="A1507" s="1">
        <f>HYPERLINK("https://eurofarma-latam-crm.veevavault.com/#object/account__v/V4TZ000018NZ0I6", "Nadia Rodriguez")</f>
        <v/>
      </c>
      <c r="B1507" s="1">
        <f>HYPERLINK("https://eurofarma-latam-crm.veevavault.com/#object/account__v/V4TZ000018NZ0I6", "Nadia Lianet Cabrera Rodriguez")</f>
        <v/>
      </c>
      <c r="C1507" t="inlineStr">
        <is>
          <t>RJ1257463</t>
        </is>
      </c>
      <c r="D1507" t="inlineStr">
        <is>
          <t>CLG / PA</t>
        </is>
      </c>
      <c r="E1507" t="inlineStr">
        <is>
          <t>Rua Carolina, S/N</t>
        </is>
      </c>
      <c r="F1507" t="inlineStr">
        <is>
          <t>Iguaba Pequena</t>
        </is>
      </c>
      <c r="G1507" t="inlineStr">
        <is>
          <t>Iguaba Grande</t>
        </is>
      </c>
      <c r="H1507" t="inlineStr">
        <is>
          <t>RJ</t>
        </is>
      </c>
      <c r="I1507" t="n">
        <v>7741</v>
      </c>
      <c r="J1507" t="inlineStr">
        <is>
          <t>CAT 5</t>
        </is>
      </c>
      <c r="K1507" t="inlineStr">
        <is>
          <t>N�o</t>
        </is>
      </c>
    </row>
    <row r="1508">
      <c r="A1508" s="1">
        <f>HYPERLINK("https://eurofarma-latam-crm.veevavault.com/#object/account__v/V4TZ025E85TMZEI", "Najlla Breder")</f>
        <v/>
      </c>
      <c r="B1508" s="1">
        <f>HYPERLINK("https://eurofarma-latam-crm.veevavault.com/#object/account__v/V4TZ025E85TMZEI", "Najlla de Salim Ribeiro Breder")</f>
        <v/>
      </c>
      <c r="C1508" t="inlineStr">
        <is>
          <t>RJ1319450</t>
        </is>
      </c>
      <c r="D1508" t="inlineStr">
        <is>
          <t>CLG / PA</t>
        </is>
      </c>
      <c r="E1508" t="inlineStr">
        <is>
          <t>Avenida Ernani do Amaral Peixoto, 36 - Sala 307</t>
        </is>
      </c>
      <c r="F1508" t="inlineStr">
        <is>
          <t>Centro</t>
        </is>
      </c>
      <c r="G1508" t="inlineStr">
        <is>
          <t>Niterói</t>
        </is>
      </c>
      <c r="H1508" t="inlineStr">
        <is>
          <t>RJ</t>
        </is>
      </c>
      <c r="I1508" t="n">
        <v>7741</v>
      </c>
      <c r="J1508" t="inlineStr">
        <is>
          <t>CAT 5</t>
        </is>
      </c>
      <c r="K1508" t="inlineStr">
        <is>
          <t>Sim</t>
        </is>
      </c>
    </row>
    <row r="1509">
      <c r="A1509" s="1">
        <f>HYPERLINK("https://eurofarma-latam-crm.veevavault.com/#object/account__v/V4TZ000018NZ2AC", "Natalia Rocha")</f>
        <v/>
      </c>
      <c r="B1509" s="1">
        <f>HYPERLINK("https://eurofarma-latam-crm.veevavault.com/#object/account__v/V4TZ000018NZ2AC", "Natalia de Carvalho Rocha")</f>
        <v/>
      </c>
      <c r="C1509" t="inlineStr">
        <is>
          <t>RJ0970905</t>
        </is>
      </c>
      <c r="D1509" t="inlineStr">
        <is>
          <t>PED</t>
        </is>
      </c>
      <c r="E1509" t="inlineStr">
        <is>
          <t>Rua Raul Veiga, 153 - Sala 202</t>
        </is>
      </c>
      <c r="F1509" t="inlineStr">
        <is>
          <t>Centro</t>
        </is>
      </c>
      <c r="G1509" t="inlineStr">
        <is>
          <t>Cabo Frio</t>
        </is>
      </c>
      <c r="H1509" t="inlineStr">
        <is>
          <t>RJ</t>
        </is>
      </c>
      <c r="I1509" t="n">
        <v>7741</v>
      </c>
      <c r="J1509" t="inlineStr">
        <is>
          <t>CAT 4</t>
        </is>
      </c>
      <c r="K1509" t="inlineStr">
        <is>
          <t>Sim</t>
        </is>
      </c>
    </row>
    <row r="1510">
      <c r="A1510" s="1">
        <f>HYPERLINK("https://eurofarma-latam-crm.veevavault.com/#object/account__v/V4TZ000018NZ1XE", "Nathalia Rios")</f>
        <v/>
      </c>
      <c r="B1510" s="1">
        <f>HYPERLINK("https://eurofarma-latam-crm.veevavault.com/#object/account__v/V4TZ000018NZ1XE", "Nathalia Cyllio Rios")</f>
        <v/>
      </c>
      <c r="C1510" t="inlineStr">
        <is>
          <t>RJ1019627</t>
        </is>
      </c>
      <c r="D1510" t="inlineStr">
        <is>
          <t>PED</t>
        </is>
      </c>
      <c r="E1510" t="inlineStr">
        <is>
          <t>Rua Florisbela Rosa da Penha, S/N</t>
        </is>
      </c>
      <c r="F1510" t="inlineStr">
        <is>
          <t>Braga</t>
        </is>
      </c>
      <c r="G1510" t="inlineStr">
        <is>
          <t>Cabo Frio</t>
        </is>
      </c>
      <c r="H1510" t="inlineStr">
        <is>
          <t>RJ</t>
        </is>
      </c>
      <c r="I1510" t="n">
        <v>7741</v>
      </c>
      <c r="J1510" t="inlineStr">
        <is>
          <t>CAT 5</t>
        </is>
      </c>
      <c r="K1510" t="inlineStr">
        <is>
          <t>Sim</t>
        </is>
      </c>
    </row>
    <row r="1511">
      <c r="A1511" s="1">
        <f>HYPERLINK("https://eurofarma-latam-crm.veevavault.com/#object/account__v/V4TZ025E89G177X", "Nathalia Silva")</f>
        <v/>
      </c>
      <c r="B1511" s="1">
        <f>HYPERLINK("https://eurofarma-latam-crm.veevavault.com/#object/account__v/V4TZ025E89G177X", "Nathalia Machado Rodrigues Silva")</f>
        <v/>
      </c>
      <c r="C1511" t="inlineStr">
        <is>
          <t>RJ1326724</t>
        </is>
      </c>
      <c r="D1511" t="inlineStr">
        <is>
          <t>CLG / PA</t>
        </is>
      </c>
      <c r="E1511" t="inlineStr">
        <is>
          <t>Rua Raul Veiga, 153 - Sala  203</t>
        </is>
      </c>
      <c r="F1511" t="inlineStr">
        <is>
          <t>Centro</t>
        </is>
      </c>
      <c r="G1511" t="inlineStr">
        <is>
          <t>Cabo Frio</t>
        </is>
      </c>
      <c r="H1511" t="inlineStr">
        <is>
          <t>RJ</t>
        </is>
      </c>
      <c r="I1511" t="n">
        <v>7741</v>
      </c>
      <c r="J1511" t="inlineStr">
        <is>
          <t>CAT 5</t>
        </is>
      </c>
      <c r="K1511" t="inlineStr">
        <is>
          <t>Sim</t>
        </is>
      </c>
    </row>
    <row r="1512">
      <c r="A1512" s="1">
        <f>HYPERLINK("https://eurofarma-latam-crm.veevavault.com/#object/account__v/V4TZ000018NXPSU", "Osvaldo Machado Filho")</f>
        <v/>
      </c>
      <c r="B1512" s="1">
        <f>HYPERLINK("https://eurofarma-latam-crm.veevavault.com/#object/account__v/V4TZ000018NXPSU", "Osvaldo Machado Filho")</f>
        <v/>
      </c>
      <c r="C1512" t="inlineStr">
        <is>
          <t>PA0008092,RJ0847763,SP0040208</t>
        </is>
      </c>
      <c r="D1512" t="inlineStr">
        <is>
          <t>PSQ</t>
        </is>
      </c>
      <c r="E1512" t="inlineStr">
        <is>
          <t>Estrada de Búzios, S/N</t>
        </is>
      </c>
      <c r="F1512" t="inlineStr">
        <is>
          <t>Maria Joaquina (Tamoios)</t>
        </is>
      </c>
      <c r="G1512" t="inlineStr">
        <is>
          <t>Cabo Frio</t>
        </is>
      </c>
      <c r="H1512" t="inlineStr">
        <is>
          <t>RJ</t>
        </is>
      </c>
      <c r="I1512" t="n">
        <v>7741</v>
      </c>
      <c r="J1512" t="inlineStr">
        <is>
          <t>CAT 1</t>
        </is>
      </c>
      <c r="K1512" t="inlineStr">
        <is>
          <t>Sim</t>
        </is>
      </c>
    </row>
    <row r="1513">
      <c r="A1513" s="1">
        <f>HYPERLINK("https://eurofarma-latam-crm.veevavault.com/#object/account__v/V4TZ025E83CYF2V", "Pablo Bastos")</f>
        <v/>
      </c>
      <c r="B1513" s="1">
        <f>HYPERLINK("https://eurofarma-latam-crm.veevavault.com/#object/account__v/V4TZ025E83CYF2V", "Pablo Mattos Viana Bastos")</f>
        <v/>
      </c>
      <c r="C1513" t="inlineStr">
        <is>
          <t>RJ1285556</t>
        </is>
      </c>
      <c r="D1513" t="inlineStr">
        <is>
          <t>CLG / PA</t>
        </is>
      </c>
      <c r="E1513" t="inlineStr">
        <is>
          <t>Rua João Martins, 192</t>
        </is>
      </c>
      <c r="F1513" t="inlineStr">
        <is>
          <t>Centro</t>
        </is>
      </c>
      <c r="G1513" t="inlineStr">
        <is>
          <t>São Pedro da Aldeia</t>
        </is>
      </c>
      <c r="H1513" t="inlineStr">
        <is>
          <t>RJ</t>
        </is>
      </c>
      <c r="I1513" t="n">
        <v>7741</v>
      </c>
      <c r="J1513" t="inlineStr">
        <is>
          <t>CAT 4</t>
        </is>
      </c>
      <c r="K1513" t="inlineStr">
        <is>
          <t>Sim</t>
        </is>
      </c>
    </row>
    <row r="1514">
      <c r="A1514" s="1">
        <f>HYPERLINK("https://eurofarma-latam-crm.veevavault.com/#object/account__v/V4TZ000018NZ99F", "Paloma Mendes")</f>
        <v/>
      </c>
      <c r="B1514" s="1">
        <f>HYPERLINK("https://eurofarma-latam-crm.veevavault.com/#object/account__v/V4TZ000018NZ99F", "Paloma Miranda Fraguas Mendes")</f>
        <v/>
      </c>
      <c r="C1514" t="inlineStr">
        <is>
          <t>RJ0688029</t>
        </is>
      </c>
      <c r="D1514" t="inlineStr">
        <is>
          <t>PED</t>
        </is>
      </c>
      <c r="E1514" t="inlineStr">
        <is>
          <t>Rua Antônio Soares dos Santos, S/N - Casa</t>
        </is>
      </c>
      <c r="F1514" t="inlineStr">
        <is>
          <t>Baixo Grande</t>
        </is>
      </c>
      <c r="G1514" t="inlineStr">
        <is>
          <t>São Pedro da Aldeia</t>
        </is>
      </c>
      <c r="H1514" t="inlineStr">
        <is>
          <t>RJ</t>
        </is>
      </c>
      <c r="I1514" t="n">
        <v>7741</v>
      </c>
      <c r="J1514" t="inlineStr">
        <is>
          <t>CAT 3</t>
        </is>
      </c>
      <c r="K1514" t="inlineStr">
        <is>
          <t>Sim</t>
        </is>
      </c>
    </row>
    <row r="1515">
      <c r="A1515" s="1">
        <f>HYPERLINK("https://eurofarma-latam-crm.veevavault.com/#object/account__v/V4TZ000018NZ3S7", "Pâmela Borges")</f>
        <v/>
      </c>
      <c r="B1515" s="1">
        <f>HYPERLINK("https://eurofarma-latam-crm.veevavault.com/#object/account__v/V4TZ000018NZ3S7", "Pâmela Mello Borges")</f>
        <v/>
      </c>
      <c r="C1515" t="inlineStr">
        <is>
          <t>RJ1083422</t>
        </is>
      </c>
      <c r="D1515" t="inlineStr">
        <is>
          <t>NEU</t>
        </is>
      </c>
      <c r="E1515" t="inlineStr">
        <is>
          <t>Rua Duque De Caxias, 151 - A</t>
        </is>
      </c>
      <c r="F1515" t="inlineStr">
        <is>
          <t>Centro</t>
        </is>
      </c>
      <c r="G1515" t="inlineStr">
        <is>
          <t>Rio Bonito</t>
        </is>
      </c>
      <c r="H1515" t="inlineStr">
        <is>
          <t>RJ</t>
        </is>
      </c>
      <c r="I1515" t="n">
        <v>7741</v>
      </c>
      <c r="J1515" t="inlineStr">
        <is>
          <t>CAT 4</t>
        </is>
      </c>
      <c r="K1515" t="inlineStr">
        <is>
          <t>Sim</t>
        </is>
      </c>
    </row>
    <row r="1516">
      <c r="A1516" s="1">
        <f>HYPERLINK("https://eurofarma-latam-crm.veevavault.com/#object/account__v/V4TZ025E85B4LID", "Pamella Ribeiro")</f>
        <v/>
      </c>
      <c r="B1516" s="1">
        <f>HYPERLINK("https://eurofarma-latam-crm.veevavault.com/#object/account__v/V4TZ025E85B4LID", "Pamella Carolline Andrade do Carmo Souza Ribeiro")</f>
        <v/>
      </c>
      <c r="C1516" t="inlineStr">
        <is>
          <t>ES0014883,RJ1125672</t>
        </is>
      </c>
      <c r="D1516" t="inlineStr">
        <is>
          <t>PED</t>
        </is>
      </c>
      <c r="E1516" t="inlineStr">
        <is>
          <t>Estrada de Antenor Cardoso da Fonseca, S/N</t>
        </is>
      </c>
      <c r="F1516" t="inlineStr">
        <is>
          <t>Porto do Carro</t>
        </is>
      </c>
      <c r="G1516" t="inlineStr">
        <is>
          <t>Cabo Frio</t>
        </is>
      </c>
      <c r="H1516" t="inlineStr">
        <is>
          <t>RJ</t>
        </is>
      </c>
      <c r="I1516" t="n">
        <v>7741</v>
      </c>
      <c r="J1516" t="inlineStr">
        <is>
          <t>CAT 4</t>
        </is>
      </c>
      <c r="K1516" t="inlineStr">
        <is>
          <t>Sim</t>
        </is>
      </c>
    </row>
    <row r="1517">
      <c r="A1517" s="1">
        <f>HYPERLINK("https://eurofarma-latam-crm.veevavault.com/#object/account__v/V4TZ00001915QA6", "Paul Dreyer Neto")</f>
        <v/>
      </c>
      <c r="B1517" s="1">
        <f>HYPERLINK("https://eurofarma-latam-crm.veevavault.com/#object/account__v/V4TZ00001915QA6", "Paul Herbert Dreyer Neto")</f>
        <v/>
      </c>
      <c r="C1517" t="inlineStr">
        <is>
          <t>RJ0519054</t>
        </is>
      </c>
      <c r="D1517" t="inlineStr">
        <is>
          <t>CLG</t>
        </is>
      </c>
      <c r="E1517" t="inlineStr">
        <is>
          <t>Rua Barão do Rio Branco, 55 - Sala 101</t>
        </is>
      </c>
      <c r="F1517" t="inlineStr">
        <is>
          <t>Passagem</t>
        </is>
      </c>
      <c r="G1517" t="inlineStr">
        <is>
          <t>Cabo Frio</t>
        </is>
      </c>
      <c r="H1517" t="inlineStr">
        <is>
          <t>RJ</t>
        </is>
      </c>
      <c r="I1517" t="n">
        <v>7741</v>
      </c>
      <c r="J1517" t="inlineStr">
        <is>
          <t>CAT 5</t>
        </is>
      </c>
      <c r="K1517" t="inlineStr">
        <is>
          <t>N�o</t>
        </is>
      </c>
    </row>
    <row r="1518">
      <c r="A1518" s="1">
        <f>HYPERLINK("https://eurofarma-latam-crm.veevavault.com/#object/account__v/V4TZ00001914TEB", "Paula Lourenço")</f>
        <v/>
      </c>
      <c r="B1518" s="1">
        <f>HYPERLINK("https://eurofarma-latam-crm.veevavault.com/#object/account__v/V4TZ00001914TEB", "Paula Marques Lourenço")</f>
        <v/>
      </c>
      <c r="C1518" t="inlineStr">
        <is>
          <t>RJ0902713</t>
        </is>
      </c>
      <c r="D1518" t="inlineStr">
        <is>
          <t>NEU</t>
        </is>
      </c>
      <c r="E1518" t="inlineStr">
        <is>
          <t>Rua Arizio Gomes da Costa, 186</t>
        </is>
      </c>
      <c r="F1518" t="inlineStr">
        <is>
          <t>Jardim Flamboyant</t>
        </is>
      </c>
      <c r="G1518" t="inlineStr">
        <is>
          <t>Cabo Frio</t>
        </is>
      </c>
      <c r="H1518" t="inlineStr">
        <is>
          <t>RJ</t>
        </is>
      </c>
      <c r="I1518" t="n">
        <v>7741</v>
      </c>
      <c r="J1518" t="inlineStr">
        <is>
          <t>CAT 1</t>
        </is>
      </c>
      <c r="K1518" t="inlineStr">
        <is>
          <t>Sim</t>
        </is>
      </c>
    </row>
    <row r="1519">
      <c r="A1519" s="1">
        <f>HYPERLINK("https://eurofarma-latam-crm.veevavault.com/#object/account__v/V4TZ00001916859", "Paulo César Almeida")</f>
        <v/>
      </c>
      <c r="B1519" s="1">
        <f>HYPERLINK("https://eurofarma-latam-crm.veevavault.com/#object/account__v/V4TZ00001916859", "Paulo César da Guia Almeida")</f>
        <v/>
      </c>
      <c r="C1519" t="inlineStr">
        <is>
          <t>RJ0441805</t>
        </is>
      </c>
      <c r="D1519" t="inlineStr">
        <is>
          <t>GAS</t>
        </is>
      </c>
      <c r="E1519" t="inlineStr">
        <is>
          <t>Rua Jose Bento Ribeiro Dantas, 700 - Lote 5 A Quadrac</t>
        </is>
      </c>
      <c r="F1519" t="inlineStr">
        <is>
          <t>Centro</t>
        </is>
      </c>
      <c r="G1519" t="inlineStr">
        <is>
          <t>Armacao Dos Buzios</t>
        </is>
      </c>
      <c r="H1519" t="inlineStr">
        <is>
          <t>RJ</t>
        </is>
      </c>
      <c r="I1519" t="n">
        <v>7741</v>
      </c>
      <c r="J1519" t="inlineStr">
        <is>
          <t>CAT 5</t>
        </is>
      </c>
      <c r="K1519" t="inlineStr">
        <is>
          <t>Sim</t>
        </is>
      </c>
    </row>
    <row r="1520">
      <c r="A1520" s="1">
        <f>HYPERLINK("https://eurofarma-latam-crm.veevavault.com/#object/account__v/V4TZ000019142AN", "Paulo Hora")</f>
        <v/>
      </c>
      <c r="B1520" s="1">
        <f>HYPERLINK("https://eurofarma-latam-crm.veevavault.com/#object/account__v/V4TZ000019142AN", "Paulo Vinicius Peixoto da Hora")</f>
        <v/>
      </c>
      <c r="C1520" t="inlineStr">
        <is>
          <t>RJ1175190</t>
        </is>
      </c>
      <c r="D1520" t="inlineStr">
        <is>
          <t>END</t>
        </is>
      </c>
      <c r="E1520" t="inlineStr">
        <is>
          <t>Rua Machado de Assis, S/N</t>
        </is>
      </c>
      <c r="F1520" t="inlineStr">
        <is>
          <t>Centro</t>
        </is>
      </c>
      <c r="G1520" t="inlineStr">
        <is>
          <t>Araruama</t>
        </is>
      </c>
      <c r="H1520" t="inlineStr">
        <is>
          <t>RJ</t>
        </is>
      </c>
      <c r="I1520" t="n">
        <v>7741</v>
      </c>
      <c r="J1520" t="inlineStr">
        <is>
          <t>CAT 4</t>
        </is>
      </c>
      <c r="K1520" t="inlineStr">
        <is>
          <t>Sim</t>
        </is>
      </c>
    </row>
    <row r="1521">
      <c r="A1521" s="1">
        <f>HYPERLINK("https://eurofarma-latam-crm.veevavault.com/#object/account__v/V4TZ0000191386B", "Paulo Louro")</f>
        <v/>
      </c>
      <c r="B1521" s="1">
        <f>HYPERLINK("https://eurofarma-latam-crm.veevavault.com/#object/account__v/V4TZ0000191386B", "Paulo Ribeiro Louro")</f>
        <v/>
      </c>
      <c r="C1521" t="inlineStr">
        <is>
          <t>RJ0579406</t>
        </is>
      </c>
      <c r="D1521" t="inlineStr">
        <is>
          <t>PED</t>
        </is>
      </c>
      <c r="E1521" t="inlineStr">
        <is>
          <t>Estrada Velho de Búzios, S/N</t>
        </is>
      </c>
      <c r="F1521" t="inlineStr">
        <is>
          <t>Jardim Esperança</t>
        </is>
      </c>
      <c r="G1521" t="inlineStr">
        <is>
          <t>Cabo Frio</t>
        </is>
      </c>
      <c r="H1521" t="inlineStr">
        <is>
          <t>RJ</t>
        </is>
      </c>
      <c r="I1521" t="n">
        <v>7741</v>
      </c>
      <c r="J1521" t="inlineStr">
        <is>
          <t>CAT 3</t>
        </is>
      </c>
      <c r="K1521" t="inlineStr">
        <is>
          <t>Sim</t>
        </is>
      </c>
    </row>
    <row r="1522">
      <c r="A1522" s="1">
        <f>HYPERLINK("https://eurofarma-latam-crm.veevavault.com/#object/account__v/V4TZ000018NXJF1", "Pedro Hidalgo")</f>
        <v/>
      </c>
      <c r="B1522" s="1">
        <f>HYPERLINK("https://eurofarma-latam-crm.veevavault.com/#object/account__v/V4TZ000018NXJF1", "Pedro Filgueiras Hidalgo")</f>
        <v/>
      </c>
      <c r="C1522" t="inlineStr">
        <is>
          <t>RJ0795909</t>
        </is>
      </c>
      <c r="D1522" t="inlineStr">
        <is>
          <t>ORT</t>
        </is>
      </c>
      <c r="E1522" t="inlineStr">
        <is>
          <t>Rua São Francisco Xavier, 163/165</t>
        </is>
      </c>
      <c r="F1522" t="inlineStr">
        <is>
          <t>Tijuca</t>
        </is>
      </c>
      <c r="G1522" t="inlineStr">
        <is>
          <t>Rio de Janeiro</t>
        </is>
      </c>
      <c r="H1522" t="inlineStr">
        <is>
          <t>RJ</t>
        </is>
      </c>
      <c r="I1522" t="n">
        <v>7741</v>
      </c>
      <c r="J1522" t="inlineStr">
        <is>
          <t>CAT 5</t>
        </is>
      </c>
      <c r="K1522" t="inlineStr">
        <is>
          <t>Sim</t>
        </is>
      </c>
    </row>
    <row r="1523">
      <c r="A1523" s="1">
        <f>HYPERLINK("https://eurofarma-latam-crm.veevavault.com/#object/account__v/V4TZ00001914AUW", "Pedro Rodrigues")</f>
        <v/>
      </c>
      <c r="B1523" s="1">
        <f>HYPERLINK("https://eurofarma-latam-crm.veevavault.com/#object/account__v/V4TZ00001914AUW", "Pedro Paulo Pellegrino Rodrigues")</f>
        <v/>
      </c>
      <c r="C1523" t="inlineStr">
        <is>
          <t>RJ0552703</t>
        </is>
      </c>
      <c r="D1523" t="inlineStr">
        <is>
          <t>CLG</t>
        </is>
      </c>
      <c r="E1523" t="inlineStr">
        <is>
          <t>Rua Jose Bento Ribeiro Dantas, 700 - Lote 5 A Quadrac</t>
        </is>
      </c>
      <c r="F1523" t="inlineStr">
        <is>
          <t>Centro</t>
        </is>
      </c>
      <c r="G1523" t="inlineStr">
        <is>
          <t>Armacao Dos Buzios</t>
        </is>
      </c>
      <c r="H1523" t="inlineStr">
        <is>
          <t>RJ</t>
        </is>
      </c>
      <c r="I1523" t="n">
        <v>7741</v>
      </c>
      <c r="J1523" t="inlineStr">
        <is>
          <t>CAT 5</t>
        </is>
      </c>
      <c r="K1523" t="inlineStr">
        <is>
          <t>N�o</t>
        </is>
      </c>
    </row>
    <row r="1524">
      <c r="A1524" s="1">
        <f>HYPERLINK("https://eurofarma-latam-crm.veevavault.com/#object/account__v/V4TZ00001914DAC", "Priscila Braga")</f>
        <v/>
      </c>
      <c r="B1524" s="1">
        <f>HYPERLINK("https://eurofarma-latam-crm.veevavault.com/#object/account__v/V4TZ00001914DAC", "Priscila Madeira Braga")</f>
        <v/>
      </c>
      <c r="C1524" t="inlineStr">
        <is>
          <t>RJ0926892</t>
        </is>
      </c>
      <c r="D1524" t="inlineStr">
        <is>
          <t>PSQ</t>
        </is>
      </c>
      <c r="E1524" t="inlineStr">
        <is>
          <t>Avenida Júlia Kubitschek, 35 - Loja 01</t>
        </is>
      </c>
      <c r="F1524" t="inlineStr">
        <is>
          <t>Centro</t>
        </is>
      </c>
      <c r="G1524" t="inlineStr">
        <is>
          <t>Cabo Frio</t>
        </is>
      </c>
      <c r="H1524" t="inlineStr">
        <is>
          <t>RJ</t>
        </is>
      </c>
      <c r="I1524" t="n">
        <v>7741</v>
      </c>
      <c r="J1524" t="inlineStr">
        <is>
          <t>CAT 3</t>
        </is>
      </c>
      <c r="K1524" t="inlineStr">
        <is>
          <t>Sim</t>
        </is>
      </c>
    </row>
    <row r="1525">
      <c r="A1525" s="1">
        <f>HYPERLINK("https://eurofarma-latam-crm.veevavault.com/#object/account__v/V4TZ000018NXMKH", "Priscilla Alves")</f>
        <v/>
      </c>
      <c r="B1525" s="1">
        <f>HYPERLINK("https://eurofarma-latam-crm.veevavault.com/#object/account__v/V4TZ000018NXMKH", "Priscilla Gasparetto Alves")</f>
        <v/>
      </c>
      <c r="C1525" t="inlineStr">
        <is>
          <t>MG0069563,RJ1030191</t>
        </is>
      </c>
      <c r="D1525" t="inlineStr">
        <is>
          <t>CLG</t>
        </is>
      </c>
      <c r="E1525" t="inlineStr">
        <is>
          <t>Rua Doutor João Florêncio Sobrinho, S/N</t>
        </is>
      </c>
      <c r="F1525" t="inlineStr">
        <is>
          <t>Centro (São Vicente)</t>
        </is>
      </c>
      <c r="G1525" t="inlineStr">
        <is>
          <t>Araruama</t>
        </is>
      </c>
      <c r="H1525" t="inlineStr">
        <is>
          <t>RJ</t>
        </is>
      </c>
      <c r="I1525" t="n">
        <v>7741</v>
      </c>
      <c r="J1525" t="inlineStr">
        <is>
          <t>CAT 4</t>
        </is>
      </c>
      <c r="K1525" t="inlineStr">
        <is>
          <t>Sim</t>
        </is>
      </c>
    </row>
    <row r="1526">
      <c r="A1526" s="1">
        <f>HYPERLINK("https://eurofarma-latam-crm.veevavault.com/#object/account__v/V4TZ00001913WCW", "Pryscilla Won-Held")</f>
        <v/>
      </c>
      <c r="B1526" s="1">
        <f>HYPERLINK("https://eurofarma-latam-crm.veevavault.com/#object/account__v/V4TZ00001913WCW", "Pryscilla Rodrigues Won-Held")</f>
        <v/>
      </c>
      <c r="C1526" t="inlineStr">
        <is>
          <t>RJ0898821</t>
        </is>
      </c>
      <c r="D1526" t="inlineStr">
        <is>
          <t>PED</t>
        </is>
      </c>
      <c r="E1526" t="inlineStr">
        <is>
          <t>Avenida Pedro Sanches, S/N - Figueira</t>
        </is>
      </c>
      <c r="F1526" t="inlineStr">
        <is>
          <t>Centro</t>
        </is>
      </c>
      <c r="G1526" t="inlineStr">
        <is>
          <t>Arraial do Cabo</t>
        </is>
      </c>
      <c r="H1526" t="inlineStr">
        <is>
          <t>RJ</t>
        </is>
      </c>
      <c r="I1526" t="n">
        <v>7741</v>
      </c>
      <c r="J1526" t="inlineStr">
        <is>
          <t>CAT 5</t>
        </is>
      </c>
      <c r="K1526" t="inlineStr">
        <is>
          <t>N�o</t>
        </is>
      </c>
    </row>
    <row r="1527">
      <c r="A1527" s="1">
        <f>HYPERLINK("https://eurofarma-latam-crm.veevavault.com/#object/account__v/V4TZ000018NXHRT", "Rafael da Silva")</f>
        <v/>
      </c>
      <c r="B1527" s="1">
        <f>HYPERLINK("https://eurofarma-latam-crm.veevavault.com/#object/account__v/V4TZ000018NXHRT", "Rafael Vargas da Silva")</f>
        <v/>
      </c>
      <c r="C1527" t="inlineStr">
        <is>
          <t>RJ0921637</t>
        </is>
      </c>
      <c r="D1527" t="inlineStr">
        <is>
          <t>CLG</t>
        </is>
      </c>
      <c r="E1527" t="inlineStr">
        <is>
          <t>Avenida Pedro Sanches, S/N - Figueira</t>
        </is>
      </c>
      <c r="F1527" t="inlineStr">
        <is>
          <t>Centro</t>
        </is>
      </c>
      <c r="G1527" t="inlineStr">
        <is>
          <t>Arraial do Cabo</t>
        </is>
      </c>
      <c r="H1527" t="inlineStr">
        <is>
          <t>RJ</t>
        </is>
      </c>
      <c r="I1527" t="n">
        <v>7741</v>
      </c>
      <c r="J1527" t="inlineStr">
        <is>
          <t>CAT 4</t>
        </is>
      </c>
      <c r="K1527" t="inlineStr">
        <is>
          <t>Sim</t>
        </is>
      </c>
    </row>
    <row r="1528">
      <c r="A1528" s="1">
        <f>HYPERLINK("https://eurofarma-latam-crm.veevavault.com/#object/account__v/V4TZ000019168KB", "Rafael Resende")</f>
        <v/>
      </c>
      <c r="B1528" s="1">
        <f>HYPERLINK("https://eurofarma-latam-crm.veevavault.com/#object/account__v/V4TZ000019168KB", "Rafael Ker Resende")</f>
        <v/>
      </c>
      <c r="C1528" t="inlineStr">
        <is>
          <t>RJ1103857</t>
        </is>
      </c>
      <c r="D1528" t="inlineStr">
        <is>
          <t>PED</t>
        </is>
      </c>
      <c r="E1528" t="inlineStr">
        <is>
          <t>Avenida Assunção, 893 - Sala 304</t>
        </is>
      </c>
      <c r="F1528" t="inlineStr">
        <is>
          <t>São Bento</t>
        </is>
      </c>
      <c r="G1528" t="inlineStr">
        <is>
          <t>Cabo Frio</t>
        </is>
      </c>
      <c r="H1528" t="inlineStr">
        <is>
          <t>RJ</t>
        </is>
      </c>
      <c r="I1528" t="n">
        <v>7741</v>
      </c>
      <c r="J1528" t="inlineStr">
        <is>
          <t>CAT 1</t>
        </is>
      </c>
      <c r="K1528" t="inlineStr">
        <is>
          <t>Sim</t>
        </is>
      </c>
    </row>
    <row r="1529">
      <c r="A1529" s="1">
        <f>HYPERLINK("https://eurofarma-latam-crm.veevavault.com/#object/account__v/V4TZ0000191FSRR", "Rafael Sence")</f>
        <v/>
      </c>
      <c r="B1529" s="1">
        <f>HYPERLINK("https://eurofarma-latam-crm.veevavault.com/#object/account__v/V4TZ0000191FSRR", "Rafael Antunes Sence")</f>
        <v/>
      </c>
      <c r="C1529" t="inlineStr">
        <is>
          <t>RJ0938122</t>
        </is>
      </c>
      <c r="D1529" t="inlineStr">
        <is>
          <t>ORT</t>
        </is>
      </c>
      <c r="E1529" t="inlineStr">
        <is>
          <t>Rua Raul Veiga, 153 - Sala  203</t>
        </is>
      </c>
      <c r="F1529" t="inlineStr">
        <is>
          <t>Centro</t>
        </is>
      </c>
      <c r="G1529" t="inlineStr">
        <is>
          <t>Cabo Frio</t>
        </is>
      </c>
      <c r="H1529" t="inlineStr">
        <is>
          <t>RJ</t>
        </is>
      </c>
      <c r="I1529" t="n">
        <v>7741</v>
      </c>
      <c r="J1529" t="inlineStr">
        <is>
          <t>CAT 4</t>
        </is>
      </c>
      <c r="K1529" t="inlineStr">
        <is>
          <t>Sim</t>
        </is>
      </c>
    </row>
    <row r="1530">
      <c r="A1530" s="1">
        <f>HYPERLINK("https://eurofarma-latam-crm.veevavault.com/#object/account__v/V4TZ00001914OJY", "Rafaela Barbosa")</f>
        <v/>
      </c>
      <c r="B1530" s="1">
        <f>HYPERLINK("https://eurofarma-latam-crm.veevavault.com/#object/account__v/V4TZ00001914OJY", "Rafaela Suhett Mariano Barbosa")</f>
        <v/>
      </c>
      <c r="C1530" t="inlineStr">
        <is>
          <t>RJ1253565</t>
        </is>
      </c>
      <c r="D1530" t="inlineStr">
        <is>
          <t>CLG / PA</t>
        </is>
      </c>
      <c r="E1530" t="inlineStr">
        <is>
          <t>Rua Manoel Domingos dos Santos, 725</t>
        </is>
      </c>
      <c r="F1530" t="inlineStr">
        <is>
          <t>Barreira (Bacaxá)</t>
        </is>
      </c>
      <c r="G1530" t="inlineStr">
        <is>
          <t>Saquarema</t>
        </is>
      </c>
      <c r="H1530" t="inlineStr">
        <is>
          <t>RJ</t>
        </is>
      </c>
      <c r="I1530" t="n">
        <v>7741</v>
      </c>
      <c r="J1530" t="inlineStr">
        <is>
          <t>CAT 4</t>
        </is>
      </c>
      <c r="K1530" t="inlineStr">
        <is>
          <t>Sim</t>
        </is>
      </c>
    </row>
    <row r="1531">
      <c r="A1531" s="1">
        <f>HYPERLINK("https://eurofarma-latam-crm.veevavault.com/#object/account__v/V4TZ025E85EH80X", "Raissa Pontes")</f>
        <v/>
      </c>
      <c r="B1531" s="1">
        <f>HYPERLINK("https://eurofarma-latam-crm.veevavault.com/#object/account__v/V4TZ025E85EH80X", "Raissa Gabriela Menezes dos Santos Pontes")</f>
        <v/>
      </c>
      <c r="C1531" t="inlineStr">
        <is>
          <t>RJ1280848</t>
        </is>
      </c>
      <c r="D1531" t="inlineStr">
        <is>
          <t>PED</t>
        </is>
      </c>
      <c r="E1531" t="inlineStr">
        <is>
          <t>Rua Barão do Rio Branco, 55</t>
        </is>
      </c>
      <c r="F1531" t="inlineStr">
        <is>
          <t>Passagem</t>
        </is>
      </c>
      <c r="G1531" t="inlineStr">
        <is>
          <t>Cabo Frio</t>
        </is>
      </c>
      <c r="H1531" t="inlineStr">
        <is>
          <t>RJ</t>
        </is>
      </c>
      <c r="I1531" t="n">
        <v>7741</v>
      </c>
      <c r="J1531" t="inlineStr">
        <is>
          <t>CAT 4</t>
        </is>
      </c>
      <c r="K1531" t="inlineStr">
        <is>
          <t>Sim</t>
        </is>
      </c>
    </row>
    <row r="1532">
      <c r="A1532" s="1">
        <f>HYPERLINK("https://eurofarma-latam-crm.veevavault.com/#object/account__v/V4TZ025E89OQEZQ", "Raquel Haddad")</f>
        <v/>
      </c>
      <c r="B1532" s="1">
        <f>HYPERLINK("https://eurofarma-latam-crm.veevavault.com/#object/account__v/V4TZ025E89OQEZQ", "Raquel de Reis Haddad")</f>
        <v/>
      </c>
      <c r="C1532" t="inlineStr">
        <is>
          <t>RJ1351516</t>
        </is>
      </c>
      <c r="D1532" t="inlineStr">
        <is>
          <t>CLG / PA</t>
        </is>
      </c>
      <c r="E1532" t="inlineStr">
        <is>
          <t>Rua Prefeito Waldir da Silva Lobo, 01</t>
        </is>
      </c>
      <c r="F1532" t="inlineStr">
        <is>
          <t>Morro do Milagre</t>
        </is>
      </c>
      <c r="G1532" t="inlineStr">
        <is>
          <t>São Pedro da Aldeia</t>
        </is>
      </c>
      <c r="H1532" t="inlineStr">
        <is>
          <t>RJ</t>
        </is>
      </c>
      <c r="I1532" t="n">
        <v>7741</v>
      </c>
      <c r="J1532" t="inlineStr">
        <is>
          <t>CAT 4</t>
        </is>
      </c>
      <c r="K1532" t="inlineStr">
        <is>
          <t>Sim</t>
        </is>
      </c>
    </row>
    <row r="1533">
      <c r="A1533" s="1">
        <f>HYPERLINK("https://eurofarma-latam-crm.veevavault.com/#object/account__v/V4TZ025E8FFK4MG", "Rayann Oliveira")</f>
        <v/>
      </c>
      <c r="B1533" s="1">
        <f>HYPERLINK("https://eurofarma-latam-crm.veevavault.com/#object/account__v/V4TZ025E8FFK4MG", "Rayann Gusmão De Oliveira")</f>
        <v/>
      </c>
      <c r="C1533" t="inlineStr">
        <is>
          <t>RJ1396538</t>
        </is>
      </c>
      <c r="D1533" t="inlineStr">
        <is>
          <t>PED</t>
        </is>
      </c>
      <c r="E1533" t="inlineStr">
        <is>
          <t>Rodovia Amaral Peixoto, S/N - KM 107</t>
        </is>
      </c>
      <c r="F1533" t="inlineStr">
        <is>
          <t>Balneário São Pedro</t>
        </is>
      </c>
      <c r="G1533" t="inlineStr">
        <is>
          <t>São Pedro da Aldeia</t>
        </is>
      </c>
      <c r="H1533" t="inlineStr">
        <is>
          <t>RJ</t>
        </is>
      </c>
      <c r="I1533" t="n">
        <v>7741</v>
      </c>
      <c r="J1533" t="inlineStr">
        <is>
          <t>CAT 5</t>
        </is>
      </c>
      <c r="K1533" t="inlineStr">
        <is>
          <t>N�o</t>
        </is>
      </c>
    </row>
    <row r="1534">
      <c r="A1534" s="1">
        <f>HYPERLINK("https://eurofarma-latam-crm.veevavault.com/#object/account__v/V4TZ00001916BWJ", "Raysa Silveira")</f>
        <v/>
      </c>
      <c r="B1534" s="1">
        <f>HYPERLINK("https://eurofarma-latam-crm.veevavault.com/#object/account__v/V4TZ00001916BWJ", "Raysa Martins Silveira")</f>
        <v/>
      </c>
      <c r="C1534" t="inlineStr">
        <is>
          <t>RJ1216350</t>
        </is>
      </c>
      <c r="D1534" t="inlineStr">
        <is>
          <t>CLG / PA</t>
        </is>
      </c>
      <c r="E1534" t="inlineStr">
        <is>
          <t>Rua Bernardo Vasconcelos, 477</t>
        </is>
      </c>
      <c r="F1534" t="inlineStr">
        <is>
          <t>Centro</t>
        </is>
      </c>
      <c r="G1534" t="inlineStr">
        <is>
          <t>Araruama</t>
        </is>
      </c>
      <c r="H1534" t="inlineStr">
        <is>
          <t>RJ</t>
        </is>
      </c>
      <c r="I1534" t="n">
        <v>7741</v>
      </c>
      <c r="J1534" t="inlineStr">
        <is>
          <t>CAT 5</t>
        </is>
      </c>
      <c r="K1534" t="inlineStr">
        <is>
          <t>Sim</t>
        </is>
      </c>
    </row>
    <row r="1535">
      <c r="A1535" s="1">
        <f>HYPERLINK("https://eurofarma-latam-crm.veevavault.com/#object/account__v/V4TZ000018NZAC5", "Renata Nogueira")</f>
        <v/>
      </c>
      <c r="B1535" s="1">
        <f>HYPERLINK("https://eurofarma-latam-crm.veevavault.com/#object/account__v/V4TZ000018NZAC5", "Renata Freire Nogueira")</f>
        <v/>
      </c>
      <c r="C1535" t="inlineStr">
        <is>
          <t>RJ0833436,SP0132198</t>
        </is>
      </c>
      <c r="D1535" t="inlineStr">
        <is>
          <t>PED</t>
        </is>
      </c>
      <c r="E1535" t="inlineStr">
        <is>
          <t>Rua Barão do Rio Branco, 55</t>
        </is>
      </c>
      <c r="F1535" t="inlineStr">
        <is>
          <t>Passagem</t>
        </is>
      </c>
      <c r="G1535" t="inlineStr">
        <is>
          <t>Cabo Frio</t>
        </is>
      </c>
      <c r="H1535" t="inlineStr">
        <is>
          <t>RJ</t>
        </is>
      </c>
      <c r="I1535" t="n">
        <v>7741</v>
      </c>
      <c r="J1535" t="inlineStr">
        <is>
          <t>CAT 3</t>
        </is>
      </c>
      <c r="K1535" t="inlineStr">
        <is>
          <t>Sim</t>
        </is>
      </c>
    </row>
    <row r="1536">
      <c r="A1536" s="1">
        <f>HYPERLINK("https://eurofarma-latam-crm.veevavault.com/#object/account__v/V4TZ000018NYC6B", "Renata Vera")</f>
        <v/>
      </c>
      <c r="B1536" s="1">
        <f>HYPERLINK("https://eurofarma-latam-crm.veevavault.com/#object/account__v/V4TZ000018NYC6B", "Renata Riça Vera")</f>
        <v/>
      </c>
      <c r="C1536" t="inlineStr">
        <is>
          <t>RJ0659959</t>
        </is>
      </c>
      <c r="D1536" t="inlineStr">
        <is>
          <t>CLG</t>
        </is>
      </c>
      <c r="E1536" t="inlineStr">
        <is>
          <t>Rua Martins Torres, 245</t>
        </is>
      </c>
      <c r="F1536" t="inlineStr">
        <is>
          <t>Santa Rosa</t>
        </is>
      </c>
      <c r="G1536" t="inlineStr">
        <is>
          <t>Niterói</t>
        </is>
      </c>
      <c r="H1536" t="inlineStr">
        <is>
          <t>RJ</t>
        </is>
      </c>
      <c r="I1536" t="n">
        <v>7741</v>
      </c>
      <c r="J1536" t="inlineStr">
        <is>
          <t>CAT 5</t>
        </is>
      </c>
      <c r="K1536" t="inlineStr">
        <is>
          <t>Sim</t>
        </is>
      </c>
    </row>
    <row r="1537">
      <c r="A1537" s="1">
        <f>HYPERLINK("https://eurofarma-latam-crm.veevavault.com/#object/account__v/V4TZ000019162G0", "Ricardo de Souza")</f>
        <v/>
      </c>
      <c r="B1537" s="1">
        <f>HYPERLINK("https://eurofarma-latam-crm.veevavault.com/#object/account__v/V4TZ000019162G0", "Ricardo Baptista de Souza")</f>
        <v/>
      </c>
      <c r="C1537" t="inlineStr">
        <is>
          <t>RJ0612905</t>
        </is>
      </c>
      <c r="D1537" t="inlineStr">
        <is>
          <t>PED</t>
        </is>
      </c>
      <c r="E1537" t="inlineStr">
        <is>
          <t>Rua Vítor Rocha, 410</t>
        </is>
      </c>
      <c r="F1537" t="inlineStr">
        <is>
          <t>Parque Burle</t>
        </is>
      </c>
      <c r="G1537" t="inlineStr">
        <is>
          <t>Cabo Frio</t>
        </is>
      </c>
      <c r="H1537" t="inlineStr">
        <is>
          <t>RJ</t>
        </is>
      </c>
      <c r="I1537" t="n">
        <v>7741</v>
      </c>
      <c r="J1537" t="inlineStr">
        <is>
          <t>CAT 4</t>
        </is>
      </c>
      <c r="K1537" t="inlineStr">
        <is>
          <t>Sim</t>
        </is>
      </c>
    </row>
    <row r="1538">
      <c r="A1538" s="1">
        <f>HYPERLINK("https://eurofarma-latam-crm.veevavault.com/#object/account__v/V4TZ00001914C2B", "Ricardo Neri")</f>
        <v/>
      </c>
      <c r="B1538" s="1">
        <f>HYPERLINK("https://eurofarma-latam-crm.veevavault.com/#object/account__v/V4TZ00001914C2B", "Ricardo Siciliano Neri")</f>
        <v/>
      </c>
      <c r="C1538" t="inlineStr">
        <is>
          <t>RJ0660876</t>
        </is>
      </c>
      <c r="D1538" t="inlineStr">
        <is>
          <t>URO</t>
        </is>
      </c>
      <c r="E1538" t="inlineStr">
        <is>
          <t>Rua Barão do Rio Branco, 223 - A Sala 301</t>
        </is>
      </c>
      <c r="F1538" t="inlineStr">
        <is>
          <t>Passagem</t>
        </is>
      </c>
      <c r="G1538" t="inlineStr">
        <is>
          <t>Cabo Frio</t>
        </is>
      </c>
      <c r="H1538" t="inlineStr">
        <is>
          <t>RJ</t>
        </is>
      </c>
      <c r="I1538" t="n">
        <v>7741</v>
      </c>
      <c r="J1538" t="inlineStr">
        <is>
          <t>CAT 5</t>
        </is>
      </c>
      <c r="K1538" t="inlineStr">
        <is>
          <t>Sim</t>
        </is>
      </c>
    </row>
    <row r="1539">
      <c r="A1539" s="1">
        <f>HYPERLINK("https://eurofarma-latam-crm.veevavault.com/#object/account__v/V4TZ00001912YZR", "Ricardo Silveira")</f>
        <v/>
      </c>
      <c r="B1539" s="1">
        <f>HYPERLINK("https://eurofarma-latam-crm.veevavault.com/#object/account__v/V4TZ00001912YZR", "Ricardo Azevedo da Silveira")</f>
        <v/>
      </c>
      <c r="C1539" t="inlineStr">
        <is>
          <t>RJ0382413</t>
        </is>
      </c>
      <c r="D1539" t="inlineStr">
        <is>
          <t>CLG</t>
        </is>
      </c>
      <c r="E1539" t="inlineStr">
        <is>
          <t>Praça Tiradentes, 143</t>
        </is>
      </c>
      <c r="F1539" t="inlineStr">
        <is>
          <t>Centro</t>
        </is>
      </c>
      <c r="G1539" t="inlineStr">
        <is>
          <t>Cabo Frio</t>
        </is>
      </c>
      <c r="H1539" t="inlineStr">
        <is>
          <t>RJ</t>
        </is>
      </c>
      <c r="I1539" t="n">
        <v>7741</v>
      </c>
      <c r="J1539" t="inlineStr">
        <is>
          <t>CAT 4</t>
        </is>
      </c>
      <c r="K1539" t="inlineStr">
        <is>
          <t>Sim</t>
        </is>
      </c>
    </row>
    <row r="1540">
      <c r="A1540" s="1">
        <f>HYPERLINK("https://eurofarma-latam-crm.veevavault.com/#object/account__v/V4TZ00001914FKR", "Rita Parreiras")</f>
        <v/>
      </c>
      <c r="B1540" s="1">
        <f>HYPERLINK("https://eurofarma-latam-crm.veevavault.com/#object/account__v/V4TZ00001914FKR", "Rita de Cássia Parreiras")</f>
        <v/>
      </c>
      <c r="C1540" t="inlineStr">
        <is>
          <t>RJ0370829</t>
        </is>
      </c>
      <c r="D1540" t="inlineStr">
        <is>
          <t>PSQ</t>
        </is>
      </c>
      <c r="E1540" t="inlineStr">
        <is>
          <t>Estrada de Antenor Cardoso da Fonseca, S/N</t>
        </is>
      </c>
      <c r="F1540" t="inlineStr">
        <is>
          <t>Porto do Carro</t>
        </is>
      </c>
      <c r="G1540" t="inlineStr">
        <is>
          <t>Cabo Frio</t>
        </is>
      </c>
      <c r="H1540" t="inlineStr">
        <is>
          <t>RJ</t>
        </is>
      </c>
      <c r="I1540" t="n">
        <v>7741</v>
      </c>
      <c r="J1540" t="inlineStr">
        <is>
          <t>CAT 3</t>
        </is>
      </c>
      <c r="K1540" t="inlineStr">
        <is>
          <t>Sim</t>
        </is>
      </c>
    </row>
    <row r="1541">
      <c r="A1541" s="1">
        <f>HYPERLINK("https://eurofarma-latam-crm.veevavault.com/#object/account__v/V4TZ025E8ACSEGD", "Roberta Santanna")</f>
        <v/>
      </c>
      <c r="B1541" s="1">
        <f>HYPERLINK("https://eurofarma-latam-crm.veevavault.com/#object/account__v/V4TZ025E8ACSEGD", "Roberta de Souza Santanna")</f>
        <v/>
      </c>
      <c r="C1541" t="inlineStr">
        <is>
          <t>RJ1339630</t>
        </is>
      </c>
      <c r="D1541" t="inlineStr">
        <is>
          <t>CLG / PA</t>
        </is>
      </c>
      <c r="E1541" t="inlineStr">
        <is>
          <t>Avenida Getulio Vargas, S/N</t>
        </is>
      </c>
      <c r="F1541" t="inlineStr">
        <is>
          <t>Canaã</t>
        </is>
      </c>
      <c r="G1541" t="inlineStr">
        <is>
          <t>Arraial do Cabo</t>
        </is>
      </c>
      <c r="H1541" t="inlineStr">
        <is>
          <t>RJ</t>
        </is>
      </c>
      <c r="I1541" t="n">
        <v>7741</v>
      </c>
      <c r="J1541" t="inlineStr">
        <is>
          <t>CAT 5</t>
        </is>
      </c>
      <c r="K1541" t="inlineStr">
        <is>
          <t>N�o</t>
        </is>
      </c>
    </row>
    <row r="1542">
      <c r="A1542" s="1">
        <f>HYPERLINK("https://eurofarma-latam-crm.veevavault.com/#object/account__v/V4TZ000018NY9S0", "Roberto Pillar")</f>
        <v/>
      </c>
      <c r="B1542" s="1">
        <f>HYPERLINK("https://eurofarma-latam-crm.veevavault.com/#object/account__v/V4TZ000018NY9S0", "Roberto Barroso Pillar")</f>
        <v/>
      </c>
      <c r="C1542" t="inlineStr">
        <is>
          <t>RJ0428584</t>
        </is>
      </c>
      <c r="D1542" t="inlineStr">
        <is>
          <t>ORT</t>
        </is>
      </c>
      <c r="E1542" t="inlineStr">
        <is>
          <t>Rua Barão Do Rio Branco, 226</t>
        </is>
      </c>
      <c r="F1542" t="inlineStr">
        <is>
          <t>Marlin</t>
        </is>
      </c>
      <c r="G1542" t="inlineStr">
        <is>
          <t>Cabo Frio</t>
        </is>
      </c>
      <c r="H1542" t="inlineStr">
        <is>
          <t>RJ</t>
        </is>
      </c>
      <c r="I1542" t="n">
        <v>7741</v>
      </c>
      <c r="J1542" t="inlineStr">
        <is>
          <t>CAT 5</t>
        </is>
      </c>
      <c r="K1542" t="inlineStr">
        <is>
          <t>N�o</t>
        </is>
      </c>
    </row>
    <row r="1543">
      <c r="A1543" s="1">
        <f>HYPERLINK("https://eurofarma-latam-crm.veevavault.com/#object/account__v/V4TZ025E89SX7RZ", "Rodolfo de Melo")</f>
        <v/>
      </c>
      <c r="B1543" s="1">
        <f>HYPERLINK("https://eurofarma-latam-crm.veevavault.com/#object/account__v/V4TZ025E89SX7RZ", "Rodolfo Matias de Melo")</f>
        <v/>
      </c>
      <c r="C1543" t="inlineStr">
        <is>
          <t>RJ1338854</t>
        </is>
      </c>
      <c r="D1543" t="inlineStr">
        <is>
          <t>CLG / PA</t>
        </is>
      </c>
      <c r="E1543" t="inlineStr">
        <is>
          <t>Rua Prefeito Waldir da Silva Lobo, 01</t>
        </is>
      </c>
      <c r="F1543" t="inlineStr">
        <is>
          <t>Morro do Milagre</t>
        </is>
      </c>
      <c r="G1543" t="inlineStr">
        <is>
          <t>São Pedro da Aldeia</t>
        </is>
      </c>
      <c r="H1543" t="inlineStr">
        <is>
          <t>RJ</t>
        </is>
      </c>
      <c r="I1543" t="n">
        <v>7741</v>
      </c>
      <c r="J1543" t="inlineStr">
        <is>
          <t>CAT 5</t>
        </is>
      </c>
      <c r="K1543" t="inlineStr">
        <is>
          <t>N�o</t>
        </is>
      </c>
    </row>
    <row r="1544">
      <c r="A1544" s="1">
        <f>HYPERLINK("https://eurofarma-latam-crm.veevavault.com/#object/account__v/V4TZ000018NYC3E", "Rodolfo Mureb")</f>
        <v/>
      </c>
      <c r="B1544" s="1">
        <f>HYPERLINK("https://eurofarma-latam-crm.veevavault.com/#object/account__v/V4TZ000018NYC3E", "Rodolfo Guia Mureb")</f>
        <v/>
      </c>
      <c r="C1544" t="inlineStr">
        <is>
          <t>RJ0856185</t>
        </is>
      </c>
      <c r="D1544" t="inlineStr">
        <is>
          <t>URO</t>
        </is>
      </c>
      <c r="E1544" t="inlineStr">
        <is>
          <t>Rua Raul Veiga, 27 - Sala 101</t>
        </is>
      </c>
      <c r="F1544" t="inlineStr">
        <is>
          <t>Centro</t>
        </is>
      </c>
      <c r="G1544" t="inlineStr">
        <is>
          <t>Cabo Frio</t>
        </is>
      </c>
      <c r="H1544" t="inlineStr">
        <is>
          <t>RJ</t>
        </is>
      </c>
      <c r="I1544" t="n">
        <v>7741</v>
      </c>
      <c r="J1544" t="inlineStr">
        <is>
          <t>CAT 5</t>
        </is>
      </c>
      <c r="K1544" t="inlineStr">
        <is>
          <t>Sim</t>
        </is>
      </c>
    </row>
    <row r="1545">
      <c r="A1545" s="1">
        <f>HYPERLINK("https://eurofarma-latam-crm.veevavault.com/#object/account__v/V4TZ000018NYOJ1", "Rodrigo Brasil")</f>
        <v/>
      </c>
      <c r="B1545" s="1">
        <f>HYPERLINK("https://eurofarma-latam-crm.veevavault.com/#object/account__v/V4TZ000018NYOJ1", "Rodrigo de Carvalho Brasil")</f>
        <v/>
      </c>
      <c r="C1545" t="inlineStr">
        <is>
          <t>RJ0989703</t>
        </is>
      </c>
      <c r="D1545" t="inlineStr">
        <is>
          <t>PSQ</t>
        </is>
      </c>
      <c r="E1545" t="inlineStr">
        <is>
          <t>Rua Governador Valadares, 197 - Sala 01</t>
        </is>
      </c>
      <c r="F1545" t="inlineStr">
        <is>
          <t>São Cristóvão</t>
        </is>
      </c>
      <c r="G1545" t="inlineStr">
        <is>
          <t>Cabo Frio</t>
        </is>
      </c>
      <c r="H1545" t="inlineStr">
        <is>
          <t>RJ</t>
        </is>
      </c>
      <c r="I1545" t="n">
        <v>7741</v>
      </c>
      <c r="J1545" t="inlineStr">
        <is>
          <t>CAT 1</t>
        </is>
      </c>
      <c r="K1545" t="inlineStr">
        <is>
          <t>Sim</t>
        </is>
      </c>
    </row>
    <row r="1546">
      <c r="A1546" s="1">
        <f>HYPERLINK("https://eurofarma-latam-crm.veevavault.com/#object/account__v/V4TZ000018NYKPD", "Rodrigo Lima")</f>
        <v/>
      </c>
      <c r="B1546" s="1">
        <f>HYPERLINK("https://eurofarma-latam-crm.veevavault.com/#object/account__v/V4TZ000018NYKPD", "Rodrigo Gomes Pires de Lima")</f>
        <v/>
      </c>
      <c r="C1546" t="inlineStr">
        <is>
          <t>RJ0960330</t>
        </is>
      </c>
      <c r="D1546" t="inlineStr">
        <is>
          <t>CLG</t>
        </is>
      </c>
      <c r="E1546" t="inlineStr">
        <is>
          <t>Rua Fábio Lúcio dos Santos, 158 - Barreira</t>
        </is>
      </c>
      <c r="F1546" t="inlineStr">
        <is>
          <t>Verde Vale (Bacaxá)</t>
        </is>
      </c>
      <c r="G1546" t="inlineStr">
        <is>
          <t>Saquarema</t>
        </is>
      </c>
      <c r="H1546" t="inlineStr">
        <is>
          <t>RJ</t>
        </is>
      </c>
      <c r="I1546" t="n">
        <v>7741</v>
      </c>
      <c r="J1546" t="inlineStr">
        <is>
          <t>CAT 5</t>
        </is>
      </c>
      <c r="K1546" t="inlineStr">
        <is>
          <t>N�o</t>
        </is>
      </c>
    </row>
    <row r="1547">
      <c r="A1547" s="1">
        <f>HYPERLINK("https://eurofarma-latam-crm.veevavault.com/#object/account__v/V4TZ000018NXL9Z", "Ronaldo Vieira")</f>
        <v/>
      </c>
      <c r="B1547" s="1">
        <f>HYPERLINK("https://eurofarma-latam-crm.veevavault.com/#object/account__v/V4TZ000018NXL9Z", "Ronaldo Azevedo Vieira")</f>
        <v/>
      </c>
      <c r="C1547" t="inlineStr">
        <is>
          <t>RJ0368519</t>
        </is>
      </c>
      <c r="D1547" t="inlineStr">
        <is>
          <t>PED</t>
        </is>
      </c>
      <c r="E1547" t="inlineStr">
        <is>
          <t>Rua Barão do Rio Branco, 55 - Sala 302</t>
        </is>
      </c>
      <c r="F1547" t="inlineStr">
        <is>
          <t>Passagem</t>
        </is>
      </c>
      <c r="G1547" t="inlineStr">
        <is>
          <t>Cabo Frio</t>
        </is>
      </c>
      <c r="H1547" t="inlineStr">
        <is>
          <t>RJ</t>
        </is>
      </c>
      <c r="I1547" t="n">
        <v>7741</v>
      </c>
      <c r="J1547" t="inlineStr">
        <is>
          <t>CAT 5</t>
        </is>
      </c>
      <c r="K1547" t="inlineStr">
        <is>
          <t>N�o</t>
        </is>
      </c>
    </row>
    <row r="1548">
      <c r="A1548" s="1">
        <f>HYPERLINK("https://eurofarma-latam-crm.veevavault.com/#object/account__v/V4TZ00001913G7J", "Rondinelli Santos")</f>
        <v/>
      </c>
      <c r="B1548" s="1">
        <f>HYPERLINK("https://eurofarma-latam-crm.veevavault.com/#object/account__v/V4TZ00001913G7J", "Rondinelli Souza dos Santos")</f>
        <v/>
      </c>
      <c r="C1548" t="inlineStr">
        <is>
          <t>BA0022988,RJ0854549</t>
        </is>
      </c>
      <c r="D1548" t="inlineStr">
        <is>
          <t>CLG</t>
        </is>
      </c>
      <c r="E1548" t="inlineStr">
        <is>
          <t>Rua Dr Manuel Vitorino, 400 - Primeiro Andar</t>
        </is>
      </c>
      <c r="F1548" t="inlineStr">
        <is>
          <t>Centro</t>
        </is>
      </c>
      <c r="G1548" t="inlineStr">
        <is>
          <t>Macaúbas</t>
        </is>
      </c>
      <c r="H1548" t="inlineStr">
        <is>
          <t>BA</t>
        </is>
      </c>
      <c r="I1548" t="n">
        <v>7741</v>
      </c>
      <c r="J1548" t="inlineStr">
        <is>
          <t>CAT 4</t>
        </is>
      </c>
      <c r="K1548" t="inlineStr">
        <is>
          <t>Sim</t>
        </is>
      </c>
    </row>
    <row r="1549">
      <c r="A1549" s="1">
        <f>HYPERLINK("https://eurofarma-latam-crm.veevavault.com/#object/account__v/V4TZ000018NYEIF", "Rossane Pimenta")</f>
        <v/>
      </c>
      <c r="B1549" s="1">
        <f>HYPERLINK("https://eurofarma-latam-crm.veevavault.com/#object/account__v/V4TZ000018NYEIF", "Rossane Areias Pereira Pimenta")</f>
        <v/>
      </c>
      <c r="C1549" t="inlineStr">
        <is>
          <t>RJ0658316</t>
        </is>
      </c>
      <c r="D1549" t="inlineStr">
        <is>
          <t>CLG</t>
        </is>
      </c>
      <c r="E1549" t="inlineStr">
        <is>
          <t>Rua Florisbela Rosa da Penha, S/N</t>
        </is>
      </c>
      <c r="F1549" t="inlineStr">
        <is>
          <t>Braga</t>
        </is>
      </c>
      <c r="G1549" t="inlineStr">
        <is>
          <t>Cabo Frio</t>
        </is>
      </c>
      <c r="H1549" t="inlineStr">
        <is>
          <t>RJ</t>
        </is>
      </c>
      <c r="I1549" t="n">
        <v>7741</v>
      </c>
      <c r="J1549" t="inlineStr">
        <is>
          <t>CAT 5</t>
        </is>
      </c>
      <c r="K1549" t="inlineStr">
        <is>
          <t>N�o</t>
        </is>
      </c>
    </row>
    <row r="1550">
      <c r="A1550" s="1">
        <f>HYPERLINK("https://eurofarma-latam-crm.veevavault.com/#object/account__v/V4TZ025E8EM62MJ", "Sandy Frauches")</f>
        <v/>
      </c>
      <c r="B1550" s="1">
        <f>HYPERLINK("https://eurofarma-latam-crm.veevavault.com/#object/account__v/V4TZ025E8EM62MJ", "Sandy Dos Passos Frauches")</f>
        <v/>
      </c>
      <c r="C1550" t="inlineStr">
        <is>
          <t>RJ1372814</t>
        </is>
      </c>
      <c r="D1550" t="inlineStr">
        <is>
          <t>PED</t>
        </is>
      </c>
      <c r="E1550" t="inlineStr">
        <is>
          <t>Rua Pastor Luiz Laurentino, 1292</t>
        </is>
      </c>
      <c r="F1550" t="inlineStr">
        <is>
          <t>Centro</t>
        </is>
      </c>
      <c r="G1550" t="inlineStr">
        <is>
          <t>Casimiro de Abreu</t>
        </is>
      </c>
      <c r="H1550" t="inlineStr">
        <is>
          <t>RJ</t>
        </is>
      </c>
      <c r="I1550" t="n">
        <v>7741</v>
      </c>
      <c r="J1550" t="inlineStr"/>
      <c r="K1550" t="inlineStr"/>
    </row>
    <row r="1551">
      <c r="A1551" s="1">
        <f>HYPERLINK("https://eurofarma-latam-crm.veevavault.com/#object/account__v/V4TZ00001915KA9", "Sarah e Silva")</f>
        <v/>
      </c>
      <c r="B1551" s="1">
        <f>HYPERLINK("https://eurofarma-latam-crm.veevavault.com/#object/account__v/V4TZ00001915KA9", "Sarah Costa e Silva")</f>
        <v/>
      </c>
      <c r="C1551" t="inlineStr">
        <is>
          <t>MT0010977,RJ1265687</t>
        </is>
      </c>
      <c r="D1551" t="inlineStr">
        <is>
          <t>PED</t>
        </is>
      </c>
      <c r="E1551" t="inlineStr">
        <is>
          <t>Rua Barão do Rio Branco, 223 - Edif Brb 2 Salas 201 ao 203 e 211 ao 212</t>
        </is>
      </c>
      <c r="F1551" t="inlineStr">
        <is>
          <t>Passagem</t>
        </is>
      </c>
      <c r="G1551" t="inlineStr">
        <is>
          <t>Cabo Frio</t>
        </is>
      </c>
      <c r="H1551" t="inlineStr">
        <is>
          <t>RJ</t>
        </is>
      </c>
      <c r="I1551" t="n">
        <v>7741</v>
      </c>
      <c r="J1551" t="inlineStr">
        <is>
          <t>CAT 5</t>
        </is>
      </c>
      <c r="K1551" t="inlineStr">
        <is>
          <t>Sim</t>
        </is>
      </c>
    </row>
    <row r="1552">
      <c r="A1552" s="1">
        <f>HYPERLINK("https://eurofarma-latam-crm.veevavault.com/#object/account__v/V4TZ025E89D7IHV", "Sarah Fernandes")</f>
        <v/>
      </c>
      <c r="B1552" s="1">
        <f>HYPERLINK("https://eurofarma-latam-crm.veevavault.com/#object/account__v/V4TZ025E89D7IHV", "Sarah Sterphane Mendes Fernandes")</f>
        <v/>
      </c>
      <c r="C1552" t="inlineStr">
        <is>
          <t>RJ1121677</t>
        </is>
      </c>
      <c r="D1552" t="inlineStr">
        <is>
          <t>GAS</t>
        </is>
      </c>
      <c r="E1552" t="inlineStr">
        <is>
          <t>Rua Raul Veiga, 153 - Sala  203</t>
        </is>
      </c>
      <c r="F1552" t="inlineStr">
        <is>
          <t>Centro</t>
        </is>
      </c>
      <c r="G1552" t="inlineStr">
        <is>
          <t>Cabo Frio</t>
        </is>
      </c>
      <c r="H1552" t="inlineStr">
        <is>
          <t>RJ</t>
        </is>
      </c>
      <c r="I1552" t="n">
        <v>7741</v>
      </c>
      <c r="J1552" t="inlineStr">
        <is>
          <t>CAT 5</t>
        </is>
      </c>
      <c r="K1552" t="inlineStr">
        <is>
          <t>N�o</t>
        </is>
      </c>
    </row>
    <row r="1553">
      <c r="A1553" s="1">
        <f>HYPERLINK("https://eurofarma-latam-crm.veevavault.com/#object/account__v/V4TZ025E8A56QR9", "Saulo Coelho")</f>
        <v/>
      </c>
      <c r="B1553" s="1">
        <f>HYPERLINK("https://eurofarma-latam-crm.veevavault.com/#object/account__v/V4TZ025E8A56QR9", "Saulo Sant'Anna Coelho")</f>
        <v/>
      </c>
      <c r="C1553" t="inlineStr">
        <is>
          <t>RJ1151916</t>
        </is>
      </c>
      <c r="D1553" t="inlineStr">
        <is>
          <t>END</t>
        </is>
      </c>
      <c r="E1553" t="inlineStr">
        <is>
          <t>Rua Barão do Rio Branco, 9 - Loja 02</t>
        </is>
      </c>
      <c r="F1553" t="inlineStr">
        <is>
          <t>Passagem</t>
        </is>
      </c>
      <c r="G1553" t="inlineStr">
        <is>
          <t>Cabo Frio</t>
        </is>
      </c>
      <c r="H1553" t="inlineStr">
        <is>
          <t>RJ</t>
        </is>
      </c>
      <c r="I1553" t="n">
        <v>7741</v>
      </c>
      <c r="J1553" t="inlineStr">
        <is>
          <t>CAT 4</t>
        </is>
      </c>
      <c r="K1553" t="inlineStr">
        <is>
          <t>Sim</t>
        </is>
      </c>
    </row>
    <row r="1554">
      <c r="A1554" s="1">
        <f>HYPERLINK("https://eurofarma-latam-crm.veevavault.com/#object/account__v/V4TZ00001912ZHH", "Savio Pereira")</f>
        <v/>
      </c>
      <c r="B1554" s="1">
        <f>HYPERLINK("https://eurofarma-latam-crm.veevavault.com/#object/account__v/V4TZ00001912ZHH", "Savio Daflon Pereira")</f>
        <v/>
      </c>
      <c r="C1554" t="inlineStr">
        <is>
          <t>RJ0797529</t>
        </is>
      </c>
      <c r="D1554" t="inlineStr">
        <is>
          <t>URO</t>
        </is>
      </c>
      <c r="E1554" t="inlineStr">
        <is>
          <t>Rua Prefeito Waldir da Silva Lobo, 2</t>
        </is>
      </c>
      <c r="F1554" t="inlineStr">
        <is>
          <t>Morro do Milagre</t>
        </is>
      </c>
      <c r="G1554" t="inlineStr">
        <is>
          <t>São Pedro da Aldeia</t>
        </is>
      </c>
      <c r="H1554" t="inlineStr">
        <is>
          <t>RJ</t>
        </is>
      </c>
      <c r="I1554" t="n">
        <v>7741</v>
      </c>
      <c r="J1554" t="inlineStr">
        <is>
          <t>CAT 5</t>
        </is>
      </c>
      <c r="K1554" t="inlineStr">
        <is>
          <t>Sim</t>
        </is>
      </c>
    </row>
    <row r="1555">
      <c r="A1555" s="1">
        <f>HYPERLINK("https://eurofarma-latam-crm.veevavault.com/#object/account__v/V4TZ00001915ZMQ", "Segismundo Valadares")</f>
        <v/>
      </c>
      <c r="B1555" s="1">
        <f>HYPERLINK("https://eurofarma-latam-crm.veevavault.com/#object/account__v/V4TZ00001915ZMQ", "Segismundo de Melo Valadares")</f>
        <v/>
      </c>
      <c r="C1555" t="inlineStr">
        <is>
          <t>RJ0598680</t>
        </is>
      </c>
      <c r="D1555" t="inlineStr">
        <is>
          <t>NEU</t>
        </is>
      </c>
      <c r="E1555" t="inlineStr">
        <is>
          <t>Rua Leopoldo, 280</t>
        </is>
      </c>
      <c r="F1555" t="inlineStr">
        <is>
          <t>Andaraí</t>
        </is>
      </c>
      <c r="G1555" t="inlineStr">
        <is>
          <t>Rio de Janeiro</t>
        </is>
      </c>
      <c r="H1555" t="inlineStr">
        <is>
          <t>RJ</t>
        </is>
      </c>
      <c r="I1555" t="n">
        <v>7741</v>
      </c>
      <c r="J1555" t="inlineStr">
        <is>
          <t>CAT 4</t>
        </is>
      </c>
      <c r="K1555" t="inlineStr">
        <is>
          <t>Sim</t>
        </is>
      </c>
    </row>
    <row r="1556">
      <c r="A1556" s="1">
        <f>HYPERLINK("https://eurofarma-latam-crm.veevavault.com/#object/account__v/V4TZ000018NYLNG", "Sérgio Braga")</f>
        <v/>
      </c>
      <c r="B1556" s="1">
        <f>HYPERLINK("https://eurofarma-latam-crm.veevavault.com/#object/account__v/V4TZ000018NYLNG", "Sérgio Bandeira Braga")</f>
        <v/>
      </c>
      <c r="C1556" t="inlineStr">
        <is>
          <t>RJ0661520</t>
        </is>
      </c>
      <c r="D1556" t="inlineStr">
        <is>
          <t>CLG / PA</t>
        </is>
      </c>
      <c r="E1556" t="inlineStr">
        <is>
          <t>Rua Rita Pereira, 52</t>
        </is>
      </c>
      <c r="F1556" t="inlineStr">
        <is>
          <t>Centro</t>
        </is>
      </c>
      <c r="G1556" t="inlineStr">
        <is>
          <t>São Pedro da Aldeia</t>
        </is>
      </c>
      <c r="H1556" t="inlineStr">
        <is>
          <t>RJ</t>
        </is>
      </c>
      <c r="I1556" t="n">
        <v>7741</v>
      </c>
      <c r="J1556" t="inlineStr">
        <is>
          <t>CAT 1</t>
        </is>
      </c>
      <c r="K1556" t="inlineStr">
        <is>
          <t>Sim</t>
        </is>
      </c>
    </row>
    <row r="1557">
      <c r="A1557" s="1">
        <f>HYPERLINK("https://eurofarma-latam-crm.veevavault.com/#object/account__v/V4TZ000019140FD", "Sergio Couceiro")</f>
        <v/>
      </c>
      <c r="B1557" s="1">
        <f>HYPERLINK("https://eurofarma-latam-crm.veevavault.com/#object/account__v/V4TZ000019140FD", "Sergio Livio Menezes Couceiro")</f>
        <v/>
      </c>
      <c r="C1557" t="inlineStr">
        <is>
          <t>RJ0607991</t>
        </is>
      </c>
      <c r="D1557" t="inlineStr">
        <is>
          <t>GER</t>
        </is>
      </c>
      <c r="E1557" t="inlineStr">
        <is>
          <t>Estrada de Búzios, S/N</t>
        </is>
      </c>
      <c r="F1557" t="inlineStr">
        <is>
          <t>Maria Joaquina (Tamoios)</t>
        </is>
      </c>
      <c r="G1557" t="inlineStr">
        <is>
          <t>Cabo Frio</t>
        </is>
      </c>
      <c r="H1557" t="inlineStr">
        <is>
          <t>RJ</t>
        </is>
      </c>
      <c r="I1557" t="n">
        <v>7741</v>
      </c>
      <c r="J1557" t="inlineStr">
        <is>
          <t>CAT 3</t>
        </is>
      </c>
      <c r="K1557" t="inlineStr">
        <is>
          <t>Sim</t>
        </is>
      </c>
    </row>
    <row r="1558">
      <c r="A1558" s="1">
        <f>HYPERLINK("https://eurofarma-latam-crm.veevavault.com/#object/account__v/V4TZ000018NYSY2", "Sergio Luiz Pinto")</f>
        <v/>
      </c>
      <c r="B1558" s="1">
        <f>HYPERLINK("https://eurofarma-latam-crm.veevavault.com/#object/account__v/V4TZ000018NYSY2", "Sergio Luiz Garrido Pinto")</f>
        <v/>
      </c>
      <c r="C1558" t="inlineStr">
        <is>
          <t>RJ0561139</t>
        </is>
      </c>
      <c r="D1558" t="inlineStr">
        <is>
          <t>CLG</t>
        </is>
      </c>
      <c r="E1558" t="inlineStr">
        <is>
          <t>Rua Governador Valadares, 22</t>
        </is>
      </c>
      <c r="F1558" t="inlineStr">
        <is>
          <t>São Cristóvão</t>
        </is>
      </c>
      <c r="G1558" t="inlineStr">
        <is>
          <t>Cabo Frio</t>
        </is>
      </c>
      <c r="H1558" t="inlineStr">
        <is>
          <t>RJ</t>
        </is>
      </c>
      <c r="I1558" t="n">
        <v>7741</v>
      </c>
      <c r="J1558" t="inlineStr">
        <is>
          <t>CAT 2</t>
        </is>
      </c>
      <c r="K1558" t="inlineStr">
        <is>
          <t>Sim</t>
        </is>
      </c>
    </row>
    <row r="1559">
      <c r="A1559" s="1">
        <f>HYPERLINK("https://eurofarma-latam-crm.veevavault.com/#object/account__v/V4TZ00001915H2Y", "Silvia Gouvea")</f>
        <v/>
      </c>
      <c r="B1559" s="1">
        <f>HYPERLINK("https://eurofarma-latam-crm.veevavault.com/#object/account__v/V4TZ00001915H2Y", "Silvia Regina Pereira Cardozo Gouvea")</f>
        <v/>
      </c>
      <c r="C1559" t="inlineStr">
        <is>
          <t>RJ0356255</t>
        </is>
      </c>
      <c r="D1559" t="inlineStr">
        <is>
          <t>CLG / PA</t>
        </is>
      </c>
      <c r="E1559" t="inlineStr">
        <is>
          <t>Avenida Pedro Sanches, S/N - Figueira</t>
        </is>
      </c>
      <c r="F1559" t="inlineStr">
        <is>
          <t>Centro</t>
        </is>
      </c>
      <c r="G1559" t="inlineStr">
        <is>
          <t>Arraial do Cabo</t>
        </is>
      </c>
      <c r="H1559" t="inlineStr">
        <is>
          <t>RJ</t>
        </is>
      </c>
      <c r="I1559" t="n">
        <v>7741</v>
      </c>
      <c r="J1559" t="inlineStr">
        <is>
          <t>CAT 5</t>
        </is>
      </c>
      <c r="K1559" t="inlineStr">
        <is>
          <t>N�o</t>
        </is>
      </c>
    </row>
    <row r="1560">
      <c r="A1560" s="1">
        <f>HYPERLINK("https://eurofarma-latam-crm.veevavault.com/#object/account__v/V4TZ025E83A6B5H", "Silvia Orletti")</f>
        <v/>
      </c>
      <c r="B1560" s="1">
        <f>HYPERLINK("https://eurofarma-latam-crm.veevavault.com/#object/account__v/V4TZ025E83A6B5H", "Silvia Maria Araújo Moraes Orletti")</f>
        <v/>
      </c>
      <c r="C1560" t="inlineStr">
        <is>
          <t>PR0050532,RJ0996556</t>
        </is>
      </c>
      <c r="D1560" t="inlineStr">
        <is>
          <t>PED</t>
        </is>
      </c>
      <c r="E1560" t="inlineStr">
        <is>
          <t>Rua Pedro Luiz Souza, 108</t>
        </is>
      </c>
      <c r="F1560" t="inlineStr">
        <is>
          <t>Centro</t>
        </is>
      </c>
      <c r="G1560" t="inlineStr">
        <is>
          <t>Araruama</t>
        </is>
      </c>
      <c r="H1560" t="inlineStr">
        <is>
          <t>RJ</t>
        </is>
      </c>
      <c r="I1560" t="n">
        <v>7741</v>
      </c>
      <c r="J1560" t="inlineStr">
        <is>
          <t>CAT 5</t>
        </is>
      </c>
      <c r="K1560" t="inlineStr">
        <is>
          <t>Sim</t>
        </is>
      </c>
    </row>
    <row r="1561">
      <c r="A1561" s="1">
        <f>HYPERLINK("https://eurofarma-latam-crm.veevavault.com/#object/account__v/V4TZ000018NYPRW", "Silvio Pinto")</f>
        <v/>
      </c>
      <c r="B1561" s="1">
        <f>HYPERLINK("https://eurofarma-latam-crm.veevavault.com/#object/account__v/V4TZ000018NYPRW", "Silvio Cesar Garrido Pinto")</f>
        <v/>
      </c>
      <c r="C1561" t="inlineStr">
        <is>
          <t>RJ0531612</t>
        </is>
      </c>
      <c r="D1561" t="inlineStr">
        <is>
          <t>ORT</t>
        </is>
      </c>
      <c r="E1561" t="inlineStr">
        <is>
          <t>Rua Tatuí, S/N</t>
        </is>
      </c>
      <c r="F1561" t="inlineStr">
        <is>
          <t>Aquarius (Tamoios)</t>
        </is>
      </c>
      <c r="G1561" t="inlineStr">
        <is>
          <t>Cabo Frio</t>
        </is>
      </c>
      <c r="H1561" t="inlineStr">
        <is>
          <t>RJ</t>
        </is>
      </c>
      <c r="I1561" t="n">
        <v>7741</v>
      </c>
      <c r="J1561" t="inlineStr">
        <is>
          <t>CAT 1</t>
        </is>
      </c>
      <c r="K1561" t="inlineStr">
        <is>
          <t>Sim</t>
        </is>
      </c>
    </row>
    <row r="1562">
      <c r="A1562" s="1">
        <f>HYPERLINK("https://eurofarma-latam-crm.veevavault.com/#object/account__v/V4TZ000018NYBZH", "Simone Nogueira")</f>
        <v/>
      </c>
      <c r="B1562" s="1">
        <f>HYPERLINK("https://eurofarma-latam-crm.veevavault.com/#object/account__v/V4TZ000018NYBZH", "Simone dos Santos Nogueira")</f>
        <v/>
      </c>
      <c r="C1562" t="inlineStr">
        <is>
          <t>RJ0633623</t>
        </is>
      </c>
      <c r="D1562" t="inlineStr">
        <is>
          <t>PED</t>
        </is>
      </c>
      <c r="E1562" t="inlineStr">
        <is>
          <t>Rua Alcino Porto, S/N</t>
        </is>
      </c>
      <c r="F1562" t="inlineStr">
        <is>
          <t>Manguinhos</t>
        </is>
      </c>
      <c r="G1562" t="inlineStr">
        <is>
          <t>Armação dos Búzios</t>
        </is>
      </c>
      <c r="H1562" t="inlineStr">
        <is>
          <t>RJ</t>
        </is>
      </c>
      <c r="I1562" t="n">
        <v>7741</v>
      </c>
      <c r="J1562" t="inlineStr">
        <is>
          <t>CAT 5</t>
        </is>
      </c>
      <c r="K1562" t="inlineStr">
        <is>
          <t>Sim</t>
        </is>
      </c>
    </row>
    <row r="1563">
      <c r="A1563" s="1">
        <f>HYPERLINK("https://eurofarma-latam-crm.veevavault.com/#object/account__v/V4TZ00001914JB7", "Sofia Pereira")</f>
        <v/>
      </c>
      <c r="B1563" s="1">
        <f>HYPERLINK("https://eurofarma-latam-crm.veevavault.com/#object/account__v/V4TZ00001914JB7", "Sofia Gonçalves Pereira")</f>
        <v/>
      </c>
      <c r="C1563" t="inlineStr">
        <is>
          <t>RJ0996181</t>
        </is>
      </c>
      <c r="D1563" t="inlineStr">
        <is>
          <t>END</t>
        </is>
      </c>
      <c r="E1563" t="inlineStr">
        <is>
          <t>Rua Almirante Saddock de Sá, 207</t>
        </is>
      </c>
      <c r="F1563" t="inlineStr">
        <is>
          <t>Ipanema</t>
        </is>
      </c>
      <c r="G1563" t="inlineStr">
        <is>
          <t>Rio de Janeiro</t>
        </is>
      </c>
      <c r="H1563" t="inlineStr">
        <is>
          <t>RJ</t>
        </is>
      </c>
      <c r="I1563" t="n">
        <v>7741</v>
      </c>
      <c r="J1563" t="inlineStr">
        <is>
          <t>CAT 4</t>
        </is>
      </c>
      <c r="K1563" t="inlineStr">
        <is>
          <t>Sim</t>
        </is>
      </c>
    </row>
    <row r="1564">
      <c r="A1564" s="1">
        <f>HYPERLINK("https://eurofarma-latam-crm.veevavault.com/#object/account__v/V4TZ00001913QAU", "Sonia Spelta")</f>
        <v/>
      </c>
      <c r="B1564" s="1">
        <f>HYPERLINK("https://eurofarma-latam-crm.veevavault.com/#object/account__v/V4TZ00001913QAU", "Sonia Regina Azevedo Spelta")</f>
        <v/>
      </c>
      <c r="C1564" t="inlineStr">
        <is>
          <t>RJ0518669</t>
        </is>
      </c>
      <c r="D1564" t="inlineStr">
        <is>
          <t>CLG</t>
        </is>
      </c>
      <c r="E1564" t="inlineStr">
        <is>
          <t>Rodovia Amaral Peixoto, S/N - KM 71 1 Andar</t>
        </is>
      </c>
      <c r="F1564" t="inlineStr">
        <is>
          <t>Bacaxá (Bacaxá)</t>
        </is>
      </c>
      <c r="G1564" t="inlineStr">
        <is>
          <t>Saquarema</t>
        </is>
      </c>
      <c r="H1564" t="inlineStr">
        <is>
          <t>RJ</t>
        </is>
      </c>
      <c r="I1564" t="n">
        <v>7741</v>
      </c>
      <c r="J1564" t="inlineStr">
        <is>
          <t>CAT 5</t>
        </is>
      </c>
      <c r="K1564" t="inlineStr">
        <is>
          <t>N�o</t>
        </is>
      </c>
    </row>
    <row r="1565">
      <c r="A1565" s="1">
        <f>HYPERLINK("https://eurofarma-latam-crm.veevavault.com/#object/account__v/V4TZ000018NXXTE", "Suely Maria Rastoldo")</f>
        <v/>
      </c>
      <c r="B1565" s="1">
        <f>HYPERLINK("https://eurofarma-latam-crm.veevavault.com/#object/account__v/V4TZ000018NXXTE", "Suely Maria Celente Rastoldo")</f>
        <v/>
      </c>
      <c r="C1565" t="inlineStr">
        <is>
          <t>RJ0362758</t>
        </is>
      </c>
      <c r="D1565" t="inlineStr">
        <is>
          <t>PED</t>
        </is>
      </c>
      <c r="E1565" t="inlineStr">
        <is>
          <t>Rua Epaminondas Pereira Nunes, 11 - Andar 2 Lote 14 Esquina Rua Manoel Aranha</t>
        </is>
      </c>
      <c r="F1565" t="inlineStr">
        <is>
          <t>Centro</t>
        </is>
      </c>
      <c r="G1565" t="inlineStr">
        <is>
          <t>São Pedro da Aldeia</t>
        </is>
      </c>
      <c r="H1565" t="inlineStr">
        <is>
          <t>RJ</t>
        </is>
      </c>
      <c r="I1565" t="n">
        <v>7741</v>
      </c>
      <c r="J1565" t="inlineStr">
        <is>
          <t>CAT 5</t>
        </is>
      </c>
      <c r="K1565" t="inlineStr">
        <is>
          <t>N�o</t>
        </is>
      </c>
    </row>
    <row r="1566">
      <c r="A1566" s="1">
        <f>HYPERLINK("https://eurofarma-latam-crm.veevavault.com/#object/account__v/V4TZ025E8EO6GHO", "Suiane Pereira")</f>
        <v/>
      </c>
      <c r="B1566" s="1">
        <f>HYPERLINK("https://eurofarma-latam-crm.veevavault.com/#object/account__v/V4TZ025E8EO6GHO", "Suiane da Silva Couto Pereira")</f>
        <v/>
      </c>
      <c r="C1566" t="inlineStr">
        <is>
          <t>RJ1335588</t>
        </is>
      </c>
      <c r="D1566" t="inlineStr">
        <is>
          <t>PED</t>
        </is>
      </c>
      <c r="E1566" t="inlineStr">
        <is>
          <t>Avenida Pedro Sanches, S/N - Figueira</t>
        </is>
      </c>
      <c r="F1566" t="inlineStr">
        <is>
          <t>Centro</t>
        </is>
      </c>
      <c r="G1566" t="inlineStr">
        <is>
          <t>Arraial do Cabo</t>
        </is>
      </c>
      <c r="H1566" t="inlineStr">
        <is>
          <t>RJ</t>
        </is>
      </c>
      <c r="I1566" t="n">
        <v>7741</v>
      </c>
      <c r="J1566" t="inlineStr">
        <is>
          <t>CAT 5</t>
        </is>
      </c>
      <c r="K1566" t="inlineStr">
        <is>
          <t>N�o</t>
        </is>
      </c>
    </row>
    <row r="1567">
      <c r="A1567" s="1">
        <f>HYPERLINK("https://eurofarma-latam-crm.veevavault.com/#object/account__v/V4TZ000019155EH", "Susane Ferreira")</f>
        <v/>
      </c>
      <c r="B1567" s="1">
        <f>HYPERLINK("https://eurofarma-latam-crm.veevavault.com/#object/account__v/V4TZ000019155EH", "Susane Marie Silva Gesteira Ferreira")</f>
        <v/>
      </c>
      <c r="C1567" t="inlineStr">
        <is>
          <t>RJ1170490</t>
        </is>
      </c>
      <c r="D1567" t="inlineStr">
        <is>
          <t>PED</t>
        </is>
      </c>
      <c r="E1567" t="inlineStr">
        <is>
          <t>Rua Nove, S/N - Quadra 15</t>
        </is>
      </c>
      <c r="F1567" t="inlineStr">
        <is>
          <t>Cordeirinho (Ponta Negra)</t>
        </is>
      </c>
      <c r="G1567" t="inlineStr">
        <is>
          <t>Maricá</t>
        </is>
      </c>
      <c r="H1567" t="inlineStr">
        <is>
          <t>RJ</t>
        </is>
      </c>
      <c r="I1567" t="n">
        <v>7741</v>
      </c>
      <c r="J1567" t="inlineStr">
        <is>
          <t>CAT 4</t>
        </is>
      </c>
      <c r="K1567" t="inlineStr">
        <is>
          <t>Sim</t>
        </is>
      </c>
    </row>
    <row r="1568">
      <c r="A1568" s="1">
        <f>HYPERLINK("https://eurofarma-latam-crm.veevavault.com/#object/account__v/V4TZ00001915WMB", "Taina Guerra")</f>
        <v/>
      </c>
      <c r="B1568" s="1">
        <f>HYPERLINK("https://eurofarma-latam-crm.veevavault.com/#object/account__v/V4TZ00001915WMB", "Taina Ripardo Guerra")</f>
        <v/>
      </c>
      <c r="C1568" t="inlineStr">
        <is>
          <t>RJ1123572</t>
        </is>
      </c>
      <c r="D1568" t="inlineStr">
        <is>
          <t>PSQ</t>
        </is>
      </c>
      <c r="E1568" t="inlineStr">
        <is>
          <t>Rua Ronald de Carvalho, S/N</t>
        </is>
      </c>
      <c r="F1568" t="inlineStr">
        <is>
          <t>Parque Mataruna</t>
        </is>
      </c>
      <c r="G1568" t="inlineStr">
        <is>
          <t>Araruama</t>
        </is>
      </c>
      <c r="H1568" t="inlineStr">
        <is>
          <t>RJ</t>
        </is>
      </c>
      <c r="I1568" t="n">
        <v>7741</v>
      </c>
      <c r="J1568" t="inlineStr">
        <is>
          <t>CAT 2</t>
        </is>
      </c>
      <c r="K1568" t="inlineStr">
        <is>
          <t>Sim</t>
        </is>
      </c>
    </row>
    <row r="1569">
      <c r="A1569" s="1">
        <f>HYPERLINK("https://eurofarma-latam-crm.veevavault.com/#object/account__v/V4TZ00001912X2C", "Tania Marília Machado")</f>
        <v/>
      </c>
      <c r="B1569" s="1">
        <f>HYPERLINK("https://eurofarma-latam-crm.veevavault.com/#object/account__v/V4TZ00001912X2C", "Tania Marília Tupan Machado")</f>
        <v/>
      </c>
      <c r="C1569" t="inlineStr">
        <is>
          <t>RJ0748200</t>
        </is>
      </c>
      <c r="D1569" t="inlineStr">
        <is>
          <t>CLG</t>
        </is>
      </c>
      <c r="E1569" t="inlineStr">
        <is>
          <t>Avenida Getúlio Vargas, 979</t>
        </is>
      </c>
      <c r="F1569" t="inlineStr">
        <is>
          <t>Centro</t>
        </is>
      </c>
      <c r="G1569" t="inlineStr">
        <is>
          <t>Araruama</t>
        </is>
      </c>
      <c r="H1569" t="inlineStr">
        <is>
          <t>RJ</t>
        </is>
      </c>
      <c r="I1569" t="n">
        <v>7741</v>
      </c>
      <c r="J1569" t="inlineStr">
        <is>
          <t>CAT 5</t>
        </is>
      </c>
      <c r="K1569" t="inlineStr">
        <is>
          <t>Sim</t>
        </is>
      </c>
    </row>
    <row r="1570">
      <c r="A1570" s="1">
        <f>HYPERLINK("https://eurofarma-latam-crm.veevavault.com/#object/account__v/V4T00000001L074", "Tatyane Rigoni")</f>
        <v/>
      </c>
      <c r="B1570" s="1">
        <f>HYPERLINK("https://eurofarma-latam-crm.veevavault.com/#object/account__v/V4T00000001L074", "Tatyane Ferreira Calvão Rigoni")</f>
        <v/>
      </c>
      <c r="C1570" t="inlineStr">
        <is>
          <t>RJ1384318</t>
        </is>
      </c>
      <c r="D1570" t="inlineStr">
        <is>
          <t>PED</t>
        </is>
      </c>
      <c r="E1570" t="inlineStr">
        <is>
          <t>Rua Baster Pillar, S/N</t>
        </is>
      </c>
      <c r="F1570" t="inlineStr">
        <is>
          <t>Parque Hotel</t>
        </is>
      </c>
      <c r="G1570" t="inlineStr">
        <is>
          <t>Araruama</t>
        </is>
      </c>
      <c r="H1570" t="inlineStr">
        <is>
          <t>RJ</t>
        </is>
      </c>
      <c r="I1570" t="n">
        <v>7741</v>
      </c>
      <c r="J1570" t="inlineStr"/>
      <c r="K1570" t="inlineStr"/>
    </row>
    <row r="1571">
      <c r="A1571" s="1">
        <f>HYPERLINK("https://eurofarma-latam-crm.veevavault.com/#object/account__v/V4TZ00001913TR9", "Taylor Jasmim Junior")</f>
        <v/>
      </c>
      <c r="B1571" s="1">
        <f>HYPERLINK("https://eurofarma-latam-crm.veevavault.com/#object/account__v/V4TZ00001913TR9", "Taylor da Costa Jasmim Junior")</f>
        <v/>
      </c>
      <c r="C1571" t="inlineStr">
        <is>
          <t>RJ0712833</t>
        </is>
      </c>
      <c r="D1571" t="inlineStr">
        <is>
          <t>CLG / END</t>
        </is>
      </c>
      <c r="E1571" t="inlineStr">
        <is>
          <t>Rua Leonor Fonseca da Costa, S/N</t>
        </is>
      </c>
      <c r="F1571" t="inlineStr">
        <is>
          <t>Porto do Carro</t>
        </is>
      </c>
      <c r="G1571" t="inlineStr">
        <is>
          <t>Cabo Frio</t>
        </is>
      </c>
      <c r="H1571" t="inlineStr">
        <is>
          <t>RJ</t>
        </is>
      </c>
      <c r="I1571" t="n">
        <v>7741</v>
      </c>
      <c r="J1571" t="inlineStr">
        <is>
          <t>CAT 4</t>
        </is>
      </c>
      <c r="K1571" t="inlineStr">
        <is>
          <t>Sim</t>
        </is>
      </c>
    </row>
    <row r="1572">
      <c r="A1572" s="1">
        <f>HYPERLINK("https://eurofarma-latam-crm.veevavault.com/#object/account__v/V4TZ00001915RQ6", "Telmo Jeronymo de Mesquita")</f>
        <v/>
      </c>
      <c r="B1572" s="1">
        <f>HYPERLINK("https://eurofarma-latam-crm.veevavault.com/#object/account__v/V4TZ00001915RQ6", "Telmo Jeronymo Sampaio de Mesquita")</f>
        <v/>
      </c>
      <c r="C1572" t="inlineStr">
        <is>
          <t>RJ1213300</t>
        </is>
      </c>
      <c r="D1572" t="inlineStr">
        <is>
          <t>CLG / SNC</t>
        </is>
      </c>
      <c r="E1572" t="inlineStr">
        <is>
          <t>Rua Mariz e Barros, 775</t>
        </is>
      </c>
      <c r="F1572" t="inlineStr">
        <is>
          <t>Maracanã</t>
        </is>
      </c>
      <c r="G1572" t="inlineStr">
        <is>
          <t>Rio de Janeiro</t>
        </is>
      </c>
      <c r="H1572" t="inlineStr">
        <is>
          <t>RJ</t>
        </is>
      </c>
      <c r="I1572" t="n">
        <v>7741</v>
      </c>
      <c r="J1572" t="inlineStr">
        <is>
          <t>CAT 3</t>
        </is>
      </c>
      <c r="K1572" t="inlineStr">
        <is>
          <t>Sim</t>
        </is>
      </c>
    </row>
    <row r="1573">
      <c r="A1573" s="1">
        <f>HYPERLINK("https://eurofarma-latam-crm.veevavault.com/#object/account__v/V4TZ00001914S2U", "Teresinha Amorim")</f>
        <v/>
      </c>
      <c r="B1573" s="1">
        <f>HYPERLINK("https://eurofarma-latam-crm.veevavault.com/#object/account__v/V4TZ00001914S2U", "Teresinha Moutinho de Amorim")</f>
        <v/>
      </c>
      <c r="C1573" t="inlineStr">
        <is>
          <t>RJ0535018</t>
        </is>
      </c>
      <c r="D1573" t="inlineStr">
        <is>
          <t>PED</t>
        </is>
      </c>
      <c r="E1573" t="inlineStr">
        <is>
          <t>Rua João Guimarães, 56</t>
        </is>
      </c>
      <c r="F1573" t="inlineStr">
        <is>
          <t>Estação</t>
        </is>
      </c>
      <c r="G1573" t="inlineStr">
        <is>
          <t>São Pedro da Aldeia</t>
        </is>
      </c>
      <c r="H1573" t="inlineStr">
        <is>
          <t>RJ</t>
        </is>
      </c>
      <c r="I1573" t="n">
        <v>7741</v>
      </c>
      <c r="J1573" t="inlineStr">
        <is>
          <t>CAT 5</t>
        </is>
      </c>
      <c r="K1573" t="inlineStr">
        <is>
          <t>Sim</t>
        </is>
      </c>
    </row>
    <row r="1574">
      <c r="A1574" s="1">
        <f>HYPERLINK("https://eurofarma-latam-crm.veevavault.com/#object/account__v/V4TZ000018NY444", "Tereza Raquel Serpa")</f>
        <v/>
      </c>
      <c r="B1574" s="1">
        <f>HYPERLINK("https://eurofarma-latam-crm.veevavault.com/#object/account__v/V4TZ000018NY444", "Tereza Raquel Acruche Braga Serpa")</f>
        <v/>
      </c>
      <c r="C1574" t="inlineStr">
        <is>
          <t>RJ0914991</t>
        </is>
      </c>
      <c r="D1574" t="inlineStr">
        <is>
          <t>PED</t>
        </is>
      </c>
      <c r="E1574" t="inlineStr">
        <is>
          <t>Avenida dos Bandeirantes, 725 - 781</t>
        </is>
      </c>
      <c r="F1574" t="inlineStr">
        <is>
          <t>Lagomar</t>
        </is>
      </c>
      <c r="G1574" t="inlineStr">
        <is>
          <t>Macaé</t>
        </is>
      </c>
      <c r="H1574" t="inlineStr">
        <is>
          <t>RJ</t>
        </is>
      </c>
      <c r="I1574" t="n">
        <v>7741</v>
      </c>
      <c r="J1574" t="inlineStr">
        <is>
          <t>CAT 5</t>
        </is>
      </c>
      <c r="K1574" t="inlineStr">
        <is>
          <t>Sim</t>
        </is>
      </c>
    </row>
    <row r="1575">
      <c r="A1575" s="1">
        <f>HYPERLINK("https://eurofarma-latam-crm.veevavault.com/#object/account__v/V4TZ000018NZ58H", "Tessy Mattedi")</f>
        <v/>
      </c>
      <c r="B1575" s="1">
        <f>HYPERLINK("https://eurofarma-latam-crm.veevavault.com/#object/account__v/V4TZ000018NZ58H", "Tessy Pinho Mattedi")</f>
        <v/>
      </c>
      <c r="C1575" t="inlineStr">
        <is>
          <t>RJ1186884</t>
        </is>
      </c>
      <c r="D1575" t="inlineStr">
        <is>
          <t>CLG / PA</t>
        </is>
      </c>
      <c r="E1575" t="inlineStr">
        <is>
          <t>Rua Major Félix Moreira, 267</t>
        </is>
      </c>
      <c r="F1575" t="inlineStr">
        <is>
          <t>Centro</t>
        </is>
      </c>
      <c r="G1575" t="inlineStr">
        <is>
          <t>Araruama</t>
        </is>
      </c>
      <c r="H1575" t="inlineStr">
        <is>
          <t>RJ</t>
        </is>
      </c>
      <c r="I1575" t="n">
        <v>7741</v>
      </c>
      <c r="J1575" t="inlineStr">
        <is>
          <t>CAT 5</t>
        </is>
      </c>
      <c r="K1575" t="inlineStr">
        <is>
          <t>N�o</t>
        </is>
      </c>
    </row>
    <row r="1576">
      <c r="A1576" s="1">
        <f>HYPERLINK("https://eurofarma-latam-crm.veevavault.com/#object/account__v/V4TZ0000191572M", "Thaiana Drumond")</f>
        <v/>
      </c>
      <c r="B1576" s="1">
        <f>HYPERLINK("https://eurofarma-latam-crm.veevavault.com/#object/account__v/V4TZ0000191572M", "Thaiana Raad Drumond")</f>
        <v/>
      </c>
      <c r="C1576" t="inlineStr">
        <is>
          <t>RJ1263862</t>
        </is>
      </c>
      <c r="D1576" t="inlineStr">
        <is>
          <t>CLG</t>
        </is>
      </c>
      <c r="E1576" t="inlineStr">
        <is>
          <t>Rua Barão do Rio Branco, 72</t>
        </is>
      </c>
      <c r="F1576" t="inlineStr">
        <is>
          <t>Passagem</t>
        </is>
      </c>
      <c r="G1576" t="inlineStr">
        <is>
          <t>Cabo Frio</t>
        </is>
      </c>
      <c r="H1576" t="inlineStr">
        <is>
          <t>RJ</t>
        </is>
      </c>
      <c r="I1576" t="n">
        <v>7741</v>
      </c>
      <c r="J1576" t="inlineStr">
        <is>
          <t>CAT 4</t>
        </is>
      </c>
      <c r="K1576" t="inlineStr">
        <is>
          <t>Sim</t>
        </is>
      </c>
    </row>
    <row r="1577">
      <c r="A1577" s="1">
        <f>HYPERLINK("https://eurofarma-latam-crm.veevavault.com/#object/account__v/V4TZ00001914TGG", "Thaissa Marques")</f>
        <v/>
      </c>
      <c r="B1577" s="1">
        <f>HYPERLINK("https://eurofarma-latam-crm.veevavault.com/#object/account__v/V4TZ00001914TGG", "Thaissa Oliveira Zoner Marques")</f>
        <v/>
      </c>
      <c r="C1577" t="inlineStr">
        <is>
          <t>RJ1048562</t>
        </is>
      </c>
      <c r="D1577" t="inlineStr">
        <is>
          <t>PED</t>
        </is>
      </c>
      <c r="E1577" t="inlineStr">
        <is>
          <t>Rua Adelir Novelino Marques, 8</t>
        </is>
      </c>
      <c r="F1577" t="inlineStr">
        <is>
          <t>São Bento</t>
        </is>
      </c>
      <c r="G1577" t="inlineStr">
        <is>
          <t>Cabo Frio</t>
        </is>
      </c>
      <c r="H1577" t="inlineStr">
        <is>
          <t>RJ</t>
        </is>
      </c>
      <c r="I1577" t="n">
        <v>7741</v>
      </c>
      <c r="J1577" t="inlineStr">
        <is>
          <t>CAT 4</t>
        </is>
      </c>
      <c r="K1577" t="inlineStr">
        <is>
          <t>N�o</t>
        </is>
      </c>
    </row>
    <row r="1578">
      <c r="A1578" s="1">
        <f>HYPERLINK("https://eurofarma-latam-crm.veevavault.com/#object/account__v/V4TZ025E89CPJYV", "Thayná Cruz")</f>
        <v/>
      </c>
      <c r="B1578" s="1">
        <f>HYPERLINK("https://eurofarma-latam-crm.veevavault.com/#object/account__v/V4TZ025E89CPJYV", "Thayná de Queiroz da Cruz")</f>
        <v/>
      </c>
      <c r="C1578" t="inlineStr">
        <is>
          <t>RJ1328042</t>
        </is>
      </c>
      <c r="D1578" t="inlineStr">
        <is>
          <t>CLG / PA</t>
        </is>
      </c>
      <c r="E1578" t="inlineStr">
        <is>
          <t>Rua Profeta Elias, S/N</t>
        </is>
      </c>
      <c r="F1578" t="inlineStr">
        <is>
          <t>Centro</t>
        </is>
      </c>
      <c r="G1578" t="inlineStr">
        <is>
          <t>Iguaba Grande</t>
        </is>
      </c>
      <c r="H1578" t="inlineStr">
        <is>
          <t>RJ</t>
        </is>
      </c>
      <c r="I1578" t="n">
        <v>7741</v>
      </c>
      <c r="J1578" t="inlineStr">
        <is>
          <t>CAT 5</t>
        </is>
      </c>
      <c r="K1578" t="inlineStr">
        <is>
          <t>N�o</t>
        </is>
      </c>
    </row>
    <row r="1579">
      <c r="A1579" s="1">
        <f>HYPERLINK("https://eurofarma-latam-crm.veevavault.com/#object/account__v/V4TZ025E89PDG0C", "Thiago Braecher")</f>
        <v/>
      </c>
      <c r="B1579" s="1">
        <f>HYPERLINK("https://eurofarma-latam-crm.veevavault.com/#object/account__v/V4TZ025E89PDG0C", "Thiago Braecher")</f>
        <v/>
      </c>
      <c r="C1579" t="inlineStr">
        <is>
          <t>RJ0921416</t>
        </is>
      </c>
      <c r="D1579" t="inlineStr">
        <is>
          <t>CLG / PA</t>
        </is>
      </c>
      <c r="E1579" t="inlineStr">
        <is>
          <t>Avenida Getulio Vargas, S/N</t>
        </is>
      </c>
      <c r="F1579" t="inlineStr">
        <is>
          <t>Canaã</t>
        </is>
      </c>
      <c r="G1579" t="inlineStr">
        <is>
          <t>Arraial do Cabo</t>
        </is>
      </c>
      <c r="H1579" t="inlineStr">
        <is>
          <t>RJ</t>
        </is>
      </c>
      <c r="I1579" t="n">
        <v>7741</v>
      </c>
      <c r="J1579" t="inlineStr">
        <is>
          <t>CAT 5</t>
        </is>
      </c>
      <c r="K1579" t="inlineStr">
        <is>
          <t>N�o</t>
        </is>
      </c>
    </row>
    <row r="1580">
      <c r="A1580" s="1">
        <f>HYPERLINK("https://eurofarma-latam-crm.veevavault.com/#object/account__v/V4TZ00001914TEG", "Thiago Teixeira")</f>
        <v/>
      </c>
      <c r="B1580" s="1">
        <f>HYPERLINK("https://eurofarma-latam-crm.veevavault.com/#object/account__v/V4TZ00001914TEG", "Thiago Carlos Azeredo de Souza Teixeira")</f>
        <v/>
      </c>
      <c r="C1580" t="inlineStr">
        <is>
          <t>RJ1037480</t>
        </is>
      </c>
      <c r="D1580" t="inlineStr">
        <is>
          <t>PED</t>
        </is>
      </c>
      <c r="E1580" t="inlineStr">
        <is>
          <t>Rua Barão do Rio Branco, 55</t>
        </is>
      </c>
      <c r="F1580" t="inlineStr">
        <is>
          <t>Passagem</t>
        </is>
      </c>
      <c r="G1580" t="inlineStr">
        <is>
          <t>Cabo Frio</t>
        </is>
      </c>
      <c r="H1580" t="inlineStr">
        <is>
          <t>RJ</t>
        </is>
      </c>
      <c r="I1580" t="n">
        <v>7741</v>
      </c>
      <c r="J1580" t="inlineStr">
        <is>
          <t>CAT 4</t>
        </is>
      </c>
      <c r="K1580" t="inlineStr">
        <is>
          <t>Sim</t>
        </is>
      </c>
    </row>
    <row r="1581">
      <c r="A1581" s="1">
        <f>HYPERLINK("https://eurofarma-latam-crm.veevavault.com/#object/account__v/V4TZ00001913NDM", "Tiago Reis")</f>
        <v/>
      </c>
      <c r="B1581" s="1">
        <f>HYPERLINK("https://eurofarma-latam-crm.veevavault.com/#object/account__v/V4TZ00001913NDM", "Tiago Mesquita Zambon Reis")</f>
        <v/>
      </c>
      <c r="C1581" t="inlineStr">
        <is>
          <t>RJ0986429</t>
        </is>
      </c>
      <c r="D1581" t="inlineStr">
        <is>
          <t>CLG / PA</t>
        </is>
      </c>
      <c r="E1581" t="inlineStr">
        <is>
          <t>Rua Guanabara, S/N</t>
        </is>
      </c>
      <c r="F1581" t="inlineStr">
        <is>
          <t>Bosque da Praia</t>
        </is>
      </c>
      <c r="G1581" t="inlineStr">
        <is>
          <t>Rio das Ostras</t>
        </is>
      </c>
      <c r="H1581" t="inlineStr">
        <is>
          <t>RJ</t>
        </is>
      </c>
      <c r="I1581" t="n">
        <v>7741</v>
      </c>
      <c r="J1581" t="inlineStr">
        <is>
          <t>CAT 4</t>
        </is>
      </c>
      <c r="K1581" t="inlineStr">
        <is>
          <t>Sim</t>
        </is>
      </c>
    </row>
    <row r="1582">
      <c r="A1582" s="1">
        <f>HYPERLINK("https://eurofarma-latam-crm.veevavault.com/#object/account__v/V4TZ00001914IGJ", "Vanessa Oliveira")</f>
        <v/>
      </c>
      <c r="B1582" s="1">
        <f>HYPERLINK("https://eurofarma-latam-crm.veevavault.com/#object/account__v/V4TZ00001914IGJ", "Vanessa de Araujo Oliveira")</f>
        <v/>
      </c>
      <c r="C1582" t="inlineStr">
        <is>
          <t>RJ0981915</t>
        </is>
      </c>
      <c r="D1582" t="inlineStr">
        <is>
          <t>PED</t>
        </is>
      </c>
      <c r="E1582" t="inlineStr">
        <is>
          <t>Estrada de Búzios, S/N</t>
        </is>
      </c>
      <c r="F1582" t="inlineStr">
        <is>
          <t>Maria Joaquina (Tamoios)</t>
        </is>
      </c>
      <c r="G1582" t="inlineStr">
        <is>
          <t>Cabo Frio</t>
        </is>
      </c>
      <c r="H1582" t="inlineStr">
        <is>
          <t>RJ</t>
        </is>
      </c>
      <c r="I1582" t="n">
        <v>7741</v>
      </c>
      <c r="J1582" t="inlineStr">
        <is>
          <t>CAT 3</t>
        </is>
      </c>
      <c r="K1582" t="inlineStr">
        <is>
          <t>Sim</t>
        </is>
      </c>
    </row>
    <row r="1583">
      <c r="A1583" s="1">
        <f>HYPERLINK("https://eurofarma-latam-crm.veevavault.com/#object/account__v/V4TZ00001915GTA", "Vera de Azevedo")</f>
        <v/>
      </c>
      <c r="B1583" s="1">
        <f>HYPERLINK("https://eurofarma-latam-crm.veevavault.com/#object/account__v/V4TZ00001915GTA", "Vera Carrico de Azevedo")</f>
        <v/>
      </c>
      <c r="C1583" t="inlineStr">
        <is>
          <t>RJ0488400</t>
        </is>
      </c>
      <c r="D1583" t="inlineStr">
        <is>
          <t>CLG</t>
        </is>
      </c>
      <c r="E1583" t="inlineStr">
        <is>
          <t>Avenida Francisco Mendes 117</t>
        </is>
      </c>
      <c r="F1583" t="inlineStr">
        <is>
          <t>Centro</t>
        </is>
      </c>
      <c r="G1583" t="inlineStr">
        <is>
          <t>Cabo Frio</t>
        </is>
      </c>
      <c r="H1583" t="inlineStr">
        <is>
          <t>RJ</t>
        </is>
      </c>
      <c r="I1583" t="n">
        <v>7741</v>
      </c>
      <c r="J1583" t="inlineStr">
        <is>
          <t>CAT 2</t>
        </is>
      </c>
      <c r="K1583" t="inlineStr">
        <is>
          <t>Sim</t>
        </is>
      </c>
    </row>
    <row r="1584">
      <c r="A1584" s="1">
        <f>HYPERLINK("https://eurofarma-latam-crm.veevavault.com/#object/account__v/V4TZ00001915ORS", "Vera Lúcia Viana")</f>
        <v/>
      </c>
      <c r="B1584" s="1">
        <f>HYPERLINK("https://eurofarma-latam-crm.veevavault.com/#object/account__v/V4TZ00001915ORS", "Vera Lúcia de Araújo Viana")</f>
        <v/>
      </c>
      <c r="C1584" t="inlineStr">
        <is>
          <t>RJ0464901</t>
        </is>
      </c>
      <c r="D1584" t="inlineStr">
        <is>
          <t>PED</t>
        </is>
      </c>
      <c r="E1584" t="inlineStr">
        <is>
          <t>Rodovia Amaral Peixoto, S/N - KM 107</t>
        </is>
      </c>
      <c r="F1584" t="inlineStr">
        <is>
          <t>Balneário São Pedro</t>
        </is>
      </c>
      <c r="G1584" t="inlineStr">
        <is>
          <t>São Pedro da Aldeia</t>
        </is>
      </c>
      <c r="H1584" t="inlineStr">
        <is>
          <t>RJ</t>
        </is>
      </c>
      <c r="I1584" t="n">
        <v>7741</v>
      </c>
      <c r="J1584" t="inlineStr">
        <is>
          <t>CAT 5</t>
        </is>
      </c>
      <c r="K1584" t="inlineStr">
        <is>
          <t>Sim</t>
        </is>
      </c>
    </row>
    <row r="1585">
      <c r="A1585" s="1">
        <f>HYPERLINK("https://eurofarma-latam-crm.veevavault.com/#object/account__v/V4TZ000019140RK", "Victor Bertani")</f>
        <v/>
      </c>
      <c r="B1585" s="1">
        <f>HYPERLINK("https://eurofarma-latam-crm.veevavault.com/#object/account__v/V4TZ000019140RK", "Victor Gonçalves Bertani")</f>
        <v/>
      </c>
      <c r="C1585" t="inlineStr">
        <is>
          <t>RJ1152254</t>
        </is>
      </c>
      <c r="D1585" t="inlineStr">
        <is>
          <t>END</t>
        </is>
      </c>
      <c r="E1585" t="inlineStr">
        <is>
          <t>Avenida Getulio Vargas, S/N</t>
        </is>
      </c>
      <c r="F1585" t="inlineStr">
        <is>
          <t>Canaã</t>
        </is>
      </c>
      <c r="G1585" t="inlineStr">
        <is>
          <t>Arraial do Cabo</t>
        </is>
      </c>
      <c r="H1585" t="inlineStr">
        <is>
          <t>RJ</t>
        </is>
      </c>
      <c r="I1585" t="n">
        <v>7741</v>
      </c>
      <c r="J1585" t="inlineStr">
        <is>
          <t>CAT 2</t>
        </is>
      </c>
      <c r="K1585" t="inlineStr">
        <is>
          <t>Sim</t>
        </is>
      </c>
    </row>
    <row r="1586">
      <c r="A1586" s="1">
        <f>HYPERLINK("https://eurofarma-latam-crm.veevavault.com/#object/account__v/V4TZ00001913YU5", "Vinicius Santos")</f>
        <v/>
      </c>
      <c r="B1586" s="1">
        <f>HYPERLINK("https://eurofarma-latam-crm.veevavault.com/#object/account__v/V4TZ00001913YU5", "Vinicius Silva Santos")</f>
        <v/>
      </c>
      <c r="C1586" t="inlineStr">
        <is>
          <t>RJ0714224</t>
        </is>
      </c>
      <c r="D1586" t="inlineStr">
        <is>
          <t>ORT</t>
        </is>
      </c>
      <c r="E1586" t="inlineStr">
        <is>
          <t>Rua Manoel José de Carvalho, 97</t>
        </is>
      </c>
      <c r="F1586" t="inlineStr">
        <is>
          <t>São Cristóvão</t>
        </is>
      </c>
      <c r="G1586" t="inlineStr">
        <is>
          <t>Cabo Frio</t>
        </is>
      </c>
      <c r="H1586" t="inlineStr">
        <is>
          <t>RJ</t>
        </is>
      </c>
      <c r="I1586" t="n">
        <v>7741</v>
      </c>
      <c r="J1586" t="inlineStr">
        <is>
          <t>CAT 5</t>
        </is>
      </c>
      <c r="K1586" t="inlineStr">
        <is>
          <t>N�o</t>
        </is>
      </c>
    </row>
    <row r="1587">
      <c r="A1587" s="1">
        <f>HYPERLINK("https://eurofarma-latam-crm.veevavault.com/#object/account__v/V4TZ00001914283", "Vitor Barros")</f>
        <v/>
      </c>
      <c r="B1587" s="1">
        <f>HYPERLINK("https://eurofarma-latam-crm.veevavault.com/#object/account__v/V4TZ00001914283", "Vitor Ferrari Waltort de Barros")</f>
        <v/>
      </c>
      <c r="C1587" t="inlineStr">
        <is>
          <t>RJ1177958</t>
        </is>
      </c>
      <c r="D1587" t="inlineStr">
        <is>
          <t>CLG / PA</t>
        </is>
      </c>
      <c r="E1587" t="inlineStr">
        <is>
          <t>Rua Manoel Duarte, S/N</t>
        </is>
      </c>
      <c r="F1587" t="inlineStr">
        <is>
          <t>Centro</t>
        </is>
      </c>
      <c r="G1587" t="inlineStr">
        <is>
          <t>Arraial do Cabo</t>
        </is>
      </c>
      <c r="H1587" t="inlineStr">
        <is>
          <t>RJ</t>
        </is>
      </c>
      <c r="I1587" t="n">
        <v>7741</v>
      </c>
      <c r="J1587" t="inlineStr">
        <is>
          <t>CAT 4</t>
        </is>
      </c>
      <c r="K1587" t="inlineStr">
        <is>
          <t>Sim</t>
        </is>
      </c>
    </row>
    <row r="1588">
      <c r="A1588" s="1">
        <f>HYPERLINK("https://eurofarma-latam-crm.veevavault.com/#object/account__v/V4TZ00001913JW9", "Vitor Haddad")</f>
        <v/>
      </c>
      <c r="B1588" s="1">
        <f>HYPERLINK("https://eurofarma-latam-crm.veevavault.com/#object/account__v/V4TZ00001913JW9", "Vitor de Avila Haddad")</f>
        <v/>
      </c>
      <c r="C1588" t="inlineStr">
        <is>
          <t>RJ1174967</t>
        </is>
      </c>
      <c r="D1588" t="inlineStr">
        <is>
          <t>CLG / PA</t>
        </is>
      </c>
      <c r="E1588" t="inlineStr">
        <is>
          <t>Rua Coronel Madureira, 26 - Casa</t>
        </is>
      </c>
      <c r="F1588" t="inlineStr">
        <is>
          <t>Centro</t>
        </is>
      </c>
      <c r="G1588" t="inlineStr">
        <is>
          <t>Saquarema</t>
        </is>
      </c>
      <c r="H1588" t="inlineStr">
        <is>
          <t>RJ</t>
        </is>
      </c>
      <c r="I1588" t="n">
        <v>7741</v>
      </c>
      <c r="J1588" t="inlineStr">
        <is>
          <t>CAT 4</t>
        </is>
      </c>
      <c r="K1588" t="inlineStr">
        <is>
          <t>N�o</t>
        </is>
      </c>
    </row>
    <row r="1589">
      <c r="A1589" s="1">
        <f>HYPERLINK("https://eurofarma-latam-crm.veevavault.com/#object/account__v/V4TZ025E8F48XKF", "Vivian Jana Rodrigues")</f>
        <v/>
      </c>
      <c r="B1589" s="1">
        <f>HYPERLINK("https://eurofarma-latam-crm.veevavault.com/#object/account__v/V4TZ025E8F48XKF", "Vivian Jana Rodrigues")</f>
        <v/>
      </c>
      <c r="C1589" t="inlineStr">
        <is>
          <t>RJ1379655</t>
        </is>
      </c>
      <c r="D1589" t="inlineStr">
        <is>
          <t>CLG / PA</t>
        </is>
      </c>
      <c r="E1589" t="inlineStr">
        <is>
          <t>Rua Prefeito Waldir da Silva Lobo, 01</t>
        </is>
      </c>
      <c r="F1589" t="inlineStr">
        <is>
          <t>Morro do Milagre</t>
        </is>
      </c>
      <c r="G1589" t="inlineStr">
        <is>
          <t>São Pedro da Aldeia</t>
        </is>
      </c>
      <c r="H1589" t="inlineStr">
        <is>
          <t>RJ</t>
        </is>
      </c>
      <c r="I1589" t="n">
        <v>7741</v>
      </c>
      <c r="J1589" t="inlineStr">
        <is>
          <t>CAT 5</t>
        </is>
      </c>
      <c r="K1589" t="inlineStr">
        <is>
          <t>Sim</t>
        </is>
      </c>
    </row>
    <row r="1590">
      <c r="A1590" s="1">
        <f>HYPERLINK("https://eurofarma-latam-crm.veevavault.com/#object/account__v/V4TZ00001914Q6F", "Wellington Resende")</f>
        <v/>
      </c>
      <c r="B1590" s="1">
        <f>HYPERLINK("https://eurofarma-latam-crm.veevavault.com/#object/account__v/V4TZ00001914Q6F", "Wellington Calafiori Resende")</f>
        <v/>
      </c>
      <c r="C1590" t="inlineStr">
        <is>
          <t>GO0005379,MG0013091,RJ1306979</t>
        </is>
      </c>
      <c r="D1590" t="inlineStr">
        <is>
          <t>PSQ</t>
        </is>
      </c>
      <c r="E1590" t="inlineStr">
        <is>
          <t>Rua F, 17 - Quadra 16</t>
        </is>
      </c>
      <c r="F1590" t="inlineStr">
        <is>
          <t>Jardim Esperança</t>
        </is>
      </c>
      <c r="G1590" t="inlineStr">
        <is>
          <t>Cabo Frio</t>
        </is>
      </c>
      <c r="H1590" t="inlineStr">
        <is>
          <t>RJ</t>
        </is>
      </c>
      <c r="I1590" t="n">
        <v>7741</v>
      </c>
      <c r="J1590" t="inlineStr">
        <is>
          <t>CAT 2</t>
        </is>
      </c>
      <c r="K1590" t="inlineStr">
        <is>
          <t>Sim</t>
        </is>
      </c>
    </row>
    <row r="1591">
      <c r="A1591" s="1">
        <f>HYPERLINK("https://eurofarma-latam-crm.veevavault.com/#object/account__v/V4TZ000019150GL", "Wellington Rodrigues")</f>
        <v/>
      </c>
      <c r="B1591" s="1">
        <f>HYPERLINK("https://eurofarma-latam-crm.veevavault.com/#object/account__v/V4TZ000019150GL", "Wellington Célio Rodrigues")</f>
        <v/>
      </c>
      <c r="C1591" t="inlineStr">
        <is>
          <t>RJ1250787</t>
        </is>
      </c>
      <c r="D1591" t="inlineStr">
        <is>
          <t>CLG / PA</t>
        </is>
      </c>
      <c r="E1591" t="inlineStr">
        <is>
          <t>Rua Major Félix Moreira, 267</t>
        </is>
      </c>
      <c r="F1591" t="inlineStr">
        <is>
          <t>Centro</t>
        </is>
      </c>
      <c r="G1591" t="inlineStr">
        <is>
          <t>Araruama</t>
        </is>
      </c>
      <c r="H1591" t="inlineStr">
        <is>
          <t>RJ</t>
        </is>
      </c>
      <c r="I1591" t="n">
        <v>7741</v>
      </c>
      <c r="J1591" t="inlineStr">
        <is>
          <t>CAT 4</t>
        </is>
      </c>
      <c r="K1591" t="inlineStr">
        <is>
          <t>Sim</t>
        </is>
      </c>
    </row>
    <row r="1592">
      <c r="A1592" s="1">
        <f>HYPERLINK("https://eurofarma-latam-crm.veevavault.com/#object/account__v/V4TZ000018NXUJW", "Wesley Ferreira")</f>
        <v/>
      </c>
      <c r="B1592" s="1">
        <f>HYPERLINK("https://eurofarma-latam-crm.veevavault.com/#object/account__v/V4TZ000018NXUJW", "Wesley Tomaz Ferreira")</f>
        <v/>
      </c>
      <c r="C1592" t="inlineStr">
        <is>
          <t>RJ0993611</t>
        </is>
      </c>
      <c r="D1592" t="inlineStr">
        <is>
          <t>PED</t>
        </is>
      </c>
      <c r="E1592" t="inlineStr">
        <is>
          <t>Avenida Teixeira e Souza, 799</t>
        </is>
      </c>
      <c r="F1592" t="inlineStr">
        <is>
          <t>Centro</t>
        </is>
      </c>
      <c r="G1592" t="inlineStr">
        <is>
          <t>Cabo Frio</t>
        </is>
      </c>
      <c r="H1592" t="inlineStr">
        <is>
          <t>RJ</t>
        </is>
      </c>
      <c r="I1592" t="n">
        <v>7741</v>
      </c>
      <c r="J1592" t="inlineStr">
        <is>
          <t>CAT 4</t>
        </is>
      </c>
      <c r="K1592" t="inlineStr">
        <is>
          <t>Sim</t>
        </is>
      </c>
    </row>
    <row r="1593">
      <c r="A1593" s="1">
        <f>HYPERLINK("https://eurofarma-latam-crm.veevavault.com/#object/account__v/V4TZ00001915WF5", "Yasmin Rodrigues")</f>
        <v/>
      </c>
      <c r="B1593" s="1">
        <f>HYPERLINK("https://eurofarma-latam-crm.veevavault.com/#object/account__v/V4TZ00001915WF5", "Yasmin de Souza Rodrigues")</f>
        <v/>
      </c>
      <c r="C1593" t="inlineStr">
        <is>
          <t>RJ1109235</t>
        </is>
      </c>
      <c r="D1593" t="inlineStr">
        <is>
          <t>CLG / PA</t>
        </is>
      </c>
      <c r="E1593" t="inlineStr">
        <is>
          <t>Rua Sete, 1</t>
        </is>
      </c>
      <c r="F1593" t="inlineStr">
        <is>
          <t>Jardim Esperança</t>
        </is>
      </c>
      <c r="G1593" t="inlineStr">
        <is>
          <t>Cabo Frio</t>
        </is>
      </c>
      <c r="H1593" t="inlineStr">
        <is>
          <t>RJ</t>
        </is>
      </c>
      <c r="I1593" t="n">
        <v>7741</v>
      </c>
      <c r="J1593" t="inlineStr">
        <is>
          <t>CAT 5</t>
        </is>
      </c>
      <c r="K1593" t="inlineStr">
        <is>
          <t>Sim</t>
        </is>
      </c>
    </row>
    <row r="1594">
      <c r="A1594" s="1">
        <f>HYPERLINK("https://eurofarma-latam-crm.veevavault.com/#object/account__v/V4TZ00001914155", "Yoshikazu Noguchi")</f>
        <v/>
      </c>
      <c r="B1594" s="1">
        <f>HYPERLINK("https://eurofarma-latam-crm.veevavault.com/#object/account__v/V4TZ00001914155", "Yoshikazu Noguchi")</f>
        <v/>
      </c>
      <c r="C1594" t="inlineStr">
        <is>
          <t>RJ0717584</t>
        </is>
      </c>
      <c r="D1594" t="inlineStr">
        <is>
          <t>ORT</t>
        </is>
      </c>
      <c r="E1594" t="inlineStr">
        <is>
          <t>Rua Barão do Rio Branco, 226</t>
        </is>
      </c>
      <c r="F1594" t="inlineStr">
        <is>
          <t>Passagem</t>
        </is>
      </c>
      <c r="G1594" t="inlineStr">
        <is>
          <t>Cabo Frio</t>
        </is>
      </c>
      <c r="H1594" t="inlineStr">
        <is>
          <t>RJ</t>
        </is>
      </c>
      <c r="I1594" t="n">
        <v>7741</v>
      </c>
      <c r="J1594" t="inlineStr">
        <is>
          <t>CAT 4</t>
        </is>
      </c>
      <c r="K1594" t="inlineStr">
        <is>
          <t>Sim</t>
        </is>
      </c>
    </row>
    <row r="1595">
      <c r="A1595" s="1">
        <f>HYPERLINK("https://eurofarma-latam-crm.veevavault.com/#object/account__v/V4TZ000018NY9C8", "Ytamar Pena")</f>
        <v/>
      </c>
      <c r="B1595" s="1">
        <f>HYPERLINK("https://eurofarma-latam-crm.veevavault.com/#object/account__v/V4TZ000018NY9C8", "Ytamar Araújo Soares Pena")</f>
        <v/>
      </c>
      <c r="C1595" t="inlineStr">
        <is>
          <t>RJ1147200</t>
        </is>
      </c>
      <c r="D1595" t="inlineStr">
        <is>
          <t>PSQ</t>
        </is>
      </c>
      <c r="E1595" t="inlineStr">
        <is>
          <t>Rua Epaminondas Pereira Nunes, 11 - Andar 2 Lote 14 Esquina Rua Manoel Aranha</t>
        </is>
      </c>
      <c r="F1595" t="inlineStr">
        <is>
          <t>Centro</t>
        </is>
      </c>
      <c r="G1595" t="inlineStr">
        <is>
          <t>São Pedro da Aldeia</t>
        </is>
      </c>
      <c r="H1595" t="inlineStr">
        <is>
          <t>RJ</t>
        </is>
      </c>
      <c r="I1595" t="n">
        <v>7741</v>
      </c>
      <c r="J1595" t="inlineStr">
        <is>
          <t>CAT 1</t>
        </is>
      </c>
      <c r="K1595" t="inlineStr">
        <is>
          <t>Sim</t>
        </is>
      </c>
    </row>
    <row r="1596">
      <c r="A1596" s="1">
        <f>HYPERLINK("https://eurofarma-latam-crm.veevavault.com/#object/account__v/V4TZ00001913IJR", "Adalberto Oliveira")</f>
        <v/>
      </c>
      <c r="B1596" s="1">
        <f>HYPERLINK("https://eurofarma-latam-crm.veevavault.com/#object/account__v/V4TZ00001913IJR", "Adalberto Oliveira")</f>
        <v/>
      </c>
      <c r="C1596" t="inlineStr">
        <is>
          <t>RJ0241931</t>
        </is>
      </c>
      <c r="D1596" t="inlineStr">
        <is>
          <t>CLG</t>
        </is>
      </c>
      <c r="E1596" t="inlineStr">
        <is>
          <t>Avenida Nilo Peçanha, 50 - Grp 1509</t>
        </is>
      </c>
      <c r="F1596" t="inlineStr">
        <is>
          <t>Centro</t>
        </is>
      </c>
      <c r="G1596" t="inlineStr">
        <is>
          <t>Rio de Janeiro</t>
        </is>
      </c>
      <c r="H1596" t="inlineStr">
        <is>
          <t>RJ</t>
        </is>
      </c>
      <c r="I1596" t="n">
        <v>7742</v>
      </c>
      <c r="J1596" t="inlineStr">
        <is>
          <t>CAT 5</t>
        </is>
      </c>
      <c r="K1596" t="inlineStr">
        <is>
          <t>Sim</t>
        </is>
      </c>
    </row>
    <row r="1597">
      <c r="A1597" s="1">
        <f>HYPERLINK("https://eurofarma-latam-crm.veevavault.com/#object/account__v/V4TZ000018NYRVQ", "Adilson Ribeiro")</f>
        <v/>
      </c>
      <c r="B1597" s="1">
        <f>HYPERLINK("https://eurofarma-latam-crm.veevavault.com/#object/account__v/V4TZ000018NYRVQ", "Adilson Marcelino Ribeiro")</f>
        <v/>
      </c>
      <c r="C1597" t="inlineStr">
        <is>
          <t>RJ0032498</t>
        </is>
      </c>
      <c r="D1597" t="inlineStr">
        <is>
          <t>CLG</t>
        </is>
      </c>
      <c r="E1597" t="inlineStr">
        <is>
          <t>Rua Salvatori, 40 - Sala 805</t>
        </is>
      </c>
      <c r="F1597" t="inlineStr">
        <is>
          <t>Centro</t>
        </is>
      </c>
      <c r="G1597" t="inlineStr">
        <is>
          <t>São Gonçalo</t>
        </is>
      </c>
      <c r="H1597" t="inlineStr">
        <is>
          <t>RJ</t>
        </is>
      </c>
      <c r="I1597" t="n">
        <v>7742</v>
      </c>
      <c r="J1597" t="inlineStr">
        <is>
          <t>CAT 4</t>
        </is>
      </c>
      <c r="K1597" t="inlineStr">
        <is>
          <t>Sim</t>
        </is>
      </c>
    </row>
    <row r="1598">
      <c r="A1598" s="1">
        <f>HYPERLINK("https://eurofarma-latam-crm.veevavault.com/#object/account__v/V4TZ000018NY4Q0", "Adriana de Lima")</f>
        <v/>
      </c>
      <c r="B1598" s="1">
        <f>HYPERLINK("https://eurofarma-latam-crm.veevavault.com/#object/account__v/V4TZ000018NY4Q0", "Adriana Monteiro de Lima")</f>
        <v/>
      </c>
      <c r="C1598" t="inlineStr">
        <is>
          <t>RJ1006134</t>
        </is>
      </c>
      <c r="D1598" t="inlineStr">
        <is>
          <t>PED</t>
        </is>
      </c>
      <c r="E1598" t="inlineStr">
        <is>
          <t>Rua Doutor Nilo Peçanha, 232</t>
        </is>
      </c>
      <c r="F1598" t="inlineStr">
        <is>
          <t>Centro</t>
        </is>
      </c>
      <c r="G1598" t="inlineStr">
        <is>
          <t>São Gonçalo</t>
        </is>
      </c>
      <c r="H1598" t="inlineStr">
        <is>
          <t>RJ</t>
        </is>
      </c>
      <c r="I1598" t="n">
        <v>7742</v>
      </c>
      <c r="J1598" t="inlineStr">
        <is>
          <t>CAT 4</t>
        </is>
      </c>
      <c r="K1598" t="inlineStr">
        <is>
          <t>Sim</t>
        </is>
      </c>
    </row>
    <row r="1599">
      <c r="A1599" s="1">
        <f>HYPERLINK("https://eurofarma-latam-crm.veevavault.com/#object/account__v/V4TZ000018NY4C9", "Adriano Almeida")</f>
        <v/>
      </c>
      <c r="B1599" s="1">
        <f>HYPERLINK("https://eurofarma-latam-crm.veevavault.com/#object/account__v/V4TZ000018NY4C9", "Adriano Vicente de Almeida")</f>
        <v/>
      </c>
      <c r="C1599" t="inlineStr">
        <is>
          <t>RJ0684082</t>
        </is>
      </c>
      <c r="D1599" t="inlineStr">
        <is>
          <t>ORT</t>
        </is>
      </c>
      <c r="E1599" t="inlineStr">
        <is>
          <t>Rua Doutor Nilo Peçanha, 151</t>
        </is>
      </c>
      <c r="F1599" t="inlineStr">
        <is>
          <t>Antonina</t>
        </is>
      </c>
      <c r="G1599" t="inlineStr">
        <is>
          <t>São Gonçalo</t>
        </is>
      </c>
      <c r="H1599" t="inlineStr">
        <is>
          <t>RJ</t>
        </is>
      </c>
      <c r="I1599" t="n">
        <v>7742</v>
      </c>
      <c r="J1599" t="inlineStr">
        <is>
          <t>CAT 4</t>
        </is>
      </c>
      <c r="K1599" t="inlineStr">
        <is>
          <t>N�o</t>
        </is>
      </c>
    </row>
    <row r="1600">
      <c r="A1600" s="1">
        <f>HYPERLINK("https://eurofarma-latam-crm.veevavault.com/#object/account__v/V4TZ000018NXKVF", "Adrieni Alchaar")</f>
        <v/>
      </c>
      <c r="B1600" s="1">
        <f>HYPERLINK("https://eurofarma-latam-crm.veevavault.com/#object/account__v/V4TZ000018NXKVF", "Adrieni Antunes do Amaral Alchaar")</f>
        <v/>
      </c>
      <c r="C1600" t="inlineStr">
        <is>
          <t>RJ0578045</t>
        </is>
      </c>
      <c r="D1600" t="inlineStr">
        <is>
          <t>ORT</t>
        </is>
      </c>
      <c r="E1600" t="inlineStr">
        <is>
          <t>Rua São Pedro, 186</t>
        </is>
      </c>
      <c r="F1600" t="inlineStr">
        <is>
          <t>Centro</t>
        </is>
      </c>
      <c r="G1600" t="inlineStr">
        <is>
          <t>Niterói</t>
        </is>
      </c>
      <c r="H1600" t="inlineStr">
        <is>
          <t>RJ</t>
        </is>
      </c>
      <c r="I1600" t="n">
        <v>7742</v>
      </c>
      <c r="J1600" t="inlineStr">
        <is>
          <t>CAT 4</t>
        </is>
      </c>
      <c r="K1600" t="inlineStr">
        <is>
          <t>Sim</t>
        </is>
      </c>
    </row>
    <row r="1601">
      <c r="A1601" s="1">
        <f>HYPERLINK("https://eurofarma-latam-crm.veevavault.com/#object/account__v/V4TZ00001914SGI", "Alba Silveira")</f>
        <v/>
      </c>
      <c r="B1601" s="1">
        <f>HYPERLINK("https://eurofarma-latam-crm.veevavault.com/#object/account__v/V4TZ00001914SGI", "Alba Cristina Martins da Silveira")</f>
        <v/>
      </c>
      <c r="C1601" t="inlineStr">
        <is>
          <t>RJ1207687</t>
        </is>
      </c>
      <c r="D1601" t="inlineStr">
        <is>
          <t>CLG / PA</t>
        </is>
      </c>
      <c r="E1601" t="inlineStr">
        <is>
          <t>Rua Manoel de Abreu, 9 - Parte</t>
        </is>
      </c>
      <c r="F1601" t="inlineStr">
        <is>
          <t>Centro</t>
        </is>
      </c>
      <c r="G1601" t="inlineStr">
        <is>
          <t>Niterói</t>
        </is>
      </c>
      <c r="H1601" t="inlineStr">
        <is>
          <t>RJ</t>
        </is>
      </c>
      <c r="I1601" t="n">
        <v>7742</v>
      </c>
      <c r="J1601" t="inlineStr">
        <is>
          <t>CAT 5</t>
        </is>
      </c>
      <c r="K1601" t="inlineStr">
        <is>
          <t>N�o</t>
        </is>
      </c>
    </row>
    <row r="1602">
      <c r="A1602" s="1">
        <f>HYPERLINK("https://eurofarma-latam-crm.veevavault.com/#object/account__v/V4TZ0000191601I", "Alcino Alchaar Neto")</f>
        <v/>
      </c>
      <c r="B1602" s="1">
        <f>HYPERLINK("https://eurofarma-latam-crm.veevavault.com/#object/account__v/V4TZ0000191601I", "Alcino Miguel Alchaar Neto")</f>
        <v/>
      </c>
      <c r="C1602" t="inlineStr">
        <is>
          <t>RJ0373785</t>
        </is>
      </c>
      <c r="D1602" t="inlineStr">
        <is>
          <t>ORT</t>
        </is>
      </c>
      <c r="E1602" t="inlineStr">
        <is>
          <t>Rua São Pedro, 186</t>
        </is>
      </c>
      <c r="F1602" t="inlineStr">
        <is>
          <t>Centro</t>
        </is>
      </c>
      <c r="G1602" t="inlineStr">
        <is>
          <t>Niterói</t>
        </is>
      </c>
      <c r="H1602" t="inlineStr">
        <is>
          <t>RJ</t>
        </is>
      </c>
      <c r="I1602" t="n">
        <v>7742</v>
      </c>
      <c r="J1602" t="inlineStr">
        <is>
          <t>CAT 3</t>
        </is>
      </c>
      <c r="K1602" t="inlineStr">
        <is>
          <t>Sim</t>
        </is>
      </c>
    </row>
    <row r="1603">
      <c r="A1603" s="1">
        <f>HYPERLINK("https://eurofarma-latam-crm.veevavault.com/#object/account__v/V4TZ025E8AK8YTL", "Alejandro Lage")</f>
        <v/>
      </c>
      <c r="B1603" s="1">
        <f>HYPERLINK("https://eurofarma-latam-crm.veevavault.com/#object/account__v/V4TZ025E8AK8YTL", "Alejandro Fontes Rezende de Lacerda Lage")</f>
        <v/>
      </c>
      <c r="C1603" t="inlineStr">
        <is>
          <t>RJ0928640</t>
        </is>
      </c>
      <c r="D1603" t="inlineStr">
        <is>
          <t>CLG</t>
        </is>
      </c>
      <c r="E1603" t="inlineStr">
        <is>
          <t>Rua Miguel de Frias, 77 - Salas 812 à 816</t>
        </is>
      </c>
      <c r="F1603" t="inlineStr">
        <is>
          <t>Icaraí</t>
        </is>
      </c>
      <c r="G1603" t="inlineStr">
        <is>
          <t>Niterói</t>
        </is>
      </c>
      <c r="H1603" t="inlineStr">
        <is>
          <t>RJ</t>
        </is>
      </c>
      <c r="I1603" t="n">
        <v>7742</v>
      </c>
      <c r="J1603" t="inlineStr">
        <is>
          <t>CAT 5</t>
        </is>
      </c>
      <c r="K1603" t="inlineStr">
        <is>
          <t>N�o</t>
        </is>
      </c>
    </row>
    <row r="1604">
      <c r="A1604" s="1">
        <f>HYPERLINK("https://eurofarma-latam-crm.veevavault.com/#object/account__v/V4TZ025E8ACURQ2", "Alexandre Bonela")</f>
        <v/>
      </c>
      <c r="B1604" s="1">
        <f>HYPERLINK("https://eurofarma-latam-crm.veevavault.com/#object/account__v/V4TZ025E8ACURQ2", "Alexandre Gabriel Bonela")</f>
        <v/>
      </c>
      <c r="C1604" t="inlineStr">
        <is>
          <t>ES0021072</t>
        </is>
      </c>
      <c r="D1604" t="inlineStr">
        <is>
          <t>CLG / PA</t>
        </is>
      </c>
      <c r="E1604" t="inlineStr">
        <is>
          <t>Praça Estefania de Carvalho, S/N</t>
        </is>
      </c>
      <c r="F1604" t="inlineStr">
        <is>
          <t>Zé Garoto</t>
        </is>
      </c>
      <c r="G1604" t="inlineStr">
        <is>
          <t>São Gonçalo</t>
        </is>
      </c>
      <c r="H1604" t="inlineStr">
        <is>
          <t>RJ</t>
        </is>
      </c>
      <c r="I1604" t="n">
        <v>7742</v>
      </c>
      <c r="J1604" t="inlineStr"/>
      <c r="K1604" t="inlineStr"/>
    </row>
    <row r="1605">
      <c r="A1605" s="1">
        <f>HYPERLINK("https://eurofarma-latam-crm.veevavault.com/#object/account__v/V4TZ000019144VP", "Allan Silva")</f>
        <v/>
      </c>
      <c r="B1605" s="1">
        <f>HYPERLINK("https://eurofarma-latam-crm.veevavault.com/#object/account__v/V4TZ000019144VP", "Allan Machado Silva")</f>
        <v/>
      </c>
      <c r="C1605" t="inlineStr">
        <is>
          <t>RJ0618470</t>
        </is>
      </c>
      <c r="D1605" t="inlineStr">
        <is>
          <t>GAS</t>
        </is>
      </c>
      <c r="E1605" t="inlineStr">
        <is>
          <t>Rua Luiz Coutinho Cavalcanti, S/N</t>
        </is>
      </c>
      <c r="F1605" t="inlineStr">
        <is>
          <t>Guadalupe</t>
        </is>
      </c>
      <c r="G1605" t="inlineStr">
        <is>
          <t>Rio de Janeiro</t>
        </is>
      </c>
      <c r="H1605" t="inlineStr">
        <is>
          <t>RJ</t>
        </is>
      </c>
      <c r="I1605" t="n">
        <v>7742</v>
      </c>
      <c r="J1605" t="inlineStr">
        <is>
          <t>CAT 3</t>
        </is>
      </c>
      <c r="K1605" t="inlineStr">
        <is>
          <t>Sim</t>
        </is>
      </c>
    </row>
    <row r="1606">
      <c r="A1606" s="1">
        <f>HYPERLINK("https://eurofarma-latam-crm.veevavault.com/#object/account__v/V4TZ000019136JF", "Aluizio Santos")</f>
        <v/>
      </c>
      <c r="B1606" s="1">
        <f>HYPERLINK("https://eurofarma-latam-crm.veevavault.com/#object/account__v/V4TZ000019136JF", "Aluizio Marques dos Santos")</f>
        <v/>
      </c>
      <c r="C1606" t="inlineStr">
        <is>
          <t>ES0023991,RJ0480780</t>
        </is>
      </c>
      <c r="D1606" t="inlineStr">
        <is>
          <t>ORT</t>
        </is>
      </c>
      <c r="E1606" t="inlineStr">
        <is>
          <t>Praça Estefania de Carvalho, 26</t>
        </is>
      </c>
      <c r="F1606" t="inlineStr">
        <is>
          <t>Zé Garoto</t>
        </is>
      </c>
      <c r="G1606" t="inlineStr">
        <is>
          <t>São Gonçalo</t>
        </is>
      </c>
      <c r="H1606" t="inlineStr">
        <is>
          <t>RJ</t>
        </is>
      </c>
      <c r="I1606" t="n">
        <v>7742</v>
      </c>
      <c r="J1606" t="inlineStr">
        <is>
          <t>CAT 5</t>
        </is>
      </c>
      <c r="K1606" t="inlineStr">
        <is>
          <t>N�o</t>
        </is>
      </c>
    </row>
    <row r="1607">
      <c r="A1607" s="1">
        <f>HYPERLINK("https://eurofarma-latam-crm.veevavault.com/#object/account__v/V4TZ025E8DPN6E0", "Amine Mendonça")</f>
        <v/>
      </c>
      <c r="B1607" s="1">
        <f>HYPERLINK("https://eurofarma-latam-crm.veevavault.com/#object/account__v/V4TZ025E8DPN6E0", "Amine Mello de Mendonça")</f>
        <v/>
      </c>
      <c r="C1607" t="inlineStr">
        <is>
          <t>RJ1153021</t>
        </is>
      </c>
      <c r="D1607" t="inlineStr">
        <is>
          <t>CLG / PA</t>
        </is>
      </c>
      <c r="E1607" t="inlineStr">
        <is>
          <t>Rua Vicente de Lima Cleto, 296</t>
        </is>
      </c>
      <c r="F1607" t="inlineStr">
        <is>
          <t>Nova Cidade</t>
        </is>
      </c>
      <c r="G1607" t="inlineStr">
        <is>
          <t>São Gonçalo</t>
        </is>
      </c>
      <c r="H1607" t="inlineStr">
        <is>
          <t>RJ</t>
        </is>
      </c>
      <c r="I1607" t="n">
        <v>7742</v>
      </c>
      <c r="J1607" t="inlineStr"/>
      <c r="K1607" t="inlineStr"/>
    </row>
    <row r="1608">
      <c r="A1608" s="1">
        <f>HYPERLINK("https://eurofarma-latam-crm.veevavault.com/#object/account__v/V4TZ000018NY4XG", "Ana Carolina Lima")</f>
        <v/>
      </c>
      <c r="B1608" s="1">
        <f>HYPERLINK("https://eurofarma-latam-crm.veevavault.com/#object/account__v/V4TZ000018NY4XG", "Ana Carolina Gomes Brito Lima")</f>
        <v/>
      </c>
      <c r="C1608" t="inlineStr">
        <is>
          <t>RJ0990582</t>
        </is>
      </c>
      <c r="D1608" t="inlineStr">
        <is>
          <t>GER</t>
        </is>
      </c>
      <c r="E1608" t="inlineStr">
        <is>
          <t>Avenida Irene Lopes Sodré, S/N</t>
        </is>
      </c>
      <c r="F1608" t="inlineStr">
        <is>
          <t>Engenho do Mato</t>
        </is>
      </c>
      <c r="G1608" t="inlineStr">
        <is>
          <t>Niterói</t>
        </is>
      </c>
      <c r="H1608" t="inlineStr">
        <is>
          <t>RJ</t>
        </is>
      </c>
      <c r="I1608" t="n">
        <v>7742</v>
      </c>
      <c r="J1608" t="inlineStr">
        <is>
          <t>CAT 5</t>
        </is>
      </c>
      <c r="K1608" t="inlineStr">
        <is>
          <t>Sim</t>
        </is>
      </c>
    </row>
    <row r="1609">
      <c r="A1609" s="1">
        <f>HYPERLINK("https://eurofarma-latam-crm.veevavault.com/#object/account__v/V4TZ00001913F51", "Ana Cristina Duarte")</f>
        <v/>
      </c>
      <c r="B1609" s="1">
        <f>HYPERLINK("https://eurofarma-latam-crm.veevavault.com/#object/account__v/V4TZ00001913F51", "Ana Cristina da Silva Almeida Duarte")</f>
        <v/>
      </c>
      <c r="C1609" t="inlineStr">
        <is>
          <t>RJ0493481</t>
        </is>
      </c>
      <c r="D1609" t="inlineStr">
        <is>
          <t>CLG</t>
        </is>
      </c>
      <c r="E1609" t="inlineStr">
        <is>
          <t>Rua Geraldo Martins, 70 - Sala 705</t>
        </is>
      </c>
      <c r="F1609" t="inlineStr">
        <is>
          <t>Icaraí</t>
        </is>
      </c>
      <c r="G1609" t="inlineStr">
        <is>
          <t>Niterói</t>
        </is>
      </c>
      <c r="H1609" t="inlineStr">
        <is>
          <t>RJ</t>
        </is>
      </c>
      <c r="I1609" t="n">
        <v>7742</v>
      </c>
      <c r="J1609" t="inlineStr">
        <is>
          <t>CAT 4</t>
        </is>
      </c>
      <c r="K1609" t="inlineStr">
        <is>
          <t>Sim</t>
        </is>
      </c>
    </row>
    <row r="1610">
      <c r="A1610" s="1">
        <f>HYPERLINK("https://eurofarma-latam-crm.veevavault.com/#object/account__v/V4TZ00001915B84", "Ana Lucia da Silva")</f>
        <v/>
      </c>
      <c r="B1610" s="1">
        <f>HYPERLINK("https://eurofarma-latam-crm.veevavault.com/#object/account__v/V4TZ00001915B84", "Ana Lucia Valente da Silva")</f>
        <v/>
      </c>
      <c r="C1610" t="inlineStr">
        <is>
          <t>RJ0356373</t>
        </is>
      </c>
      <c r="D1610" t="inlineStr">
        <is>
          <t>CLG / END</t>
        </is>
      </c>
      <c r="E1610" t="inlineStr">
        <is>
          <t>Avenida Ernani do Amaral Peixoto, 169</t>
        </is>
      </c>
      <c r="F1610" t="inlineStr">
        <is>
          <t>Centro</t>
        </is>
      </c>
      <c r="G1610" t="inlineStr">
        <is>
          <t>Niterói</t>
        </is>
      </c>
      <c r="H1610" t="inlineStr">
        <is>
          <t>RJ</t>
        </is>
      </c>
      <c r="I1610" t="n">
        <v>7742</v>
      </c>
      <c r="J1610" t="inlineStr">
        <is>
          <t>CAT 2</t>
        </is>
      </c>
      <c r="K1610" t="inlineStr">
        <is>
          <t>Sim</t>
        </is>
      </c>
    </row>
    <row r="1611">
      <c r="A1611" s="1">
        <f>HYPERLINK("https://eurofarma-latam-crm.veevavault.com/#object/account__v/V4TZ00001914E5S", "Andrea Ferreira")</f>
        <v/>
      </c>
      <c r="B1611" s="1">
        <f>HYPERLINK("https://eurofarma-latam-crm.veevavault.com/#object/account__v/V4TZ00001914E5S", "Andrea Faro de Oliveira Ferreira")</f>
        <v/>
      </c>
      <c r="C1611" t="inlineStr">
        <is>
          <t>RJ0607643</t>
        </is>
      </c>
      <c r="D1611" t="inlineStr">
        <is>
          <t>PED</t>
        </is>
      </c>
      <c r="E1611" t="inlineStr">
        <is>
          <t>Avenida Teixeira e Souza, 799</t>
        </is>
      </c>
      <c r="F1611" t="inlineStr">
        <is>
          <t>Centro</t>
        </is>
      </c>
      <c r="G1611" t="inlineStr">
        <is>
          <t>Cabo Frio</t>
        </is>
      </c>
      <c r="H1611" t="inlineStr">
        <is>
          <t>RJ</t>
        </is>
      </c>
      <c r="I1611" t="n">
        <v>7742</v>
      </c>
      <c r="J1611" t="inlineStr">
        <is>
          <t>CAT 4</t>
        </is>
      </c>
      <c r="K1611" t="inlineStr">
        <is>
          <t>Sim</t>
        </is>
      </c>
    </row>
    <row r="1612">
      <c r="A1612" s="1">
        <f>HYPERLINK("https://eurofarma-latam-crm.veevavault.com/#object/account__v/V4TZ000019154X0", "Andrea Freitas")</f>
        <v/>
      </c>
      <c r="B1612" s="1">
        <f>HYPERLINK("https://eurofarma-latam-crm.veevavault.com/#object/account__v/V4TZ000019154X0", "Andrea Rodriguez de Freitas")</f>
        <v/>
      </c>
      <c r="C1612" t="inlineStr">
        <is>
          <t>RJ0640280</t>
        </is>
      </c>
      <c r="D1612" t="inlineStr">
        <is>
          <t>NEU</t>
        </is>
      </c>
      <c r="E1612" t="inlineStr">
        <is>
          <t>Rua Doutor Nilo Peçanha, 151</t>
        </is>
      </c>
      <c r="F1612" t="inlineStr">
        <is>
          <t>Antonina</t>
        </is>
      </c>
      <c r="G1612" t="inlineStr">
        <is>
          <t>São Gonçalo</t>
        </is>
      </c>
      <c r="H1612" t="inlineStr">
        <is>
          <t>RJ</t>
        </is>
      </c>
      <c r="I1612" t="n">
        <v>7742</v>
      </c>
      <c r="J1612" t="inlineStr">
        <is>
          <t>CAT 3</t>
        </is>
      </c>
      <c r="K1612" t="inlineStr">
        <is>
          <t>Sim</t>
        </is>
      </c>
    </row>
    <row r="1613">
      <c r="A1613" s="1">
        <f>HYPERLINK("https://eurofarma-latam-crm.veevavault.com/#object/account__v/V4TZ000019137HZ", "Ângela Maria da Silva")</f>
        <v/>
      </c>
      <c r="B1613" s="1">
        <f>HYPERLINK("https://eurofarma-latam-crm.veevavault.com/#object/account__v/V4TZ000019137HZ", "Ângela Maria Alves da Silva")</f>
        <v/>
      </c>
      <c r="C1613" t="inlineStr">
        <is>
          <t>RJ0635642</t>
        </is>
      </c>
      <c r="D1613" t="inlineStr">
        <is>
          <t>CLG / PA</t>
        </is>
      </c>
      <c r="E1613" t="inlineStr">
        <is>
          <t>Rua Manoel de Abreu, 9 - Parte</t>
        </is>
      </c>
      <c r="F1613" t="inlineStr">
        <is>
          <t>Centro</t>
        </is>
      </c>
      <c r="G1613" t="inlineStr">
        <is>
          <t>Niterói</t>
        </is>
      </c>
      <c r="H1613" t="inlineStr">
        <is>
          <t>RJ</t>
        </is>
      </c>
      <c r="I1613" t="n">
        <v>7742</v>
      </c>
      <c r="J1613" t="inlineStr">
        <is>
          <t>CAT 4</t>
        </is>
      </c>
      <c r="K1613" t="inlineStr">
        <is>
          <t>N�o</t>
        </is>
      </c>
    </row>
    <row r="1614">
      <c r="A1614" s="1">
        <f>HYPERLINK("https://eurofarma-latam-crm.veevavault.com/#object/account__v/V4TZ00001914ETF", "Anita Cristina Silva")</f>
        <v/>
      </c>
      <c r="B1614" s="1">
        <f>HYPERLINK("https://eurofarma-latam-crm.veevavault.com/#object/account__v/V4TZ00001914ETF", "Anita Cristina dos Santos Silva")</f>
        <v/>
      </c>
      <c r="C1614" t="inlineStr">
        <is>
          <t>RJ0423003</t>
        </is>
      </c>
      <c r="D1614" t="inlineStr">
        <is>
          <t>PED</t>
        </is>
      </c>
      <c r="E1614" t="inlineStr">
        <is>
          <t>Rua Quinze de Novembro, 90 - Sala 1311</t>
        </is>
      </c>
      <c r="F1614" t="inlineStr">
        <is>
          <t>Centro</t>
        </is>
      </c>
      <c r="G1614" t="inlineStr">
        <is>
          <t>Niterói</t>
        </is>
      </c>
      <c r="H1614" t="inlineStr">
        <is>
          <t>RJ</t>
        </is>
      </c>
      <c r="I1614" t="n">
        <v>7742</v>
      </c>
      <c r="J1614" t="inlineStr">
        <is>
          <t>CAT 4</t>
        </is>
      </c>
      <c r="K1614" t="inlineStr">
        <is>
          <t>Sim</t>
        </is>
      </c>
    </row>
    <row r="1615">
      <c r="A1615" s="1">
        <f>HYPERLINK("https://eurofarma-latam-crm.veevavault.com/#object/account__v/V4TZ000018NY0EU", "Anna Custodio")</f>
        <v/>
      </c>
      <c r="B1615" s="1">
        <f>HYPERLINK("https://eurofarma-latam-crm.veevavault.com/#object/account__v/V4TZ000018NY0EU", "Anna Angelica Costa Custodio")</f>
        <v/>
      </c>
      <c r="C1615" t="inlineStr">
        <is>
          <t>RJ0632929</t>
        </is>
      </c>
      <c r="D1615" t="inlineStr">
        <is>
          <t>PED</t>
        </is>
      </c>
      <c r="E1615" t="inlineStr">
        <is>
          <t>Avenida Presidente Kennedy, 735 - Sala 1320 e1321</t>
        </is>
      </c>
      <c r="F1615" t="inlineStr">
        <is>
          <t>Estrela do Norte</t>
        </is>
      </c>
      <c r="G1615" t="inlineStr">
        <is>
          <t>São Gonçalo</t>
        </is>
      </c>
      <c r="H1615" t="inlineStr">
        <is>
          <t>RJ</t>
        </is>
      </c>
      <c r="I1615" t="n">
        <v>7742</v>
      </c>
      <c r="J1615" t="inlineStr">
        <is>
          <t>CAT 4</t>
        </is>
      </c>
      <c r="K1615" t="inlineStr">
        <is>
          <t>Sim</t>
        </is>
      </c>
    </row>
    <row r="1616">
      <c r="A1616" s="1">
        <f>HYPERLINK("https://eurofarma-latam-crm.veevavault.com/#object/account__v/V4TZ00001914TK9", "Anna Luiza Moraes")</f>
        <v/>
      </c>
      <c r="B1616" s="1">
        <f>HYPERLINK("https://eurofarma-latam-crm.veevavault.com/#object/account__v/V4TZ00001914TK9", "Anna Luiza Moraes")</f>
        <v/>
      </c>
      <c r="C1616" t="inlineStr">
        <is>
          <t>RJ1106252</t>
        </is>
      </c>
      <c r="D1616" t="inlineStr">
        <is>
          <t>CLG / PA</t>
        </is>
      </c>
      <c r="E1616" t="inlineStr">
        <is>
          <t>Rua Manoel de Abreu, 9 - Parte</t>
        </is>
      </c>
      <c r="F1616" t="inlineStr">
        <is>
          <t>Centro</t>
        </is>
      </c>
      <c r="G1616" t="inlineStr">
        <is>
          <t>Niterói</t>
        </is>
      </c>
      <c r="H1616" t="inlineStr">
        <is>
          <t>RJ</t>
        </is>
      </c>
      <c r="I1616" t="n">
        <v>7742</v>
      </c>
      <c r="J1616" t="inlineStr">
        <is>
          <t>CAT 4</t>
        </is>
      </c>
      <c r="K1616" t="inlineStr">
        <is>
          <t>Sim</t>
        </is>
      </c>
    </row>
    <row r="1617">
      <c r="A1617" s="1">
        <f>HYPERLINK("https://eurofarma-latam-crm.veevavault.com/#object/account__v/V4TZ0000191N9BY", "Anoar Jezini")</f>
        <v/>
      </c>
      <c r="B1617" s="1">
        <f>HYPERLINK("https://eurofarma-latam-crm.veevavault.com/#object/account__v/V4TZ0000191N9BY", "Anoar de Lima Jezini")</f>
        <v/>
      </c>
      <c r="C1617" t="inlineStr">
        <is>
          <t>RJ1231979</t>
        </is>
      </c>
      <c r="D1617" t="inlineStr">
        <is>
          <t>PED</t>
        </is>
      </c>
      <c r="E1617" t="inlineStr">
        <is>
          <t>Praça Estefania de Carvalho, 26</t>
        </is>
      </c>
      <c r="F1617" t="inlineStr">
        <is>
          <t>Zé Garoto</t>
        </is>
      </c>
      <c r="G1617" t="inlineStr">
        <is>
          <t>São Gonçalo</t>
        </is>
      </c>
      <c r="H1617" t="inlineStr">
        <is>
          <t>RJ</t>
        </is>
      </c>
      <c r="I1617" t="n">
        <v>7742</v>
      </c>
      <c r="J1617" t="inlineStr">
        <is>
          <t>CAT 5</t>
        </is>
      </c>
      <c r="K1617" t="inlineStr">
        <is>
          <t>N�o</t>
        </is>
      </c>
    </row>
    <row r="1618">
      <c r="A1618" s="1">
        <f>HYPERLINK("https://eurofarma-latam-crm.veevavault.com/#object/account__v/V4TZ00001914NO5", "Antônio Maia")</f>
        <v/>
      </c>
      <c r="B1618" s="1">
        <f>HYPERLINK("https://eurofarma-latam-crm.veevavault.com/#object/account__v/V4TZ00001914NO5", "Antônio da Costa Maia")</f>
        <v/>
      </c>
      <c r="C1618" t="inlineStr">
        <is>
          <t>RJ0015407</t>
        </is>
      </c>
      <c r="D1618" t="inlineStr">
        <is>
          <t>CLG</t>
        </is>
      </c>
      <c r="E1618" t="inlineStr">
        <is>
          <t>Rua Francisco Portela, 2243</t>
        </is>
      </c>
      <c r="F1618" t="inlineStr">
        <is>
          <t>Patronato</t>
        </is>
      </c>
      <c r="G1618" t="inlineStr">
        <is>
          <t>São Gonçalo</t>
        </is>
      </c>
      <c r="H1618" t="inlineStr">
        <is>
          <t>RJ</t>
        </is>
      </c>
      <c r="I1618" t="n">
        <v>7742</v>
      </c>
      <c r="J1618" t="inlineStr">
        <is>
          <t>CAT 3</t>
        </is>
      </c>
      <c r="K1618" t="inlineStr">
        <is>
          <t>Sim</t>
        </is>
      </c>
    </row>
    <row r="1619">
      <c r="A1619" s="1">
        <f>HYPERLINK("https://eurofarma-latam-crm.veevavault.com/#object/account__v/V4TZ025E894SLV7", "Arlindo Silva")</f>
        <v/>
      </c>
      <c r="B1619" s="1">
        <f>HYPERLINK("https://eurofarma-latam-crm.veevavault.com/#object/account__v/V4TZ025E894SLV7", "Arlindo Maico Martins da Silva")</f>
        <v/>
      </c>
      <c r="C1619" t="inlineStr">
        <is>
          <t>RJ1162241</t>
        </is>
      </c>
      <c r="D1619" t="inlineStr">
        <is>
          <t>CLG / PA</t>
        </is>
      </c>
      <c r="E1619" t="inlineStr">
        <is>
          <t>Rua Mário Ribeiro, 117</t>
        </is>
      </c>
      <c r="F1619" t="inlineStr">
        <is>
          <t>Leblon</t>
        </is>
      </c>
      <c r="G1619" t="inlineStr">
        <is>
          <t>Rio de Janeiro</t>
        </is>
      </c>
      <c r="H1619" t="inlineStr">
        <is>
          <t>RJ</t>
        </is>
      </c>
      <c r="I1619" t="n">
        <v>7742</v>
      </c>
      <c r="J1619" t="inlineStr">
        <is>
          <t>CAT 5</t>
        </is>
      </c>
      <c r="K1619" t="inlineStr">
        <is>
          <t>Sim</t>
        </is>
      </c>
    </row>
    <row r="1620">
      <c r="A1620" s="1">
        <f>HYPERLINK("https://eurofarma-latam-crm.veevavault.com/#object/account__v/V4TZ000018NYL0D", "Armanda de Faria")</f>
        <v/>
      </c>
      <c r="B1620" s="1">
        <f>HYPERLINK("https://eurofarma-latam-crm.veevavault.com/#object/account__v/V4TZ000018NYL0D", "Armanda de Oliveira Pache de Faria")</f>
        <v/>
      </c>
      <c r="C1620" t="inlineStr">
        <is>
          <t>RJ0821004</t>
        </is>
      </c>
      <c r="D1620" t="inlineStr">
        <is>
          <t>ORL</t>
        </is>
      </c>
      <c r="E1620" t="inlineStr">
        <is>
          <t>Rua Ator Paulo Gustavo, 229 - Sala 1818</t>
        </is>
      </c>
      <c r="F1620" t="inlineStr">
        <is>
          <t>Icaraí</t>
        </is>
      </c>
      <c r="G1620" t="inlineStr">
        <is>
          <t>Niterói</t>
        </is>
      </c>
      <c r="H1620" t="inlineStr">
        <is>
          <t>RJ</t>
        </is>
      </c>
      <c r="I1620" t="n">
        <v>7742</v>
      </c>
      <c r="J1620" t="inlineStr">
        <is>
          <t>CAT 5</t>
        </is>
      </c>
      <c r="K1620" t="inlineStr">
        <is>
          <t>Sim</t>
        </is>
      </c>
    </row>
    <row r="1621">
      <c r="A1621" s="1">
        <f>HYPERLINK("https://eurofarma-latam-crm.veevavault.com/#object/account__v/V4TZ000018NZ8GJ", "Armando Nogueira")</f>
        <v/>
      </c>
      <c r="B1621" s="1">
        <f>HYPERLINK("https://eurofarma-latam-crm.veevavault.com/#object/account__v/V4TZ000018NZ8GJ", "Armando Fortuna Nogueira")</f>
        <v/>
      </c>
      <c r="C1621" t="inlineStr">
        <is>
          <t>RJ0289406</t>
        </is>
      </c>
      <c r="D1621" t="inlineStr">
        <is>
          <t>NEU</t>
        </is>
      </c>
      <c r="E1621" t="inlineStr">
        <is>
          <t>Rua José Augusto Pereira dos Santos, 1301</t>
        </is>
      </c>
      <c r="F1621" t="inlineStr">
        <is>
          <t>Neves (Neves)</t>
        </is>
      </c>
      <c r="G1621" t="inlineStr">
        <is>
          <t>São Gonçalo</t>
        </is>
      </c>
      <c r="H1621" t="inlineStr">
        <is>
          <t>RJ</t>
        </is>
      </c>
      <c r="I1621" t="n">
        <v>7742</v>
      </c>
      <c r="J1621" t="inlineStr">
        <is>
          <t>CAT 3</t>
        </is>
      </c>
      <c r="K1621" t="inlineStr">
        <is>
          <t>Sim</t>
        </is>
      </c>
    </row>
    <row r="1622">
      <c r="A1622" s="1">
        <f>HYPERLINK("https://eurofarma-latam-crm.veevavault.com/#object/account__v/V4TZ000019165VE", "Arthur Vanelli")</f>
        <v/>
      </c>
      <c r="B1622" s="1">
        <f>HYPERLINK("https://eurofarma-latam-crm.veevavault.com/#object/account__v/V4TZ000019165VE", "Arthur Montechiari Vanelli")</f>
        <v/>
      </c>
      <c r="C1622" t="inlineStr">
        <is>
          <t>RJ1218875</t>
        </is>
      </c>
      <c r="D1622" t="inlineStr">
        <is>
          <t>CLG / PA</t>
        </is>
      </c>
      <c r="E1622" t="inlineStr">
        <is>
          <t>Rua Doutor Nilo Peçanha, 232</t>
        </is>
      </c>
      <c r="F1622" t="inlineStr">
        <is>
          <t>Centro</t>
        </is>
      </c>
      <c r="G1622" t="inlineStr">
        <is>
          <t>São Gonçalo</t>
        </is>
      </c>
      <c r="H1622" t="inlineStr">
        <is>
          <t>RJ</t>
        </is>
      </c>
      <c r="I1622" t="n">
        <v>7742</v>
      </c>
      <c r="J1622" t="inlineStr">
        <is>
          <t>CAT 4</t>
        </is>
      </c>
      <c r="K1622" t="inlineStr">
        <is>
          <t>Sim</t>
        </is>
      </c>
    </row>
    <row r="1623">
      <c r="A1623" s="1">
        <f>HYPERLINK("https://eurofarma-latam-crm.veevavault.com/#object/account__v/V4TZ00001913CLR", "Attila Couto")</f>
        <v/>
      </c>
      <c r="B1623" s="1">
        <f>HYPERLINK("https://eurofarma-latam-crm.veevavault.com/#object/account__v/V4TZ00001913CLR", "Attila da Silva Couto")</f>
        <v/>
      </c>
      <c r="C1623" t="inlineStr">
        <is>
          <t>RJ0501982</t>
        </is>
      </c>
      <c r="D1623" t="inlineStr">
        <is>
          <t>GAS</t>
        </is>
      </c>
      <c r="E1623" t="inlineStr">
        <is>
          <t>Rua Vereador Clemente Souza e Silva, 440</t>
        </is>
      </c>
      <c r="F1623" t="inlineStr">
        <is>
          <t>Zé Garoto</t>
        </is>
      </c>
      <c r="G1623" t="inlineStr">
        <is>
          <t>São Gonçalo</t>
        </is>
      </c>
      <c r="H1623" t="inlineStr">
        <is>
          <t>RJ</t>
        </is>
      </c>
      <c r="I1623" t="n">
        <v>7742</v>
      </c>
      <c r="J1623" t="inlineStr">
        <is>
          <t>CAT 5</t>
        </is>
      </c>
      <c r="K1623" t="inlineStr">
        <is>
          <t>N�o</t>
        </is>
      </c>
    </row>
    <row r="1624">
      <c r="A1624" s="1">
        <f>HYPERLINK("https://eurofarma-latam-crm.veevavault.com/#object/account__v/V4TZ00001915LRQ", "Aylson Affonso Pereira")</f>
        <v/>
      </c>
      <c r="B1624" s="1">
        <f>HYPERLINK("https://eurofarma-latam-crm.veevavault.com/#object/account__v/V4TZ00001915LRQ", "Aylson Affonso Pereira")</f>
        <v/>
      </c>
      <c r="C1624" t="inlineStr">
        <is>
          <t>RJ0522777</t>
        </is>
      </c>
      <c r="D1624" t="inlineStr">
        <is>
          <t>END</t>
        </is>
      </c>
      <c r="E1624" t="inlineStr">
        <is>
          <t>Rua Nelson Silva, 379</t>
        </is>
      </c>
      <c r="F1624" t="inlineStr">
        <is>
          <t>Centro</t>
        </is>
      </c>
      <c r="G1624" t="inlineStr">
        <is>
          <t>Itaboraí</t>
        </is>
      </c>
      <c r="H1624" t="inlineStr">
        <is>
          <t>RJ</t>
        </is>
      </c>
      <c r="I1624" t="n">
        <v>7742</v>
      </c>
      <c r="J1624" t="inlineStr">
        <is>
          <t>CAT 3</t>
        </is>
      </c>
      <c r="K1624" t="inlineStr">
        <is>
          <t>Sim</t>
        </is>
      </c>
    </row>
    <row r="1625">
      <c r="A1625" s="1">
        <f>HYPERLINK("https://eurofarma-latam-crm.veevavault.com/#object/account__v/V4TZ025E83WPSHF", "Beatriz da Costa")</f>
        <v/>
      </c>
      <c r="B1625" s="1">
        <f>HYPERLINK("https://eurofarma-latam-crm.veevavault.com/#object/account__v/V4TZ025E83WPSHF", "Beatriz Dias da Costa")</f>
        <v/>
      </c>
      <c r="C1625" t="inlineStr">
        <is>
          <t>RJ1302159</t>
        </is>
      </c>
      <c r="D1625" t="inlineStr">
        <is>
          <t>ORL</t>
        </is>
      </c>
      <c r="E1625" t="inlineStr">
        <is>
          <t>Rua Marquês de Paraná, 303</t>
        </is>
      </c>
      <c r="F1625" t="inlineStr">
        <is>
          <t>Centro</t>
        </is>
      </c>
      <c r="G1625" t="inlineStr">
        <is>
          <t>Niterói</t>
        </is>
      </c>
      <c r="H1625" t="inlineStr">
        <is>
          <t>RJ</t>
        </is>
      </c>
      <c r="I1625" t="n">
        <v>7742</v>
      </c>
      <c r="J1625" t="inlineStr">
        <is>
          <t>CAT 5</t>
        </is>
      </c>
      <c r="K1625" t="inlineStr">
        <is>
          <t>N�o</t>
        </is>
      </c>
    </row>
    <row r="1626">
      <c r="A1626" s="1">
        <f>HYPERLINK("https://eurofarma-latam-crm.veevavault.com/#object/account__v/V4TZ025E8B3ZHNH", "Beatriz da Silva")</f>
        <v/>
      </c>
      <c r="B1626" s="1">
        <f>HYPERLINK("https://eurofarma-latam-crm.veevavault.com/#object/account__v/V4TZ025E8B3ZHNH", "Beatriz Trajano Costa da Silva")</f>
        <v/>
      </c>
      <c r="C1626" t="inlineStr">
        <is>
          <t>RJ0135791</t>
        </is>
      </c>
      <c r="D1626" t="inlineStr">
        <is>
          <t>PED</t>
        </is>
      </c>
      <c r="E1626" t="inlineStr">
        <is>
          <t>Rua Vicente de Lima Cleto, 296</t>
        </is>
      </c>
      <c r="F1626" t="inlineStr">
        <is>
          <t>Nova Cidade</t>
        </is>
      </c>
      <c r="G1626" t="inlineStr">
        <is>
          <t>São Gonçalo</t>
        </is>
      </c>
      <c r="H1626" t="inlineStr">
        <is>
          <t>RJ</t>
        </is>
      </c>
      <c r="I1626" t="n">
        <v>7742</v>
      </c>
      <c r="J1626" t="inlineStr"/>
      <c r="K1626" t="inlineStr"/>
    </row>
    <row r="1627">
      <c r="A1627" s="1">
        <f>HYPERLINK("https://eurofarma-latam-crm.veevavault.com/#object/account__v/V4TZ000018NYF5M", "Bernardo Abreu")</f>
        <v/>
      </c>
      <c r="B1627" s="1">
        <f>HYPERLINK("https://eurofarma-latam-crm.veevavault.com/#object/account__v/V4TZ000018NYF5M", "Bernardo Silva de Abreu")</f>
        <v/>
      </c>
      <c r="C1627" t="inlineStr">
        <is>
          <t>RJ1206001</t>
        </is>
      </c>
      <c r="D1627" t="inlineStr">
        <is>
          <t>URO</t>
        </is>
      </c>
      <c r="E1627" t="inlineStr">
        <is>
          <t>Rua Marquês de Paraná, 303</t>
        </is>
      </c>
      <c r="F1627" t="inlineStr">
        <is>
          <t>Centro</t>
        </is>
      </c>
      <c r="G1627" t="inlineStr">
        <is>
          <t>Niterói</t>
        </is>
      </c>
      <c r="H1627" t="inlineStr">
        <is>
          <t>RJ</t>
        </is>
      </c>
      <c r="I1627" t="n">
        <v>7742</v>
      </c>
      <c r="J1627" t="inlineStr">
        <is>
          <t>CAT 5</t>
        </is>
      </c>
      <c r="K1627" t="inlineStr">
        <is>
          <t>Sim</t>
        </is>
      </c>
    </row>
    <row r="1628">
      <c r="A1628" s="1">
        <f>HYPERLINK("https://eurofarma-latam-crm.veevavault.com/#object/account__v/V4TZ000019168EV", "Bruna Machado")</f>
        <v/>
      </c>
      <c r="B1628" s="1">
        <f>HYPERLINK("https://eurofarma-latam-crm.veevavault.com/#object/account__v/V4TZ000019168EV", "Bruna Daflon Machado")</f>
        <v/>
      </c>
      <c r="C1628" t="inlineStr">
        <is>
          <t>RJ1277340</t>
        </is>
      </c>
      <c r="D1628" t="inlineStr">
        <is>
          <t>CLG / PA</t>
        </is>
      </c>
      <c r="E1628" t="inlineStr">
        <is>
          <t>Rua Siqueira Campos, 70</t>
        </is>
      </c>
      <c r="F1628" t="inlineStr">
        <is>
          <t>Copacabana</t>
        </is>
      </c>
      <c r="G1628" t="inlineStr">
        <is>
          <t>Rio de Janeiro</t>
        </is>
      </c>
      <c r="H1628" t="inlineStr">
        <is>
          <t>RJ</t>
        </is>
      </c>
      <c r="I1628" t="n">
        <v>7742</v>
      </c>
      <c r="J1628" t="inlineStr">
        <is>
          <t>CAT 4</t>
        </is>
      </c>
      <c r="K1628" t="inlineStr">
        <is>
          <t>Sim</t>
        </is>
      </c>
    </row>
    <row r="1629">
      <c r="A1629" s="1">
        <f>HYPERLINK("https://eurofarma-latam-crm.veevavault.com/#object/account__v/V4TZ000019139AE", "Caio Madruga")</f>
        <v/>
      </c>
      <c r="B1629" s="1">
        <f>HYPERLINK("https://eurofarma-latam-crm.veevavault.com/#object/account__v/V4TZ000019139AE", "Caio de Freitas Madruga")</f>
        <v/>
      </c>
      <c r="C1629" t="inlineStr">
        <is>
          <t>RJ0986658</t>
        </is>
      </c>
      <c r="D1629" t="inlineStr">
        <is>
          <t>ORL</t>
        </is>
      </c>
      <c r="E1629" t="inlineStr">
        <is>
          <t>Rua Ator Paulo Gustavo, 160 - Sala 1108</t>
        </is>
      </c>
      <c r="F1629" t="inlineStr">
        <is>
          <t>Icaraí</t>
        </is>
      </c>
      <c r="G1629" t="inlineStr">
        <is>
          <t>Niterói</t>
        </is>
      </c>
      <c r="H1629" t="inlineStr">
        <is>
          <t>RJ</t>
        </is>
      </c>
      <c r="I1629" t="n">
        <v>7742</v>
      </c>
      <c r="J1629" t="inlineStr">
        <is>
          <t>CAT 3</t>
        </is>
      </c>
      <c r="K1629" t="inlineStr">
        <is>
          <t>Sim</t>
        </is>
      </c>
    </row>
    <row r="1630">
      <c r="A1630" s="1">
        <f>HYPERLINK("https://eurofarma-latam-crm.veevavault.com/#object/account__v/V4TZ025E89K6T3L", "Camila Delgado")</f>
        <v/>
      </c>
      <c r="B1630" s="1">
        <f>HYPERLINK("https://eurofarma-latam-crm.veevavault.com/#object/account__v/V4TZ025E89K6T3L", "Camila Silva Delgado")</f>
        <v/>
      </c>
      <c r="C1630" t="inlineStr">
        <is>
          <t>RJ1349341,SP0219669</t>
        </is>
      </c>
      <c r="D1630" t="inlineStr">
        <is>
          <t>ORL</t>
        </is>
      </c>
      <c r="E1630" t="inlineStr">
        <is>
          <t>Rua Marquês de Paraná, 303</t>
        </is>
      </c>
      <c r="F1630" t="inlineStr">
        <is>
          <t>Centro</t>
        </is>
      </c>
      <c r="G1630" t="inlineStr">
        <is>
          <t>Niterói</t>
        </is>
      </c>
      <c r="H1630" t="inlineStr">
        <is>
          <t>RJ</t>
        </is>
      </c>
      <c r="I1630" t="n">
        <v>7742</v>
      </c>
      <c r="J1630" t="inlineStr">
        <is>
          <t>CAT 5</t>
        </is>
      </c>
      <c r="K1630" t="inlineStr">
        <is>
          <t>Sim</t>
        </is>
      </c>
    </row>
    <row r="1631">
      <c r="A1631" s="1">
        <f>HYPERLINK("https://eurofarma-latam-crm.veevavault.com/#object/account__v/V4TZ000018NYXVR", "Camila Franco")</f>
        <v/>
      </c>
      <c r="B1631" s="1">
        <f>HYPERLINK("https://eurofarma-latam-crm.veevavault.com/#object/account__v/V4TZ000018NYXVR", "Camila de Almeida Ventura Franco")</f>
        <v/>
      </c>
      <c r="C1631" t="inlineStr">
        <is>
          <t>RJ0864773</t>
        </is>
      </c>
      <c r="D1631" t="inlineStr">
        <is>
          <t>PED</t>
        </is>
      </c>
      <c r="E1631" t="inlineStr">
        <is>
          <t>Rua Miguel de Frias, 51 - Sala 707</t>
        </is>
      </c>
      <c r="F1631" t="inlineStr">
        <is>
          <t>Icaraí</t>
        </is>
      </c>
      <c r="G1631" t="inlineStr">
        <is>
          <t>Niterói</t>
        </is>
      </c>
      <c r="H1631" t="inlineStr">
        <is>
          <t>RJ</t>
        </is>
      </c>
      <c r="I1631" t="n">
        <v>7742</v>
      </c>
      <c r="J1631" t="inlineStr">
        <is>
          <t>CAT 5</t>
        </is>
      </c>
      <c r="K1631" t="inlineStr">
        <is>
          <t>Sim</t>
        </is>
      </c>
    </row>
    <row r="1632">
      <c r="A1632" s="1">
        <f>HYPERLINK("https://eurofarma-latam-crm.veevavault.com/#object/account__v/V4TZ025E84WACVA", "Camile Pereira")</f>
        <v/>
      </c>
      <c r="B1632" s="1">
        <f>HYPERLINK("https://eurofarma-latam-crm.veevavault.com/#object/account__v/V4TZ025E84WACVA", "Camile de Azevedo Pereira")</f>
        <v/>
      </c>
      <c r="C1632" t="inlineStr">
        <is>
          <t>RJ1180959</t>
        </is>
      </c>
      <c r="D1632" t="inlineStr">
        <is>
          <t>CLG / PA</t>
        </is>
      </c>
      <c r="E1632" t="inlineStr">
        <is>
          <t>Rua Ana Barbosa, 21</t>
        </is>
      </c>
      <c r="F1632" t="inlineStr">
        <is>
          <t>Méier</t>
        </is>
      </c>
      <c r="G1632" t="inlineStr">
        <is>
          <t>Rio de Janeiro</t>
        </is>
      </c>
      <c r="H1632" t="inlineStr">
        <is>
          <t>RJ</t>
        </is>
      </c>
      <c r="I1632" t="n">
        <v>7742</v>
      </c>
      <c r="J1632" t="inlineStr">
        <is>
          <t>CAT 4</t>
        </is>
      </c>
      <c r="K1632" t="inlineStr">
        <is>
          <t>Sim</t>
        </is>
      </c>
    </row>
    <row r="1633">
      <c r="A1633" s="1">
        <f>HYPERLINK("https://eurofarma-latam-crm.veevavault.com/#object/account__v/V4TZ000018NXKXT", "Candelaria Garzon")</f>
        <v/>
      </c>
      <c r="B1633" s="1">
        <f>HYPERLINK("https://eurofarma-latam-crm.veevavault.com/#object/account__v/V4TZ000018NXKXT", "Candelaria Cardozo Garzon")</f>
        <v/>
      </c>
      <c r="C1633" t="inlineStr">
        <is>
          <t>RJ0660159</t>
        </is>
      </c>
      <c r="D1633" t="inlineStr">
        <is>
          <t>PED</t>
        </is>
      </c>
      <c r="E1633" t="inlineStr">
        <is>
          <t>Rua Gessyr Gonçalves Fontes, 139 - Salas 1202 e 1204</t>
        </is>
      </c>
      <c r="F1633" t="inlineStr">
        <is>
          <t>Centro</t>
        </is>
      </c>
      <c r="G1633" t="inlineStr">
        <is>
          <t>São João de Meriti</t>
        </is>
      </c>
      <c r="H1633" t="inlineStr">
        <is>
          <t>RJ</t>
        </is>
      </c>
      <c r="I1633" t="n">
        <v>7742</v>
      </c>
      <c r="J1633" t="inlineStr">
        <is>
          <t>CAT 5</t>
        </is>
      </c>
      <c r="K1633" t="inlineStr">
        <is>
          <t>Sim</t>
        </is>
      </c>
    </row>
    <row r="1634">
      <c r="A1634" s="1">
        <f>HYPERLINK("https://eurofarma-latam-crm.veevavault.com/#object/account__v/V4TZ025E8EYUPR2", "Carlla Alessandra Dantas")</f>
        <v/>
      </c>
      <c r="B1634" s="1">
        <f>HYPERLINK("https://eurofarma-latam-crm.veevavault.com/#object/account__v/V4TZ025E8EYUPR2", "Carlla Alessandra Silva Pereira Dantas")</f>
        <v/>
      </c>
      <c r="C1634" t="inlineStr">
        <is>
          <t>RJ1378996</t>
        </is>
      </c>
      <c r="D1634" t="inlineStr">
        <is>
          <t>CLG / PA</t>
        </is>
      </c>
      <c r="E1634" t="inlineStr">
        <is>
          <t>Estrada do Pacheco, 1051</t>
        </is>
      </c>
      <c r="F1634" t="inlineStr">
        <is>
          <t>Pacheco</t>
        </is>
      </c>
      <c r="G1634" t="inlineStr">
        <is>
          <t>São Gonçalo</t>
        </is>
      </c>
      <c r="H1634" t="inlineStr">
        <is>
          <t>RJ</t>
        </is>
      </c>
      <c r="I1634" t="n">
        <v>7742</v>
      </c>
      <c r="J1634" t="inlineStr">
        <is>
          <t>CAT 5</t>
        </is>
      </c>
      <c r="K1634" t="inlineStr">
        <is>
          <t>N�o</t>
        </is>
      </c>
    </row>
    <row r="1635">
      <c r="A1635" s="1">
        <f>HYPERLINK("https://eurofarma-latam-crm.veevavault.com/#object/account__v/V4TZ000018NZ6ZM", "Carlos Brodsky")</f>
        <v/>
      </c>
      <c r="B1635" s="1">
        <f>HYPERLINK("https://eurofarma-latam-crm.veevavault.com/#object/account__v/V4TZ000018NZ6ZM", "Carlos Rodrigues Brodsky")</f>
        <v/>
      </c>
      <c r="C1635" t="inlineStr">
        <is>
          <t>RJ0337252</t>
        </is>
      </c>
      <c r="D1635" t="inlineStr">
        <is>
          <t>NEU</t>
        </is>
      </c>
      <c r="E1635" t="inlineStr">
        <is>
          <t>Rua Salvatori, 40 - Sala 703</t>
        </is>
      </c>
      <c r="F1635" t="inlineStr">
        <is>
          <t>Rocha</t>
        </is>
      </c>
      <c r="G1635" t="inlineStr">
        <is>
          <t>São Gonçalo</t>
        </is>
      </c>
      <c r="H1635" t="inlineStr">
        <is>
          <t>RJ</t>
        </is>
      </c>
      <c r="I1635" t="n">
        <v>7742</v>
      </c>
      <c r="J1635" t="inlineStr">
        <is>
          <t>CAT 3</t>
        </is>
      </c>
      <c r="K1635" t="inlineStr">
        <is>
          <t>Sim</t>
        </is>
      </c>
    </row>
    <row r="1636">
      <c r="A1636" s="1">
        <f>HYPERLINK("https://eurofarma-latam-crm.veevavault.com/#object/account__v/V4TZ000018NZ75X", "Carlos Correa")</f>
        <v/>
      </c>
      <c r="B1636" s="1">
        <f>HYPERLINK("https://eurofarma-latam-crm.veevavault.com/#object/account__v/V4TZ000018NZ75X", "Carlos Alberto de Assis Correa")</f>
        <v/>
      </c>
      <c r="C1636" t="inlineStr">
        <is>
          <t>RJ0025937</t>
        </is>
      </c>
      <c r="D1636" t="inlineStr">
        <is>
          <t>PED</t>
        </is>
      </c>
      <c r="E1636" t="inlineStr">
        <is>
          <t>Estrada Do Pacheco, 321</t>
        </is>
      </c>
      <c r="F1636" t="inlineStr">
        <is>
          <t>Lagoinha</t>
        </is>
      </c>
      <c r="G1636" t="inlineStr">
        <is>
          <t>São Gonçalo</t>
        </is>
      </c>
      <c r="H1636" t="inlineStr">
        <is>
          <t>RJ</t>
        </is>
      </c>
      <c r="I1636" t="n">
        <v>7742</v>
      </c>
      <c r="J1636" t="inlineStr">
        <is>
          <t>CAT 5</t>
        </is>
      </c>
      <c r="K1636" t="inlineStr">
        <is>
          <t>Sim</t>
        </is>
      </c>
    </row>
    <row r="1637">
      <c r="A1637" s="1">
        <f>HYPERLINK("https://eurofarma-latam-crm.veevavault.com/#object/account__v/V4TZ00001913L31", "Carlos Eduardo dos Santos")</f>
        <v/>
      </c>
      <c r="B1637" s="1">
        <f>HYPERLINK("https://eurofarma-latam-crm.veevavault.com/#object/account__v/V4TZ00001913L31", "Carlos Eduardo Silva dos Santos")</f>
        <v/>
      </c>
      <c r="C1637" t="inlineStr">
        <is>
          <t>RJ0544916</t>
        </is>
      </c>
      <c r="D1637" t="inlineStr">
        <is>
          <t>CLG</t>
        </is>
      </c>
      <c r="E1637" t="inlineStr">
        <is>
          <t>Praça Estefania de Carvalho, 26</t>
        </is>
      </c>
      <c r="F1637" t="inlineStr">
        <is>
          <t>Zé Garoto</t>
        </is>
      </c>
      <c r="G1637" t="inlineStr">
        <is>
          <t>São Gonçalo</t>
        </is>
      </c>
      <c r="H1637" t="inlineStr">
        <is>
          <t>RJ</t>
        </is>
      </c>
      <c r="I1637" t="n">
        <v>7742</v>
      </c>
      <c r="J1637" t="inlineStr">
        <is>
          <t>CAT 5</t>
        </is>
      </c>
      <c r="K1637" t="inlineStr">
        <is>
          <t>Sim</t>
        </is>
      </c>
    </row>
    <row r="1638">
      <c r="A1638" s="1">
        <f>HYPERLINK("https://eurofarma-latam-crm.veevavault.com/#object/account__v/V4TZ000019146BV", "Carlos Pires")</f>
        <v/>
      </c>
      <c r="B1638" s="1">
        <f>HYPERLINK("https://eurofarma-latam-crm.veevavault.com/#object/account__v/V4TZ000019146BV", "Carlos Mauricio Peixoto Pires")</f>
        <v/>
      </c>
      <c r="C1638" t="inlineStr">
        <is>
          <t>RJ0342626</t>
        </is>
      </c>
      <c r="D1638" t="inlineStr">
        <is>
          <t>CLG</t>
        </is>
      </c>
      <c r="E1638" t="inlineStr">
        <is>
          <t>Estrada do Pacheco, 216</t>
        </is>
      </c>
      <c r="F1638" t="inlineStr">
        <is>
          <t>Lagoinha</t>
        </is>
      </c>
      <c r="G1638" t="inlineStr">
        <is>
          <t>São Gonçalo</t>
        </is>
      </c>
      <c r="H1638" t="inlineStr">
        <is>
          <t>RJ</t>
        </is>
      </c>
      <c r="I1638" t="n">
        <v>7742</v>
      </c>
      <c r="J1638" t="inlineStr">
        <is>
          <t>CAT 4</t>
        </is>
      </c>
      <c r="K1638" t="inlineStr">
        <is>
          <t>N�o</t>
        </is>
      </c>
    </row>
    <row r="1639">
      <c r="A1639" s="1">
        <f>HYPERLINK("https://eurofarma-latam-crm.veevavault.com/#object/account__v/V4TZ00001915VWB", "Carmen Correia")</f>
        <v/>
      </c>
      <c r="B1639" s="1">
        <f>HYPERLINK("https://eurofarma-latam-crm.veevavault.com/#object/account__v/V4TZ00001915VWB", "Carmen Julia Nunes Correia")</f>
        <v/>
      </c>
      <c r="C1639" t="inlineStr">
        <is>
          <t>RJ0612414</t>
        </is>
      </c>
      <c r="D1639" t="inlineStr">
        <is>
          <t>CLG / PA</t>
        </is>
      </c>
      <c r="E1639" t="inlineStr">
        <is>
          <t>Rua Doutor Nilo Peçanha, 232</t>
        </is>
      </c>
      <c r="F1639" t="inlineStr">
        <is>
          <t>Centro</t>
        </is>
      </c>
      <c r="G1639" t="inlineStr">
        <is>
          <t>São Gonçalo</t>
        </is>
      </c>
      <c r="H1639" t="inlineStr">
        <is>
          <t>RJ</t>
        </is>
      </c>
      <c r="I1639" t="n">
        <v>7742</v>
      </c>
      <c r="J1639" t="inlineStr">
        <is>
          <t>CAT 5</t>
        </is>
      </c>
      <c r="K1639" t="inlineStr">
        <is>
          <t>Sim</t>
        </is>
      </c>
    </row>
    <row r="1640">
      <c r="A1640" s="1">
        <f>HYPERLINK("https://eurofarma-latam-crm.veevavault.com/#object/account__v/V4TZ00001913043", "Carmen Liandro")</f>
        <v/>
      </c>
      <c r="B1640" s="1">
        <f>HYPERLINK("https://eurofarma-latam-crm.veevavault.com/#object/account__v/V4TZ00001913043", "Carmen Tereza Rodrigues Liandro")</f>
        <v/>
      </c>
      <c r="C1640" t="inlineStr">
        <is>
          <t>RJ0577146</t>
        </is>
      </c>
      <c r="D1640" t="inlineStr">
        <is>
          <t>CLG</t>
        </is>
      </c>
      <c r="E1640" t="inlineStr">
        <is>
          <t>Rua Coronel Serrado, 61</t>
        </is>
      </c>
      <c r="F1640" t="inlineStr">
        <is>
          <t>Zé Garoto</t>
        </is>
      </c>
      <c r="G1640" t="inlineStr">
        <is>
          <t>São Gonçalo</t>
        </is>
      </c>
      <c r="H1640" t="inlineStr">
        <is>
          <t>RJ</t>
        </is>
      </c>
      <c r="I1640" t="n">
        <v>7742</v>
      </c>
      <c r="J1640" t="inlineStr">
        <is>
          <t>CAT 5</t>
        </is>
      </c>
      <c r="K1640" t="inlineStr">
        <is>
          <t>Sim</t>
        </is>
      </c>
    </row>
    <row r="1641">
      <c r="A1641" s="1">
        <f>HYPERLINK("https://eurofarma-latam-crm.veevavault.com/#object/account__v/V4TZ000018NZ4QD", "Carmen Tavares")</f>
        <v/>
      </c>
      <c r="B1641" s="1">
        <f>HYPERLINK("https://eurofarma-latam-crm.veevavault.com/#object/account__v/V4TZ000018NZ4QD", "Carmen Maria de Carvalho Tavares")</f>
        <v/>
      </c>
      <c r="C1641" t="inlineStr">
        <is>
          <t>RJ0423434</t>
        </is>
      </c>
      <c r="D1641" t="inlineStr">
        <is>
          <t>PED</t>
        </is>
      </c>
      <c r="E1641" t="inlineStr">
        <is>
          <t>Rua Santos Dumont, 48</t>
        </is>
      </c>
      <c r="F1641" t="inlineStr">
        <is>
          <t>Venda da Cruz</t>
        </is>
      </c>
      <c r="G1641" t="inlineStr">
        <is>
          <t>São Gonçalo</t>
        </is>
      </c>
      <c r="H1641" t="inlineStr">
        <is>
          <t>RJ</t>
        </is>
      </c>
      <c r="I1641" t="n">
        <v>7742</v>
      </c>
      <c r="J1641" t="inlineStr">
        <is>
          <t>CAT 5</t>
        </is>
      </c>
      <c r="K1641" t="inlineStr">
        <is>
          <t>Sim</t>
        </is>
      </c>
    </row>
    <row r="1642">
      <c r="A1642" s="1">
        <f>HYPERLINK("https://eurofarma-latam-crm.veevavault.com/#object/account__v/V4TZ000018NY16Q", "Carolina Carvalho")</f>
        <v/>
      </c>
      <c r="B1642" s="1">
        <f>HYPERLINK("https://eurofarma-latam-crm.veevavault.com/#object/account__v/V4TZ000018NY16Q", "Carolina Nascimento Alves Carvalho")</f>
        <v/>
      </c>
      <c r="C1642" t="inlineStr">
        <is>
          <t>RJ0955159</t>
        </is>
      </c>
      <c r="D1642" t="inlineStr">
        <is>
          <t>PED</t>
        </is>
      </c>
      <c r="E1642" t="inlineStr">
        <is>
          <t>Rua Senador Furtado, 93</t>
        </is>
      </c>
      <c r="F1642" t="inlineStr">
        <is>
          <t>Maracanã</t>
        </is>
      </c>
      <c r="G1642" t="inlineStr">
        <is>
          <t>Rio de Janeiro</t>
        </is>
      </c>
      <c r="H1642" t="inlineStr">
        <is>
          <t>RJ</t>
        </is>
      </c>
      <c r="I1642" t="n">
        <v>7742</v>
      </c>
      <c r="J1642" t="inlineStr">
        <is>
          <t>CAT 5</t>
        </is>
      </c>
      <c r="K1642" t="inlineStr">
        <is>
          <t>Sim</t>
        </is>
      </c>
    </row>
    <row r="1643">
      <c r="A1643" s="1">
        <f>HYPERLINK("https://eurofarma-latam-crm.veevavault.com/#object/account__v/V4TZ025E8AA9U9P", "Carolina Garcia")</f>
        <v/>
      </c>
      <c r="B1643" s="1">
        <f>HYPERLINK("https://eurofarma-latam-crm.veevavault.com/#object/account__v/V4TZ025E8AA9U9P", "Carolina Leite Garcia")</f>
        <v/>
      </c>
      <c r="C1643" t="inlineStr">
        <is>
          <t>RJ1337335</t>
        </is>
      </c>
      <c r="D1643" t="inlineStr">
        <is>
          <t>CLG / PA</t>
        </is>
      </c>
      <c r="E1643" t="inlineStr">
        <is>
          <t>Rua Frei Caneca, 50</t>
        </is>
      </c>
      <c r="F1643" t="inlineStr">
        <is>
          <t>Centro</t>
        </is>
      </c>
      <c r="G1643" t="inlineStr">
        <is>
          <t>Rio de Janeiro</t>
        </is>
      </c>
      <c r="H1643" t="inlineStr">
        <is>
          <t>RJ</t>
        </is>
      </c>
      <c r="I1643" t="n">
        <v>7742</v>
      </c>
      <c r="J1643" t="inlineStr"/>
      <c r="K1643" t="inlineStr"/>
    </row>
    <row r="1644">
      <c r="A1644" s="1">
        <f>HYPERLINK("https://eurofarma-latam-crm.veevavault.com/#object/account__v/V4TZ00001914HHK", "Carolina Peres")</f>
        <v/>
      </c>
      <c r="B1644" s="1">
        <f>HYPERLINK("https://eurofarma-latam-crm.veevavault.com/#object/account__v/V4TZ00001914HHK", "Carolina Lima Caputo Peres")</f>
        <v/>
      </c>
      <c r="C1644" t="inlineStr">
        <is>
          <t>RJ1251228</t>
        </is>
      </c>
      <c r="D1644" t="inlineStr">
        <is>
          <t>CLG / PA</t>
        </is>
      </c>
      <c r="E1644" t="inlineStr">
        <is>
          <t>Rua Rainha Guilhermina, 95 - Apt 402</t>
        </is>
      </c>
      <c r="F1644" t="inlineStr">
        <is>
          <t>Leblon</t>
        </is>
      </c>
      <c r="G1644" t="inlineStr">
        <is>
          <t>Rio de Janeiro</t>
        </is>
      </c>
      <c r="H1644" t="inlineStr">
        <is>
          <t>RJ</t>
        </is>
      </c>
      <c r="I1644" t="n">
        <v>7742</v>
      </c>
      <c r="J1644" t="inlineStr">
        <is>
          <t>CAT 5</t>
        </is>
      </c>
      <c r="K1644" t="inlineStr">
        <is>
          <t>Sim</t>
        </is>
      </c>
    </row>
    <row r="1645">
      <c r="A1645" s="1">
        <f>HYPERLINK("https://eurofarma-latam-crm.veevavault.com/#object/account__v/V4TZ00001912XFY", "Carolina Santos")</f>
        <v/>
      </c>
      <c r="B1645" s="1">
        <f>HYPERLINK("https://eurofarma-latam-crm.veevavault.com/#object/account__v/V4TZ00001912XFY", "Carolina Oliveira Santos")</f>
        <v/>
      </c>
      <c r="C1645" t="inlineStr">
        <is>
          <t>RJ0949523</t>
        </is>
      </c>
      <c r="D1645" t="inlineStr">
        <is>
          <t>PED</t>
        </is>
      </c>
      <c r="E1645" t="inlineStr">
        <is>
          <t>Praça Estefania de Carvalho, S/N</t>
        </is>
      </c>
      <c r="F1645" t="inlineStr">
        <is>
          <t>Zé Garoto</t>
        </is>
      </c>
      <c r="G1645" t="inlineStr">
        <is>
          <t>São Gonçalo</t>
        </is>
      </c>
      <c r="H1645" t="inlineStr">
        <is>
          <t>RJ</t>
        </is>
      </c>
      <c r="I1645" t="n">
        <v>7742</v>
      </c>
      <c r="J1645" t="inlineStr">
        <is>
          <t>CAT 4</t>
        </is>
      </c>
      <c r="K1645" t="inlineStr">
        <is>
          <t>Sim</t>
        </is>
      </c>
    </row>
    <row r="1646">
      <c r="A1646" s="1">
        <f>HYPERLINK("https://eurofarma-latam-crm.veevavault.com/#object/account__v/V4TZ025E8DH3NS9", "Caroline Barboza")</f>
        <v/>
      </c>
      <c r="B1646" s="1">
        <f>HYPERLINK("https://eurofarma-latam-crm.veevavault.com/#object/account__v/V4TZ025E8DH3NS9", "Caroline Franco Barboza")</f>
        <v/>
      </c>
      <c r="C1646" t="inlineStr">
        <is>
          <t>RJ1364187</t>
        </is>
      </c>
      <c r="D1646" t="inlineStr">
        <is>
          <t>PED</t>
        </is>
      </c>
      <c r="E1646" t="inlineStr">
        <is>
          <t>Estrada Francisco da Cruz Nunes, S/N</t>
        </is>
      </c>
      <c r="F1646" t="inlineStr">
        <is>
          <t>Piratininga</t>
        </is>
      </c>
      <c r="G1646" t="inlineStr">
        <is>
          <t>Niterói</t>
        </is>
      </c>
      <c r="H1646" t="inlineStr">
        <is>
          <t>RJ</t>
        </is>
      </c>
      <c r="I1646" t="n">
        <v>7742</v>
      </c>
      <c r="J1646" t="inlineStr">
        <is>
          <t>CAT 5</t>
        </is>
      </c>
      <c r="K1646" t="inlineStr">
        <is>
          <t>N�o</t>
        </is>
      </c>
    </row>
    <row r="1647">
      <c r="A1647" s="1">
        <f>HYPERLINK("https://eurofarma-latam-crm.veevavault.com/#object/account__v/V4TZ000018NY93L", "Cecilia Figueira")</f>
        <v/>
      </c>
      <c r="B1647" s="1">
        <f>HYPERLINK("https://eurofarma-latam-crm.veevavault.com/#object/account__v/V4TZ000018NY93L", "Cecilia Augusta Correa Figueira")</f>
        <v/>
      </c>
      <c r="C1647" t="inlineStr">
        <is>
          <t>RJ0133244</t>
        </is>
      </c>
      <c r="D1647" t="inlineStr">
        <is>
          <t>PED</t>
        </is>
      </c>
      <c r="E1647" t="inlineStr">
        <is>
          <t>Rua Salvatori 40- 1202</t>
        </is>
      </c>
      <c r="F1647" t="inlineStr">
        <is>
          <t>Centro</t>
        </is>
      </c>
      <c r="G1647" t="inlineStr">
        <is>
          <t>São Gonçalo</t>
        </is>
      </c>
      <c r="H1647" t="inlineStr">
        <is>
          <t>RJ</t>
        </is>
      </c>
      <c r="I1647" t="n">
        <v>7742</v>
      </c>
      <c r="J1647" t="inlineStr">
        <is>
          <t>CAT 5</t>
        </is>
      </c>
      <c r="K1647" t="inlineStr">
        <is>
          <t>Sim</t>
        </is>
      </c>
    </row>
    <row r="1648">
      <c r="A1648" s="1">
        <f>HYPERLINK("https://eurofarma-latam-crm.veevavault.com/#object/account__v/V4TZ000018NYQ4B", "Celimar de Menezes")</f>
        <v/>
      </c>
      <c r="B1648" s="1">
        <f>HYPERLINK("https://eurofarma-latam-crm.veevavault.com/#object/account__v/V4TZ000018NYQ4B", "Celimar de Menezes")</f>
        <v/>
      </c>
      <c r="C1648" t="inlineStr">
        <is>
          <t>RJ1065254</t>
        </is>
      </c>
      <c r="D1648" t="inlineStr">
        <is>
          <t>CLG / PA</t>
        </is>
      </c>
      <c r="E1648" t="inlineStr">
        <is>
          <t>Rua Doutor Nilo Peçanha, 232</t>
        </is>
      </c>
      <c r="F1648" t="inlineStr">
        <is>
          <t>Centro</t>
        </is>
      </c>
      <c r="G1648" t="inlineStr">
        <is>
          <t>São Gonçalo</t>
        </is>
      </c>
      <c r="H1648" t="inlineStr">
        <is>
          <t>RJ</t>
        </is>
      </c>
      <c r="I1648" t="n">
        <v>7742</v>
      </c>
      <c r="J1648" t="inlineStr">
        <is>
          <t>CAT 4</t>
        </is>
      </c>
      <c r="K1648" t="inlineStr">
        <is>
          <t>Sim</t>
        </is>
      </c>
    </row>
    <row r="1649">
      <c r="A1649" s="1">
        <f>HYPERLINK("https://eurofarma-latam-crm.veevavault.com/#object/account__v/V4TZ00001915ETO", "Celso Guedes")</f>
        <v/>
      </c>
      <c r="B1649" s="1">
        <f>HYPERLINK("https://eurofarma-latam-crm.veevavault.com/#object/account__v/V4TZ00001915ETO", "Celso Ronaldo Reis Guedes")</f>
        <v/>
      </c>
      <c r="C1649" t="inlineStr">
        <is>
          <t>RJ0356692</t>
        </is>
      </c>
      <c r="D1649" t="inlineStr">
        <is>
          <t>GER</t>
        </is>
      </c>
      <c r="E1649" t="inlineStr">
        <is>
          <t>Rua Coronel Gomes Machado, 130 - Sala 1106 E</t>
        </is>
      </c>
      <c r="F1649" t="inlineStr">
        <is>
          <t>Centro</t>
        </is>
      </c>
      <c r="G1649" t="inlineStr">
        <is>
          <t>Niterói</t>
        </is>
      </c>
      <c r="H1649" t="inlineStr">
        <is>
          <t>RJ</t>
        </is>
      </c>
      <c r="I1649" t="n">
        <v>7742</v>
      </c>
      <c r="J1649" t="inlineStr">
        <is>
          <t>CAT 4</t>
        </is>
      </c>
      <c r="K1649" t="inlineStr">
        <is>
          <t>Sim</t>
        </is>
      </c>
    </row>
    <row r="1650">
      <c r="A1650" s="1">
        <f>HYPERLINK("https://eurofarma-latam-crm.veevavault.com/#object/account__v/V4TZ000019157VL", "Celso Sa")</f>
        <v/>
      </c>
      <c r="B1650" s="1">
        <f>HYPERLINK("https://eurofarma-latam-crm.veevavault.com/#object/account__v/V4TZ000019157VL", "Celso Roberto Braga de Sa")</f>
        <v/>
      </c>
      <c r="C1650" t="inlineStr">
        <is>
          <t>RJ0393109</t>
        </is>
      </c>
      <c r="D1650" t="inlineStr">
        <is>
          <t>CLG</t>
        </is>
      </c>
      <c r="E1650" t="inlineStr">
        <is>
          <t>Rua Doutor Nilo Peçanha, 200</t>
        </is>
      </c>
      <c r="F1650" t="inlineStr">
        <is>
          <t>Antonina</t>
        </is>
      </c>
      <c r="G1650" t="inlineStr">
        <is>
          <t>São Gonçalo</t>
        </is>
      </c>
      <c r="H1650" t="inlineStr">
        <is>
          <t>RJ</t>
        </is>
      </c>
      <c r="I1650" t="n">
        <v>7742</v>
      </c>
      <c r="J1650" t="inlineStr">
        <is>
          <t>CAT 5</t>
        </is>
      </c>
      <c r="K1650" t="inlineStr">
        <is>
          <t>N�o</t>
        </is>
      </c>
    </row>
    <row r="1651">
      <c r="A1651" s="1">
        <f>HYPERLINK("https://eurofarma-latam-crm.veevavault.com/#object/account__v/V4TZ000018NYM1F", "Cesar Nadalutti")</f>
        <v/>
      </c>
      <c r="B1651" s="1">
        <f>HYPERLINK("https://eurofarma-latam-crm.veevavault.com/#object/account__v/V4TZ000018NYM1F", "Cesar Augusto Mendes Leite Nadalutti")</f>
        <v/>
      </c>
      <c r="C1651" t="inlineStr">
        <is>
          <t>RJ0505891</t>
        </is>
      </c>
      <c r="D1651" t="inlineStr">
        <is>
          <t>ORT</t>
        </is>
      </c>
      <c r="E1651" t="inlineStr">
        <is>
          <t>Rua Paulino Afonso, 455</t>
        </is>
      </c>
      <c r="F1651" t="inlineStr">
        <is>
          <t>Centro</t>
        </is>
      </c>
      <c r="G1651" t="inlineStr">
        <is>
          <t>Petrópolis</t>
        </is>
      </c>
      <c r="H1651" t="inlineStr">
        <is>
          <t>RJ</t>
        </is>
      </c>
      <c r="I1651" t="n">
        <v>7742</v>
      </c>
      <c r="J1651" t="inlineStr">
        <is>
          <t>CAT 3</t>
        </is>
      </c>
      <c r="K1651" t="inlineStr">
        <is>
          <t>Sim</t>
        </is>
      </c>
    </row>
    <row r="1652">
      <c r="A1652" s="1">
        <f>HYPERLINK("https://eurofarma-latam-crm.veevavault.com/#object/account__v/V4TZ00001913YLV", "Cezar de Souza")</f>
        <v/>
      </c>
      <c r="B1652" s="1">
        <f>HYPERLINK("https://eurofarma-latam-crm.veevavault.com/#object/account__v/V4TZ00001913YLV", "Cezar Serra de Souza")</f>
        <v/>
      </c>
      <c r="C1652" t="inlineStr">
        <is>
          <t>RJ0483755</t>
        </is>
      </c>
      <c r="D1652" t="inlineStr">
        <is>
          <t>CLG / PA</t>
        </is>
      </c>
      <c r="E1652" t="inlineStr">
        <is>
          <t>Rua Vicente de Lima Cleto, 296</t>
        </is>
      </c>
      <c r="F1652" t="inlineStr">
        <is>
          <t>Nova Cidade</t>
        </is>
      </c>
      <c r="G1652" t="inlineStr">
        <is>
          <t>São Gonçalo</t>
        </is>
      </c>
      <c r="H1652" t="inlineStr">
        <is>
          <t>RJ</t>
        </is>
      </c>
      <c r="I1652" t="n">
        <v>7742</v>
      </c>
      <c r="J1652" t="inlineStr">
        <is>
          <t>CAT 4</t>
        </is>
      </c>
      <c r="K1652" t="inlineStr">
        <is>
          <t>Sim</t>
        </is>
      </c>
    </row>
    <row r="1653">
      <c r="A1653" s="1">
        <f>HYPERLINK("https://eurofarma-latam-crm.veevavault.com/#object/account__v/V4TZ00001914LBA", "Christiane Romão")</f>
        <v/>
      </c>
      <c r="B1653" s="1">
        <f>HYPERLINK("https://eurofarma-latam-crm.veevavault.com/#object/account__v/V4TZ00001914LBA", "Christiane Auxiliadora Pereira Romão")</f>
        <v/>
      </c>
      <c r="C1653" t="inlineStr">
        <is>
          <t>RJ0623466</t>
        </is>
      </c>
      <c r="D1653" t="inlineStr">
        <is>
          <t>CLG</t>
        </is>
      </c>
      <c r="E1653" t="inlineStr">
        <is>
          <t>Avenida Lúcio Tomé Feteira, S/N</t>
        </is>
      </c>
      <c r="F1653" t="inlineStr">
        <is>
          <t>Vila Lage</t>
        </is>
      </c>
      <c r="G1653" t="inlineStr">
        <is>
          <t>São Gonçalo</t>
        </is>
      </c>
      <c r="H1653" t="inlineStr">
        <is>
          <t>RJ</t>
        </is>
      </c>
      <c r="I1653" t="n">
        <v>7742</v>
      </c>
      <c r="J1653" t="inlineStr">
        <is>
          <t>CAT 5</t>
        </is>
      </c>
      <c r="K1653" t="inlineStr">
        <is>
          <t>N�o</t>
        </is>
      </c>
    </row>
    <row r="1654">
      <c r="A1654" s="1">
        <f>HYPERLINK("https://eurofarma-latam-crm.veevavault.com/#object/account__v/V4TZ000018NY4RW", "Cintia Gomes")</f>
        <v/>
      </c>
      <c r="B1654" s="1">
        <f>HYPERLINK("https://eurofarma-latam-crm.veevavault.com/#object/account__v/V4TZ000018NY4RW", "Cintia Salles Gomes")</f>
        <v/>
      </c>
      <c r="C1654" t="inlineStr">
        <is>
          <t>RJ0626333</t>
        </is>
      </c>
      <c r="D1654" t="inlineStr">
        <is>
          <t>PED</t>
        </is>
      </c>
      <c r="E1654" t="inlineStr">
        <is>
          <t>Rua Paulo Barreto, 51</t>
        </is>
      </c>
      <c r="F1654" t="inlineStr">
        <is>
          <t>Botafogo</t>
        </is>
      </c>
      <c r="G1654" t="inlineStr">
        <is>
          <t>Rio de Janeiro</t>
        </is>
      </c>
      <c r="H1654" t="inlineStr">
        <is>
          <t>RJ</t>
        </is>
      </c>
      <c r="I1654" t="n">
        <v>7742</v>
      </c>
      <c r="J1654" t="inlineStr">
        <is>
          <t>CAT 5</t>
        </is>
      </c>
      <c r="K1654" t="inlineStr">
        <is>
          <t>N�o</t>
        </is>
      </c>
    </row>
    <row r="1655">
      <c r="A1655" s="1">
        <f>HYPERLINK("https://eurofarma-latam-crm.veevavault.com/#object/account__v/V4T00000001N083", "Claiber Henrique Souza")</f>
        <v/>
      </c>
      <c r="B1655" s="1">
        <f>HYPERLINK("https://eurofarma-latam-crm.veevavault.com/#object/account__v/V4T00000001N083", "Claiber Henrique da Silva Souza")</f>
        <v/>
      </c>
      <c r="C1655" t="inlineStr">
        <is>
          <t>RJ1414539</t>
        </is>
      </c>
      <c r="D1655" t="inlineStr">
        <is>
          <t>CLG / PA</t>
        </is>
      </c>
      <c r="E1655" t="inlineStr">
        <is>
          <t>Praça Estefania de Carvalho, 26</t>
        </is>
      </c>
      <c r="F1655" t="inlineStr">
        <is>
          <t>Zé Garoto</t>
        </is>
      </c>
      <c r="G1655" t="inlineStr">
        <is>
          <t>São Gonçalo</t>
        </is>
      </c>
      <c r="H1655" t="inlineStr">
        <is>
          <t>RJ</t>
        </is>
      </c>
      <c r="I1655" t="n">
        <v>7742</v>
      </c>
      <c r="J1655" t="inlineStr"/>
      <c r="K1655" t="inlineStr"/>
    </row>
    <row r="1656">
      <c r="A1656" s="1">
        <f>HYPERLINK("https://eurofarma-latam-crm.veevavault.com/#object/account__v/V4TZ000018NXTJA", "Claudia Cristina Vasconcelos")</f>
        <v/>
      </c>
      <c r="B1656" s="1">
        <f>HYPERLINK("https://eurofarma-latam-crm.veevavault.com/#object/account__v/V4TZ000018NXTJA", "Claudia Cristina Bione Martinez Vasconcelos")</f>
        <v/>
      </c>
      <c r="C1656" t="inlineStr">
        <is>
          <t>RJ0793973</t>
        </is>
      </c>
      <c r="D1656" t="inlineStr">
        <is>
          <t>GAS</t>
        </is>
      </c>
      <c r="E1656" t="inlineStr">
        <is>
          <t>Rua Conceicao, 37 - Sala 104</t>
        </is>
      </c>
      <c r="F1656" t="inlineStr">
        <is>
          <t>Centro</t>
        </is>
      </c>
      <c r="G1656" t="inlineStr">
        <is>
          <t>Rio Bonito</t>
        </is>
      </c>
      <c r="H1656" t="inlineStr">
        <is>
          <t>RJ</t>
        </is>
      </c>
      <c r="I1656" t="n">
        <v>7742</v>
      </c>
      <c r="J1656" t="inlineStr">
        <is>
          <t>CAT 4</t>
        </is>
      </c>
      <c r="K1656" t="inlineStr">
        <is>
          <t>Sim</t>
        </is>
      </c>
    </row>
    <row r="1657">
      <c r="A1657" s="1">
        <f>HYPERLINK("https://eurofarma-latam-crm.veevavault.com/#object/account__v/V4TZ000018NYR5J", "Claudia Peixoto")</f>
        <v/>
      </c>
      <c r="B1657" s="1">
        <f>HYPERLINK("https://eurofarma-latam-crm.veevavault.com/#object/account__v/V4TZ000018NYR5J", "Claudia Marcia da Silva Peixoto")</f>
        <v/>
      </c>
      <c r="C1657" t="inlineStr">
        <is>
          <t>RJ0562707</t>
        </is>
      </c>
      <c r="D1657" t="inlineStr">
        <is>
          <t>CLG</t>
        </is>
      </c>
      <c r="E1657" t="inlineStr">
        <is>
          <t>Rua Doutor Nilo Peçanha, 110 - 9 Andar 916</t>
        </is>
      </c>
      <c r="F1657" t="inlineStr">
        <is>
          <t>Centro</t>
        </is>
      </c>
      <c r="G1657" t="inlineStr">
        <is>
          <t>São Gonçalo</t>
        </is>
      </c>
      <c r="H1657" t="inlineStr">
        <is>
          <t>RJ</t>
        </is>
      </c>
      <c r="I1657" t="n">
        <v>7742</v>
      </c>
      <c r="J1657" t="inlineStr">
        <is>
          <t>CAT 5</t>
        </is>
      </c>
      <c r="K1657" t="inlineStr">
        <is>
          <t>N�o</t>
        </is>
      </c>
    </row>
    <row r="1658">
      <c r="A1658" s="1">
        <f>HYPERLINK("https://eurofarma-latam-crm.veevavault.com/#object/account__v/V4TZ000018NXURN", "Claudia Pillar")</f>
        <v/>
      </c>
      <c r="B1658" s="1">
        <f>HYPERLINK("https://eurofarma-latam-crm.veevavault.com/#object/account__v/V4TZ000018NXURN", "Claudia Baptista Pillar")</f>
        <v/>
      </c>
      <c r="C1658" t="inlineStr">
        <is>
          <t>RJ0550868</t>
        </is>
      </c>
      <c r="D1658" t="inlineStr">
        <is>
          <t>CLG</t>
        </is>
      </c>
      <c r="E1658" t="inlineStr">
        <is>
          <t>Rua Salvatori, 40 - Apartamento</t>
        </is>
      </c>
      <c r="F1658" t="inlineStr">
        <is>
          <t>Centro</t>
        </is>
      </c>
      <c r="G1658" t="inlineStr">
        <is>
          <t>São Gonçalo</t>
        </is>
      </c>
      <c r="H1658" t="inlineStr">
        <is>
          <t>RJ</t>
        </is>
      </c>
      <c r="I1658" t="n">
        <v>7742</v>
      </c>
      <c r="J1658" t="inlineStr">
        <is>
          <t>CAT 5</t>
        </is>
      </c>
      <c r="K1658" t="inlineStr">
        <is>
          <t>Sim</t>
        </is>
      </c>
    </row>
    <row r="1659">
      <c r="A1659" s="1">
        <f>HYPERLINK("https://eurofarma-latam-crm.veevavault.com/#object/account__v/V4TZ00001913Z0H", "Claudio Cardoso")</f>
        <v/>
      </c>
      <c r="B1659" s="1">
        <f>HYPERLINK("https://eurofarma-latam-crm.veevavault.com/#object/account__v/V4TZ00001913Z0H", "Claudio Pinheiro Cardoso")</f>
        <v/>
      </c>
      <c r="C1659" t="inlineStr">
        <is>
          <t>RJ0303365</t>
        </is>
      </c>
      <c r="D1659" t="inlineStr">
        <is>
          <t>ORT</t>
        </is>
      </c>
      <c r="E1659" t="inlineStr">
        <is>
          <t>Avenida Presidente Kennedy, 735 - Sobre Loja 135</t>
        </is>
      </c>
      <c r="F1659" t="inlineStr">
        <is>
          <t>Centro</t>
        </is>
      </c>
      <c r="G1659" t="inlineStr">
        <is>
          <t>São Gonçalo</t>
        </is>
      </c>
      <c r="H1659" t="inlineStr">
        <is>
          <t>RJ</t>
        </is>
      </c>
      <c r="I1659" t="n">
        <v>7742</v>
      </c>
      <c r="J1659" t="inlineStr">
        <is>
          <t>CAT 5</t>
        </is>
      </c>
      <c r="K1659" t="inlineStr">
        <is>
          <t>Sim</t>
        </is>
      </c>
    </row>
    <row r="1660">
      <c r="A1660" s="1">
        <f>HYPERLINK("https://eurofarma-latam-crm.veevavault.com/#object/account__v/V4TZ00001913QDD", "Claudio Junqueira")</f>
        <v/>
      </c>
      <c r="B1660" s="1">
        <f>HYPERLINK("https://eurofarma-latam-crm.veevavault.com/#object/account__v/V4TZ00001913QDD", "Claudio Monteiro de Barros Arantes Junqueira")</f>
        <v/>
      </c>
      <c r="C1660" t="inlineStr">
        <is>
          <t>RJ0533516</t>
        </is>
      </c>
      <c r="D1660" t="inlineStr">
        <is>
          <t>ORT</t>
        </is>
      </c>
      <c r="E1660" t="inlineStr">
        <is>
          <t>Rua Ana Neri, 190</t>
        </is>
      </c>
      <c r="F1660" t="inlineStr">
        <is>
          <t>Jardim Vinte e Cinco de Agosto</t>
        </is>
      </c>
      <c r="G1660" t="inlineStr">
        <is>
          <t>Duque de Caxias</t>
        </is>
      </c>
      <c r="H1660" t="inlineStr">
        <is>
          <t>RJ</t>
        </is>
      </c>
      <c r="I1660" t="n">
        <v>7742</v>
      </c>
      <c r="J1660" t="inlineStr">
        <is>
          <t>CAT 5</t>
        </is>
      </c>
      <c r="K1660" t="inlineStr">
        <is>
          <t>Sim</t>
        </is>
      </c>
    </row>
    <row r="1661">
      <c r="A1661" s="1">
        <f>HYPERLINK("https://eurofarma-latam-crm.veevavault.com/#object/account__v/V4TZ00001913C88", "Clovis Cavalcanti")</f>
        <v/>
      </c>
      <c r="B1661" s="1">
        <f>HYPERLINK("https://eurofarma-latam-crm.veevavault.com/#object/account__v/V4TZ00001913C88", "Clovis Abrahim Cavalcanti")</f>
        <v/>
      </c>
      <c r="C1661" t="inlineStr">
        <is>
          <t>RJ0029562</t>
        </is>
      </c>
      <c r="D1661" t="inlineStr">
        <is>
          <t>PED</t>
        </is>
      </c>
      <c r="E1661" t="inlineStr">
        <is>
          <t>Avenida Ernani do Amaral Peixoto, 169 - 8 Andar</t>
        </is>
      </c>
      <c r="F1661" t="inlineStr">
        <is>
          <t>Centro</t>
        </is>
      </c>
      <c r="G1661" t="inlineStr">
        <is>
          <t>Niterói</t>
        </is>
      </c>
      <c r="H1661" t="inlineStr">
        <is>
          <t>RJ</t>
        </is>
      </c>
      <c r="I1661" t="n">
        <v>7742</v>
      </c>
      <c r="J1661" t="inlineStr">
        <is>
          <t>CAT 5</t>
        </is>
      </c>
      <c r="K1661" t="inlineStr">
        <is>
          <t>N�o</t>
        </is>
      </c>
    </row>
    <row r="1662">
      <c r="A1662" s="1">
        <f>HYPERLINK("https://eurofarma-latam-crm.veevavault.com/#object/account__v/V4TZ000018NYNIO", "Consuelo Santos")</f>
        <v/>
      </c>
      <c r="B1662" s="1">
        <f>HYPERLINK("https://eurofarma-latam-crm.veevavault.com/#object/account__v/V4TZ000018NYNIO", "Consuelo da Rocha Santos")</f>
        <v/>
      </c>
      <c r="C1662" t="inlineStr">
        <is>
          <t>RJ0483471</t>
        </is>
      </c>
      <c r="D1662" t="inlineStr">
        <is>
          <t>NEU</t>
        </is>
      </c>
      <c r="E1662" t="inlineStr">
        <is>
          <t>Rua Salvatori, 40 - Sala 1204</t>
        </is>
      </c>
      <c r="F1662" t="inlineStr">
        <is>
          <t>Centro</t>
        </is>
      </c>
      <c r="G1662" t="inlineStr">
        <is>
          <t>São Gonçalo</t>
        </is>
      </c>
      <c r="H1662" t="inlineStr">
        <is>
          <t>RJ</t>
        </is>
      </c>
      <c r="I1662" t="n">
        <v>7742</v>
      </c>
      <c r="J1662" t="inlineStr">
        <is>
          <t>CAT 2</t>
        </is>
      </c>
      <c r="K1662" t="inlineStr">
        <is>
          <t>Sim</t>
        </is>
      </c>
    </row>
    <row r="1663">
      <c r="A1663" s="1">
        <f>HYPERLINK("https://eurofarma-latam-crm.veevavault.com/#object/account__v/V4TZ000019144CE", "Cristina Paiva")</f>
        <v/>
      </c>
      <c r="B1663" s="1">
        <f>HYPERLINK("https://eurofarma-latam-crm.veevavault.com/#object/account__v/V4TZ000019144CE", "Cristina Oliveira Paiva")</f>
        <v/>
      </c>
      <c r="C1663" t="inlineStr">
        <is>
          <t>RJ0767018</t>
        </is>
      </c>
      <c r="D1663" t="inlineStr">
        <is>
          <t>PSQ</t>
        </is>
      </c>
      <c r="E1663" t="inlineStr">
        <is>
          <t>Rua Coronel Rodrigues, 422 - Sala 905</t>
        </is>
      </c>
      <c r="F1663" t="inlineStr">
        <is>
          <t>Centro</t>
        </is>
      </c>
      <c r="G1663" t="inlineStr">
        <is>
          <t>São Gonçalo</t>
        </is>
      </c>
      <c r="H1663" t="inlineStr">
        <is>
          <t>RJ</t>
        </is>
      </c>
      <c r="I1663" t="n">
        <v>7742</v>
      </c>
      <c r="J1663" t="inlineStr">
        <is>
          <t>CAT 1</t>
        </is>
      </c>
      <c r="K1663" t="inlineStr">
        <is>
          <t>Sim</t>
        </is>
      </c>
    </row>
    <row r="1664">
      <c r="A1664" s="1">
        <f>HYPERLINK("https://eurofarma-latam-crm.veevavault.com/#object/account__v/V4TZ00001913006", "Cristina Rabello")</f>
        <v/>
      </c>
      <c r="B1664" s="1">
        <f>HYPERLINK("https://eurofarma-latam-crm.veevavault.com/#object/account__v/V4TZ00001913006", "Cristina Pillar Rabello")</f>
        <v/>
      </c>
      <c r="C1664" t="inlineStr">
        <is>
          <t>RJ0502272</t>
        </is>
      </c>
      <c r="D1664" t="inlineStr">
        <is>
          <t>PED</t>
        </is>
      </c>
      <c r="E1664" t="inlineStr">
        <is>
          <t>Rua Marquês de Paraná, 233</t>
        </is>
      </c>
      <c r="F1664" t="inlineStr">
        <is>
          <t>Centro</t>
        </is>
      </c>
      <c r="G1664" t="inlineStr">
        <is>
          <t>Niterói</t>
        </is>
      </c>
      <c r="H1664" t="inlineStr">
        <is>
          <t>RJ</t>
        </is>
      </c>
      <c r="I1664" t="n">
        <v>7742</v>
      </c>
      <c r="J1664" t="inlineStr">
        <is>
          <t>CAT 4</t>
        </is>
      </c>
      <c r="K1664" t="inlineStr">
        <is>
          <t>Sim</t>
        </is>
      </c>
    </row>
    <row r="1665">
      <c r="A1665" s="1">
        <f>HYPERLINK("https://eurofarma-latam-crm.veevavault.com/#object/account__v/V4TZ000018NYCJ4", "Cynthia Troise")</f>
        <v/>
      </c>
      <c r="B1665" s="1">
        <f>HYPERLINK("https://eurofarma-latam-crm.veevavault.com/#object/account__v/V4TZ000018NYCJ4", "Cynthia de Sa Troise")</f>
        <v/>
      </c>
      <c r="C1665" t="inlineStr">
        <is>
          <t>RJ0430500</t>
        </is>
      </c>
      <c r="D1665" t="inlineStr">
        <is>
          <t>PED</t>
        </is>
      </c>
      <c r="E1665" t="inlineStr">
        <is>
          <t>Rua Doutor Nilo Peçanha, 232</t>
        </is>
      </c>
      <c r="F1665" t="inlineStr">
        <is>
          <t>Centro</t>
        </is>
      </c>
      <c r="G1665" t="inlineStr">
        <is>
          <t>São Gonçalo</t>
        </is>
      </c>
      <c r="H1665" t="inlineStr">
        <is>
          <t>RJ</t>
        </is>
      </c>
      <c r="I1665" t="n">
        <v>7742</v>
      </c>
      <c r="J1665" t="inlineStr">
        <is>
          <t>CAT 4</t>
        </is>
      </c>
      <c r="K1665" t="inlineStr">
        <is>
          <t>Sim</t>
        </is>
      </c>
    </row>
    <row r="1666">
      <c r="A1666" s="1">
        <f>HYPERLINK("https://eurofarma-latam-crm.veevavault.com/#object/account__v/V4TZ0000191NAXM", "Daniel Caetano")</f>
        <v/>
      </c>
      <c r="B1666" s="1">
        <f>HYPERLINK("https://eurofarma-latam-crm.veevavault.com/#object/account__v/V4TZ0000191NAXM", "Daniel Ábner Paiva Caetano")</f>
        <v/>
      </c>
      <c r="C1666" t="inlineStr">
        <is>
          <t>RJ1167480</t>
        </is>
      </c>
      <c r="D1666" t="inlineStr">
        <is>
          <t>CLG / PA</t>
        </is>
      </c>
      <c r="E1666" t="inlineStr">
        <is>
          <t>Rua Doutor Nilo Peçanha, 232</t>
        </is>
      </c>
      <c r="F1666" t="inlineStr">
        <is>
          <t>Centro</t>
        </is>
      </c>
      <c r="G1666" t="inlineStr">
        <is>
          <t>São Gonçalo</t>
        </is>
      </c>
      <c r="H1666" t="inlineStr">
        <is>
          <t>RJ</t>
        </is>
      </c>
      <c r="I1666" t="n">
        <v>7742</v>
      </c>
      <c r="J1666" t="inlineStr">
        <is>
          <t>CAT 5</t>
        </is>
      </c>
      <c r="K1666" t="inlineStr">
        <is>
          <t>N�o</t>
        </is>
      </c>
    </row>
    <row r="1667">
      <c r="A1667" s="1">
        <f>HYPERLINK("https://eurofarma-latam-crm.veevavault.com/#object/account__v/V4TZ0000191429L", "Danilo Pontes")</f>
        <v/>
      </c>
      <c r="B1667" s="1">
        <f>HYPERLINK("https://eurofarma-latam-crm.veevavault.com/#object/account__v/V4TZ0000191429L", "Danilo Araujo Pontes")</f>
        <v/>
      </c>
      <c r="C1667" t="inlineStr">
        <is>
          <t>RJ1170660</t>
        </is>
      </c>
      <c r="D1667" t="inlineStr">
        <is>
          <t>CLG / PA</t>
        </is>
      </c>
      <c r="E1667" t="inlineStr">
        <is>
          <t>Rodovia BR-493, S/N</t>
        </is>
      </c>
      <c r="F1667" t="inlineStr">
        <is>
          <t>Centro (Manilha)</t>
        </is>
      </c>
      <c r="G1667" t="inlineStr">
        <is>
          <t>Itaboraí</t>
        </is>
      </c>
      <c r="H1667" t="inlineStr">
        <is>
          <t>RJ</t>
        </is>
      </c>
      <c r="I1667" t="n">
        <v>7742</v>
      </c>
      <c r="J1667" t="inlineStr">
        <is>
          <t>CAT 4</t>
        </is>
      </c>
      <c r="K1667" t="inlineStr">
        <is>
          <t>Sim</t>
        </is>
      </c>
    </row>
    <row r="1668">
      <c r="A1668" s="1">
        <f>HYPERLINK("https://eurofarma-latam-crm.veevavault.com/#object/account__v/V4T00000000H005", "Davi Abreu")</f>
        <v/>
      </c>
      <c r="B1668" s="1">
        <f>HYPERLINK("https://eurofarma-latam-crm.veevavault.com/#object/account__v/V4T00000000H005", "Davi Gomes De Menezes Abreu")</f>
        <v/>
      </c>
      <c r="C1668" t="inlineStr">
        <is>
          <t>RJ1382952</t>
        </is>
      </c>
      <c r="D1668" t="inlineStr">
        <is>
          <t>CLG / PA</t>
        </is>
      </c>
      <c r="E1668" t="inlineStr">
        <is>
          <t>Praça Estefania de Carvalho, 26</t>
        </is>
      </c>
      <c r="F1668" t="inlineStr">
        <is>
          <t>Zé Garoto</t>
        </is>
      </c>
      <c r="G1668" t="inlineStr">
        <is>
          <t>São Gonçalo</t>
        </is>
      </c>
      <c r="H1668" t="inlineStr">
        <is>
          <t>RJ</t>
        </is>
      </c>
      <c r="I1668" t="n">
        <v>7742</v>
      </c>
      <c r="J1668" t="inlineStr"/>
      <c r="K1668" t="inlineStr"/>
    </row>
    <row r="1669">
      <c r="A1669" s="1">
        <f>HYPERLINK("https://eurofarma-latam-crm.veevavault.com/#object/account__v/V4TZ025E887LZUN", "Débora Maria Ferreira")</f>
        <v/>
      </c>
      <c r="B1669" s="1">
        <f>HYPERLINK("https://eurofarma-latam-crm.veevavault.com/#object/account__v/V4TZ025E887LZUN", "Débora Maria Bernardo Ferreira")</f>
        <v/>
      </c>
      <c r="C1669" t="inlineStr">
        <is>
          <t>PE0037149,RJ1397259</t>
        </is>
      </c>
      <c r="D1669" t="inlineStr">
        <is>
          <t>CLG / PA</t>
        </is>
      </c>
      <c r="E1669" t="inlineStr">
        <is>
          <t>Rua Vicente de Lima Cleto, 296</t>
        </is>
      </c>
      <c r="F1669" t="inlineStr">
        <is>
          <t>Nova Cidade</t>
        </is>
      </c>
      <c r="G1669" t="inlineStr">
        <is>
          <t>São Gonçalo</t>
        </is>
      </c>
      <c r="H1669" t="inlineStr">
        <is>
          <t>RJ</t>
        </is>
      </c>
      <c r="I1669" t="n">
        <v>7742</v>
      </c>
      <c r="J1669" t="inlineStr"/>
      <c r="K1669" t="inlineStr"/>
    </row>
    <row r="1670">
      <c r="A1670" s="1">
        <f>HYPERLINK("https://eurofarma-latam-crm.veevavault.com/#object/account__v/V4TZ000018NY309", "Débora Migueis")</f>
        <v/>
      </c>
      <c r="B1670" s="1">
        <f>HYPERLINK("https://eurofarma-latam-crm.veevavault.com/#object/account__v/V4TZ000018NY309", "Débora Petrungaro Migueis")</f>
        <v/>
      </c>
      <c r="C1670" t="inlineStr">
        <is>
          <t>RJ0896322</t>
        </is>
      </c>
      <c r="D1670" t="inlineStr">
        <is>
          <t>ORL</t>
        </is>
      </c>
      <c r="E1670" t="inlineStr">
        <is>
          <t>Rua Padre Elías Gorayeb, 40</t>
        </is>
      </c>
      <c r="F1670" t="inlineStr">
        <is>
          <t>Tijuca</t>
        </is>
      </c>
      <c r="G1670" t="inlineStr">
        <is>
          <t>Rio de Janeiro</t>
        </is>
      </c>
      <c r="H1670" t="inlineStr">
        <is>
          <t>RJ</t>
        </is>
      </c>
      <c r="I1670" t="n">
        <v>7742</v>
      </c>
      <c r="J1670" t="inlineStr">
        <is>
          <t>CAT 5</t>
        </is>
      </c>
      <c r="K1670" t="inlineStr">
        <is>
          <t>Sim</t>
        </is>
      </c>
    </row>
    <row r="1671">
      <c r="A1671" s="1">
        <f>HYPERLINK("https://eurofarma-latam-crm.veevavault.com/#object/account__v/V4TZ00001915F99", "Delfio Zambrotti")</f>
        <v/>
      </c>
      <c r="B1671" s="1">
        <f>HYPERLINK("https://eurofarma-latam-crm.veevavault.com/#object/account__v/V4TZ00001915F99", "Delfio Brandao Zambrotti")</f>
        <v/>
      </c>
      <c r="C1671" t="inlineStr">
        <is>
          <t>RJ0019486</t>
        </is>
      </c>
      <c r="D1671" t="inlineStr">
        <is>
          <t>ORL</t>
        </is>
      </c>
      <c r="E1671" t="inlineStr"/>
      <c r="F1671" t="inlineStr"/>
      <c r="G1671" t="inlineStr"/>
      <c r="H1671" t="inlineStr"/>
      <c r="I1671" t="n">
        <v>7742</v>
      </c>
      <c r="J1671" t="inlineStr">
        <is>
          <t>CAT 3</t>
        </is>
      </c>
      <c r="K1671" t="inlineStr">
        <is>
          <t>Sim</t>
        </is>
      </c>
    </row>
    <row r="1672">
      <c r="A1672" s="1">
        <f>HYPERLINK("https://eurofarma-latam-crm.veevavault.com/#object/account__v/V4TZ025E8ENL421", "Dennis Nyaga")</f>
        <v/>
      </c>
      <c r="B1672" s="1">
        <f>HYPERLINK("https://eurofarma-latam-crm.veevavault.com/#object/account__v/V4TZ025E8ENL421", "Dennis Kirii Nyaga")</f>
        <v/>
      </c>
      <c r="C1672" t="inlineStr">
        <is>
          <t>RJ1320122</t>
        </is>
      </c>
      <c r="D1672" t="inlineStr">
        <is>
          <t>PED</t>
        </is>
      </c>
      <c r="E1672" t="inlineStr">
        <is>
          <t>Avenida Bispo Dom João da Mata, S/N</t>
        </is>
      </c>
      <c r="F1672" t="inlineStr">
        <is>
          <t>Laranjal</t>
        </is>
      </c>
      <c r="G1672" t="inlineStr">
        <is>
          <t>São Gonçalo</t>
        </is>
      </c>
      <c r="H1672" t="inlineStr">
        <is>
          <t>RJ</t>
        </is>
      </c>
      <c r="I1672" t="n">
        <v>7742</v>
      </c>
      <c r="J1672" t="inlineStr">
        <is>
          <t>CAT 5</t>
        </is>
      </c>
      <c r="K1672" t="inlineStr">
        <is>
          <t>Sim</t>
        </is>
      </c>
    </row>
    <row r="1673">
      <c r="A1673" s="1">
        <f>HYPERLINK("https://eurofarma-latam-crm.veevavault.com/#object/account__v/V4TZ000018NY07W", "Deocacina Vicente")</f>
        <v/>
      </c>
      <c r="B1673" s="1">
        <f>HYPERLINK("https://eurofarma-latam-crm.veevavault.com/#object/account__v/V4TZ000018NY07W", "Deocacina de Carvalho Vicente")</f>
        <v/>
      </c>
      <c r="C1673" t="inlineStr">
        <is>
          <t>RJ0652067</t>
        </is>
      </c>
      <c r="D1673" t="inlineStr">
        <is>
          <t>PED</t>
        </is>
      </c>
      <c r="E1673" t="inlineStr">
        <is>
          <t>Rua Tiradentes, 12-18</t>
        </is>
      </c>
      <c r="F1673" t="inlineStr">
        <is>
          <t>Ingá</t>
        </is>
      </c>
      <c r="G1673" t="inlineStr">
        <is>
          <t>Niterói</t>
        </is>
      </c>
      <c r="H1673" t="inlineStr">
        <is>
          <t>RJ</t>
        </is>
      </c>
      <c r="I1673" t="n">
        <v>7742</v>
      </c>
      <c r="J1673" t="inlineStr">
        <is>
          <t>CAT 4</t>
        </is>
      </c>
      <c r="K1673" t="inlineStr">
        <is>
          <t>Sim</t>
        </is>
      </c>
    </row>
    <row r="1674">
      <c r="A1674" s="1">
        <f>HYPERLINK("https://eurofarma-latam-crm.veevavault.com/#object/account__v/V4TZ00001915F62", "Diego Fernandes")</f>
        <v/>
      </c>
      <c r="B1674" s="1">
        <f>HYPERLINK("https://eurofarma-latam-crm.veevavault.com/#object/account__v/V4TZ00001915F62", "Diego Cardoso Fernandes")</f>
        <v/>
      </c>
      <c r="C1674" t="inlineStr">
        <is>
          <t>RJ0896462</t>
        </is>
      </c>
      <c r="D1674" t="inlineStr">
        <is>
          <t>ORT</t>
        </is>
      </c>
      <c r="E1674" t="inlineStr">
        <is>
          <t>Rua Doutor Nilo Peçanha, 232</t>
        </is>
      </c>
      <c r="F1674" t="inlineStr">
        <is>
          <t>Centro</t>
        </is>
      </c>
      <c r="G1674" t="inlineStr">
        <is>
          <t>São Gonçalo</t>
        </is>
      </c>
      <c r="H1674" t="inlineStr">
        <is>
          <t>RJ</t>
        </is>
      </c>
      <c r="I1674" t="n">
        <v>7742</v>
      </c>
      <c r="J1674" t="inlineStr">
        <is>
          <t>CAT 4</t>
        </is>
      </c>
      <c r="K1674" t="inlineStr">
        <is>
          <t>N�o</t>
        </is>
      </c>
    </row>
    <row r="1675">
      <c r="A1675" s="1">
        <f>HYPERLINK("https://eurofarma-latam-crm.veevavault.com/#object/account__v/V4TZ000018NYPQD", "Diogo Valente")</f>
        <v/>
      </c>
      <c r="B1675" s="1">
        <f>HYPERLINK("https://eurofarma-latam-crm.veevavault.com/#object/account__v/V4TZ000018NYPQD", "Diogo Nery Valente")</f>
        <v/>
      </c>
      <c r="C1675" t="inlineStr">
        <is>
          <t>RJ0870005</t>
        </is>
      </c>
      <c r="D1675" t="inlineStr">
        <is>
          <t>ORT</t>
        </is>
      </c>
      <c r="E1675" t="inlineStr">
        <is>
          <t>Rua Santa Clara, 50 - Sala 801</t>
        </is>
      </c>
      <c r="F1675" t="inlineStr">
        <is>
          <t>Copacabana</t>
        </is>
      </c>
      <c r="G1675" t="inlineStr">
        <is>
          <t>Rio de Janeiro</t>
        </is>
      </c>
      <c r="H1675" t="inlineStr">
        <is>
          <t>RJ</t>
        </is>
      </c>
      <c r="I1675" t="n">
        <v>7742</v>
      </c>
      <c r="J1675" t="inlineStr">
        <is>
          <t>CAT 4</t>
        </is>
      </c>
      <c r="K1675" t="inlineStr">
        <is>
          <t>Sim</t>
        </is>
      </c>
    </row>
    <row r="1676">
      <c r="A1676" s="1">
        <f>HYPERLINK("https://eurofarma-latam-crm.veevavault.com/#object/account__v/V4T00000001L100", "Djenifer Stefhane de Melo Netto")</f>
        <v/>
      </c>
      <c r="B1676" s="1">
        <f>HYPERLINK("https://eurofarma-latam-crm.veevavault.com/#object/account__v/V4T00000001L100", "Djenifer Stefhane de Melo Netto")</f>
        <v/>
      </c>
      <c r="C1676" t="inlineStr">
        <is>
          <t>RJ1407756</t>
        </is>
      </c>
      <c r="D1676" t="inlineStr">
        <is>
          <t>CLG / PA</t>
        </is>
      </c>
      <c r="E1676" t="inlineStr">
        <is>
          <t>Praça Estefania de Carvalho, 26</t>
        </is>
      </c>
      <c r="F1676" t="inlineStr">
        <is>
          <t>Zé Garoto</t>
        </is>
      </c>
      <c r="G1676" t="inlineStr">
        <is>
          <t>São Gonçalo</t>
        </is>
      </c>
      <c r="H1676" t="inlineStr">
        <is>
          <t>RJ</t>
        </is>
      </c>
      <c r="I1676" t="n">
        <v>7742</v>
      </c>
      <c r="J1676" t="inlineStr"/>
      <c r="K1676" t="inlineStr"/>
    </row>
    <row r="1677">
      <c r="A1677" s="1">
        <f>HYPERLINK("https://eurofarma-latam-crm.veevavault.com/#object/account__v/V4TZ000018NXWUS", "Eduardo de Vasconcellos")</f>
        <v/>
      </c>
      <c r="B1677" s="1">
        <f>HYPERLINK("https://eurofarma-latam-crm.veevavault.com/#object/account__v/V4TZ000018NXWUS", "Eduardo Meira de Vasconcellos")</f>
        <v/>
      </c>
      <c r="C1677" t="inlineStr">
        <is>
          <t>RJ0754188</t>
        </is>
      </c>
      <c r="D1677" t="inlineStr">
        <is>
          <t>CLG</t>
        </is>
      </c>
      <c r="E1677" t="inlineStr">
        <is>
          <t>Rua Doutor Feliciano Sodré, 78 - Sala 1111</t>
        </is>
      </c>
      <c r="F1677" t="inlineStr">
        <is>
          <t>Centro</t>
        </is>
      </c>
      <c r="G1677" t="inlineStr">
        <is>
          <t>São Gonçalo</t>
        </is>
      </c>
      <c r="H1677" t="inlineStr">
        <is>
          <t>RJ</t>
        </is>
      </c>
      <c r="I1677" t="n">
        <v>7742</v>
      </c>
      <c r="J1677" t="inlineStr">
        <is>
          <t>CAT 5</t>
        </is>
      </c>
      <c r="K1677" t="inlineStr">
        <is>
          <t>Sim</t>
        </is>
      </c>
    </row>
    <row r="1678">
      <c r="A1678" s="1">
        <f>HYPERLINK("https://eurofarma-latam-crm.veevavault.com/#object/account__v/V4TZ000019157WL", "Eliane Antonio")</f>
        <v/>
      </c>
      <c r="B1678" s="1">
        <f>HYPERLINK("https://eurofarma-latam-crm.veevavault.com/#object/account__v/V4TZ000019157WL", "Eliane Carvalhido Antonio")</f>
        <v/>
      </c>
      <c r="C1678" t="inlineStr">
        <is>
          <t>RJ0437293</t>
        </is>
      </c>
      <c r="D1678" t="inlineStr">
        <is>
          <t>PED</t>
        </is>
      </c>
      <c r="E1678" t="inlineStr">
        <is>
          <t>Rua Cel Serrado, 636</t>
        </is>
      </c>
      <c r="F1678" t="inlineStr">
        <is>
          <t>Zé Garoto</t>
        </is>
      </c>
      <c r="G1678" t="inlineStr">
        <is>
          <t>São Gonçalo</t>
        </is>
      </c>
      <c r="H1678" t="inlineStr">
        <is>
          <t>RJ</t>
        </is>
      </c>
      <c r="I1678" t="n">
        <v>7742</v>
      </c>
      <c r="J1678" t="inlineStr">
        <is>
          <t>CAT 5</t>
        </is>
      </c>
      <c r="K1678" t="inlineStr">
        <is>
          <t>Sim</t>
        </is>
      </c>
    </row>
    <row r="1679">
      <c r="A1679" s="1">
        <f>HYPERLINK("https://eurofarma-latam-crm.veevavault.com/#object/account__v/V4TZ00001912ZZM", "Eliane Coco")</f>
        <v/>
      </c>
      <c r="B1679" s="1">
        <f>HYPERLINK("https://eurofarma-latam-crm.veevavault.com/#object/account__v/V4TZ00001912ZZM", "Eliane Ribeiro Coco")</f>
        <v/>
      </c>
      <c r="C1679" t="inlineStr">
        <is>
          <t>RJ0560074</t>
        </is>
      </c>
      <c r="D1679" t="inlineStr">
        <is>
          <t>GER</t>
        </is>
      </c>
      <c r="E1679" t="inlineStr">
        <is>
          <t>Rua Deputado Ampliato Cabral, 405 - Bloco I Azul - 6 e 7 Andar</t>
        </is>
      </c>
      <c r="F1679" t="inlineStr">
        <is>
          <t>Jardim Vinte e Cinco de Agosto</t>
        </is>
      </c>
      <c r="G1679" t="inlineStr">
        <is>
          <t>Duque de Caxias</t>
        </is>
      </c>
      <c r="H1679" t="inlineStr">
        <is>
          <t>RJ</t>
        </is>
      </c>
      <c r="I1679" t="n">
        <v>7742</v>
      </c>
      <c r="J1679" t="inlineStr">
        <is>
          <t>CAT 4</t>
        </is>
      </c>
      <c r="K1679" t="inlineStr">
        <is>
          <t>N�o</t>
        </is>
      </c>
    </row>
    <row r="1680">
      <c r="A1680" s="1">
        <f>HYPERLINK("https://eurofarma-latam-crm.veevavault.com/#object/account__v/V4TZ00001912XRY", "Eliane Mendes")</f>
        <v/>
      </c>
      <c r="B1680" s="1">
        <f>HYPERLINK("https://eurofarma-latam-crm.veevavault.com/#object/account__v/V4TZ00001912XRY", "Eliane Ximenes Vieira Mendes")</f>
        <v/>
      </c>
      <c r="C1680" t="inlineStr">
        <is>
          <t>RJ0304169</t>
        </is>
      </c>
      <c r="D1680" t="inlineStr">
        <is>
          <t>CLG</t>
        </is>
      </c>
      <c r="E1680" t="inlineStr">
        <is>
          <t>Rua Doutor Francisco Portela, 2645 - Parte</t>
        </is>
      </c>
      <c r="F1680" t="inlineStr">
        <is>
          <t>Patronato</t>
        </is>
      </c>
      <c r="G1680" t="inlineStr">
        <is>
          <t>São Gonçalo</t>
        </is>
      </c>
      <c r="H1680" t="inlineStr">
        <is>
          <t>RJ</t>
        </is>
      </c>
      <c r="I1680" t="n">
        <v>7742</v>
      </c>
      <c r="J1680" t="inlineStr">
        <is>
          <t>CAT 3</t>
        </is>
      </c>
      <c r="K1680" t="inlineStr">
        <is>
          <t>Sim</t>
        </is>
      </c>
    </row>
    <row r="1681">
      <c r="A1681" s="1">
        <f>HYPERLINK("https://eurofarma-latam-crm.veevavault.com/#object/account__v/V4TZ000018NY0MH", "Elida Torres")</f>
        <v/>
      </c>
      <c r="B1681" s="1">
        <f>HYPERLINK("https://eurofarma-latam-crm.veevavault.com/#object/account__v/V4TZ000018NY0MH", "Elida de Matos Leite Torres")</f>
        <v/>
      </c>
      <c r="C1681" t="inlineStr">
        <is>
          <t>RJ0752142</t>
        </is>
      </c>
      <c r="D1681" t="inlineStr">
        <is>
          <t>CLG</t>
        </is>
      </c>
      <c r="E1681" t="inlineStr">
        <is>
          <t>Avenida Presidente Kennedy, 735 - Salas 301 e 109 Lote B1</t>
        </is>
      </c>
      <c r="F1681" t="inlineStr">
        <is>
          <t>Estrela do Norte</t>
        </is>
      </c>
      <c r="G1681" t="inlineStr">
        <is>
          <t>São Gonçalo</t>
        </is>
      </c>
      <c r="H1681" t="inlineStr">
        <is>
          <t>RJ</t>
        </is>
      </c>
      <c r="I1681" t="n">
        <v>7742</v>
      </c>
      <c r="J1681" t="inlineStr">
        <is>
          <t>CAT 5</t>
        </is>
      </c>
      <c r="K1681" t="inlineStr">
        <is>
          <t>N�o</t>
        </is>
      </c>
    </row>
    <row r="1682">
      <c r="A1682" s="1">
        <f>HYPERLINK("https://eurofarma-latam-crm.veevavault.com/#object/account__v/V4TZ000018NYIN7", "Eliezer Feitoza")</f>
        <v/>
      </c>
      <c r="B1682" s="1">
        <f>HYPERLINK("https://eurofarma-latam-crm.veevavault.com/#object/account__v/V4TZ000018NYIN7", "Eliezer Alves Feitoza")</f>
        <v/>
      </c>
      <c r="C1682" t="inlineStr">
        <is>
          <t>RJ0468371</t>
        </is>
      </c>
      <c r="D1682" t="inlineStr">
        <is>
          <t>CLG</t>
        </is>
      </c>
      <c r="E1682" t="inlineStr">
        <is>
          <t>Alameda Pio XII, S/N</t>
        </is>
      </c>
      <c r="F1682" t="inlineStr">
        <is>
          <t>Centro</t>
        </is>
      </c>
      <c r="G1682" t="inlineStr">
        <is>
          <t>São Gonçalo</t>
        </is>
      </c>
      <c r="H1682" t="inlineStr">
        <is>
          <t>RJ</t>
        </is>
      </c>
      <c r="I1682" t="n">
        <v>7742</v>
      </c>
      <c r="J1682" t="inlineStr">
        <is>
          <t>CAT 4</t>
        </is>
      </c>
      <c r="K1682" t="inlineStr">
        <is>
          <t>Sim</t>
        </is>
      </c>
    </row>
    <row r="1683">
      <c r="A1683" s="1">
        <f>HYPERLINK("https://eurofarma-latam-crm.veevavault.com/#object/account__v/V4TZ000018NYEST", "Elizabeth Rovedo")</f>
        <v/>
      </c>
      <c r="B1683" s="1">
        <f>HYPERLINK("https://eurofarma-latam-crm.veevavault.com/#object/account__v/V4TZ000018NYEST", "Elizabeth Lubianco Dias Rovedo")</f>
        <v/>
      </c>
      <c r="C1683" t="inlineStr">
        <is>
          <t>RJ0348280</t>
        </is>
      </c>
      <c r="D1683" t="inlineStr">
        <is>
          <t>PED</t>
        </is>
      </c>
      <c r="E1683" t="inlineStr">
        <is>
          <t>Rua Abílio José de Mattos, 1304</t>
        </is>
      </c>
      <c r="F1683" t="inlineStr">
        <is>
          <t>Porto da Pedra</t>
        </is>
      </c>
      <c r="G1683" t="inlineStr">
        <is>
          <t>São Gonçalo</t>
        </is>
      </c>
      <c r="H1683" t="inlineStr">
        <is>
          <t>RJ</t>
        </is>
      </c>
      <c r="I1683" t="n">
        <v>7742</v>
      </c>
      <c r="J1683" t="inlineStr">
        <is>
          <t>CAT 5</t>
        </is>
      </c>
      <c r="K1683" t="inlineStr">
        <is>
          <t>N�o</t>
        </is>
      </c>
    </row>
    <row r="1684">
      <c r="A1684" s="1">
        <f>HYPERLINK("https://eurofarma-latam-crm.veevavault.com/#object/account__v/V4TZ000018NXJ9X", "Emilia Accetta")</f>
        <v/>
      </c>
      <c r="B1684" s="1">
        <f>HYPERLINK("https://eurofarma-latam-crm.veevavault.com/#object/account__v/V4TZ000018NXJ9X", "Emilia Accetta")</f>
        <v/>
      </c>
      <c r="C1684" t="inlineStr">
        <is>
          <t>RJ0299706</t>
        </is>
      </c>
      <c r="D1684" t="inlineStr">
        <is>
          <t>PED</t>
        </is>
      </c>
      <c r="E1684" t="inlineStr">
        <is>
          <t>Rua Doutor Feliciano Sodré, 215 - Sala 911</t>
        </is>
      </c>
      <c r="F1684" t="inlineStr">
        <is>
          <t>Centro</t>
        </is>
      </c>
      <c r="G1684" t="inlineStr">
        <is>
          <t>São Gonçalo</t>
        </is>
      </c>
      <c r="H1684" t="inlineStr">
        <is>
          <t>RJ</t>
        </is>
      </c>
      <c r="I1684" t="n">
        <v>7742</v>
      </c>
      <c r="J1684" t="inlineStr">
        <is>
          <t>CAT 5</t>
        </is>
      </c>
      <c r="K1684" t="inlineStr">
        <is>
          <t>Sim</t>
        </is>
      </c>
    </row>
    <row r="1685">
      <c r="A1685" s="1">
        <f>HYPERLINK("https://eurofarma-latam-crm.veevavault.com/#object/account__v/V4TZ00001915CTJ", "Emily Soares")</f>
        <v/>
      </c>
      <c r="B1685" s="1">
        <f>HYPERLINK("https://eurofarma-latam-crm.veevavault.com/#object/account__v/V4TZ00001915CTJ", "Emily Quintino Soares")</f>
        <v/>
      </c>
      <c r="C1685" t="inlineStr">
        <is>
          <t>RJ1272241</t>
        </is>
      </c>
      <c r="D1685" t="inlineStr">
        <is>
          <t>ORL</t>
        </is>
      </c>
      <c r="E1685" t="inlineStr">
        <is>
          <t>Rua Marquês de Paraná, 303</t>
        </is>
      </c>
      <c r="F1685" t="inlineStr">
        <is>
          <t>Centro</t>
        </is>
      </c>
      <c r="G1685" t="inlineStr">
        <is>
          <t>Niterói</t>
        </is>
      </c>
      <c r="H1685" t="inlineStr">
        <is>
          <t>RJ</t>
        </is>
      </c>
      <c r="I1685" t="n">
        <v>7742</v>
      </c>
      <c r="J1685" t="inlineStr">
        <is>
          <t>CAT 5</t>
        </is>
      </c>
      <c r="K1685" t="inlineStr">
        <is>
          <t>Sim</t>
        </is>
      </c>
    </row>
    <row r="1686">
      <c r="A1686" s="1">
        <f>HYPERLINK("https://eurofarma-latam-crm.veevavault.com/#object/account__v/V4TZ025E89NJI61", "Emmily Domingues")</f>
        <v/>
      </c>
      <c r="B1686" s="1">
        <f>HYPERLINK("https://eurofarma-latam-crm.veevavault.com/#object/account__v/V4TZ025E89NJI61", "Emmily Norma da Conceição Domingues")</f>
        <v/>
      </c>
      <c r="C1686" t="inlineStr">
        <is>
          <t>RJ1328743</t>
        </is>
      </c>
      <c r="D1686" t="inlineStr">
        <is>
          <t>PED</t>
        </is>
      </c>
      <c r="E1686" t="inlineStr">
        <is>
          <t>Rua Vicente de Lima Cleto, 296</t>
        </is>
      </c>
      <c r="F1686" t="inlineStr">
        <is>
          <t>Nova Cidade</t>
        </is>
      </c>
      <c r="G1686" t="inlineStr">
        <is>
          <t>São Gonçalo</t>
        </is>
      </c>
      <c r="H1686" t="inlineStr">
        <is>
          <t>RJ</t>
        </is>
      </c>
      <c r="I1686" t="n">
        <v>7742</v>
      </c>
      <c r="J1686" t="inlineStr"/>
      <c r="K1686" t="inlineStr"/>
    </row>
    <row r="1687">
      <c r="A1687" s="1">
        <f>HYPERLINK("https://eurofarma-latam-crm.veevavault.com/#object/account__v/V4TZ00001914N09", "Enilson Marins")</f>
        <v/>
      </c>
      <c r="B1687" s="1">
        <f>HYPERLINK("https://eurofarma-latam-crm.veevavault.com/#object/account__v/V4TZ00001914N09", "Enilson Max Marins")</f>
        <v/>
      </c>
      <c r="C1687" t="inlineStr">
        <is>
          <t>RJ0396929</t>
        </is>
      </c>
      <c r="D1687" t="inlineStr">
        <is>
          <t>GAS</t>
        </is>
      </c>
      <c r="E1687" t="inlineStr">
        <is>
          <t>Rua Adolfo Bravo, 75</t>
        </is>
      </c>
      <c r="F1687" t="inlineStr">
        <is>
          <t>Bacaxá (Bacaxá)</t>
        </is>
      </c>
      <c r="G1687" t="inlineStr">
        <is>
          <t>Saquarema</t>
        </is>
      </c>
      <c r="H1687" t="inlineStr">
        <is>
          <t>RJ</t>
        </is>
      </c>
      <c r="I1687" t="n">
        <v>7742</v>
      </c>
      <c r="J1687" t="inlineStr">
        <is>
          <t>CAT 5</t>
        </is>
      </c>
      <c r="K1687" t="inlineStr">
        <is>
          <t>Sim</t>
        </is>
      </c>
    </row>
    <row r="1688">
      <c r="A1688" s="1">
        <f>HYPERLINK("https://eurofarma-latam-crm.veevavault.com/#object/account__v/V4TZ000018NY5OU", "Eraldo Luiz Mota")</f>
        <v/>
      </c>
      <c r="B1688" s="1">
        <f>HYPERLINK("https://eurofarma-latam-crm.veevavault.com/#object/account__v/V4TZ000018NY5OU", "Eraldo Luiz Cardoso Mota")</f>
        <v/>
      </c>
      <c r="C1688" t="inlineStr">
        <is>
          <t>RJ0567478</t>
        </is>
      </c>
      <c r="D1688" t="inlineStr">
        <is>
          <t>NEU</t>
        </is>
      </c>
      <c r="E1688" t="inlineStr">
        <is>
          <t>Avenida Paula Lemos, 51</t>
        </is>
      </c>
      <c r="F1688" t="inlineStr">
        <is>
          <t>Mutuá</t>
        </is>
      </c>
      <c r="G1688" t="inlineStr">
        <is>
          <t>São Gonçalo</t>
        </is>
      </c>
      <c r="H1688" t="inlineStr">
        <is>
          <t>RJ</t>
        </is>
      </c>
      <c r="I1688" t="n">
        <v>7742</v>
      </c>
      <c r="J1688" t="inlineStr">
        <is>
          <t>CAT 1</t>
        </is>
      </c>
      <c r="K1688" t="inlineStr">
        <is>
          <t>Sim</t>
        </is>
      </c>
    </row>
    <row r="1689">
      <c r="A1689" s="1">
        <f>HYPERLINK("https://eurofarma-latam-crm.veevavault.com/#object/account__v/V4TZ00001914ASH", "Eraldo Soares")</f>
        <v/>
      </c>
      <c r="B1689" s="1">
        <f>HYPERLINK("https://eurofarma-latam-crm.veevavault.com/#object/account__v/V4TZ00001914ASH", "Eraldo Azevedo Soares")</f>
        <v/>
      </c>
      <c r="C1689" t="inlineStr">
        <is>
          <t>RJ0318243</t>
        </is>
      </c>
      <c r="D1689" t="inlineStr">
        <is>
          <t>CLG</t>
        </is>
      </c>
      <c r="E1689" t="inlineStr">
        <is>
          <t>Alameda Pio XII, 140</t>
        </is>
      </c>
      <c r="F1689" t="inlineStr">
        <is>
          <t>Centro</t>
        </is>
      </c>
      <c r="G1689" t="inlineStr">
        <is>
          <t>São Gonçalo</t>
        </is>
      </c>
      <c r="H1689" t="inlineStr">
        <is>
          <t>RJ</t>
        </is>
      </c>
      <c r="I1689" t="n">
        <v>7742</v>
      </c>
      <c r="J1689" t="inlineStr">
        <is>
          <t>CAT 3</t>
        </is>
      </c>
      <c r="K1689" t="inlineStr">
        <is>
          <t>Sim</t>
        </is>
      </c>
    </row>
    <row r="1690">
      <c r="A1690" s="1">
        <f>HYPERLINK("https://eurofarma-latam-crm.veevavault.com/#object/account__v/V4TZ00001915FH6", "Erli Miranda")</f>
        <v/>
      </c>
      <c r="B1690" s="1">
        <f>HYPERLINK("https://eurofarma-latam-crm.veevavault.com/#object/account__v/V4TZ00001915FH6", "Erli Paulo Miranda")</f>
        <v/>
      </c>
      <c r="C1690" t="inlineStr">
        <is>
          <t>RJ0034037</t>
        </is>
      </c>
      <c r="D1690" t="inlineStr">
        <is>
          <t>PED</t>
        </is>
      </c>
      <c r="E1690" t="inlineStr">
        <is>
          <t>Travessa Risio 6</t>
        </is>
      </c>
      <c r="F1690" t="inlineStr">
        <is>
          <t>Rocha</t>
        </is>
      </c>
      <c r="G1690" t="inlineStr">
        <is>
          <t>São Gonçalo</t>
        </is>
      </c>
      <c r="H1690" t="inlineStr">
        <is>
          <t>RJ</t>
        </is>
      </c>
      <c r="I1690" t="n">
        <v>7742</v>
      </c>
      <c r="J1690" t="inlineStr">
        <is>
          <t>CAT 5</t>
        </is>
      </c>
      <c r="K1690" t="inlineStr">
        <is>
          <t>Sim</t>
        </is>
      </c>
    </row>
    <row r="1691">
      <c r="A1691" s="1">
        <f>HYPERLINK("https://eurofarma-latam-crm.veevavault.com/#object/account__v/V4TZ000018NXNEB", "Fabio Liparizi")</f>
        <v/>
      </c>
      <c r="B1691" s="1">
        <f>HYPERLINK("https://eurofarma-latam-crm.veevavault.com/#object/account__v/V4TZ000018NXNEB", "Fabio Liparizi")</f>
        <v/>
      </c>
      <c r="C1691" t="inlineStr">
        <is>
          <t>RJ0613075</t>
        </is>
      </c>
      <c r="D1691" t="inlineStr">
        <is>
          <t>CLG / PA</t>
        </is>
      </c>
      <c r="E1691" t="inlineStr">
        <is>
          <t>Avenida Professor João Brasil, S/N</t>
        </is>
      </c>
      <c r="F1691" t="inlineStr">
        <is>
          <t>Fonseca</t>
        </is>
      </c>
      <c r="G1691" t="inlineStr">
        <is>
          <t>Niterói</t>
        </is>
      </c>
      <c r="H1691" t="inlineStr">
        <is>
          <t>RJ</t>
        </is>
      </c>
      <c r="I1691" t="n">
        <v>7742</v>
      </c>
      <c r="J1691" t="inlineStr">
        <is>
          <t>CAT 5</t>
        </is>
      </c>
      <c r="K1691" t="inlineStr">
        <is>
          <t>N�o</t>
        </is>
      </c>
    </row>
    <row r="1692">
      <c r="A1692" s="1">
        <f>HYPERLINK("https://eurofarma-latam-crm.veevavault.com/#object/account__v/V4TZ00001915B1U", "Fatima Longo")</f>
        <v/>
      </c>
      <c r="B1692" s="1">
        <f>HYPERLINK("https://eurofarma-latam-crm.veevavault.com/#object/account__v/V4TZ00001915B1U", "Fatima Clara Rodrigues Custodio Longo")</f>
        <v/>
      </c>
      <c r="C1692" t="inlineStr">
        <is>
          <t>RJ0406200</t>
        </is>
      </c>
      <c r="D1692" t="inlineStr">
        <is>
          <t>PED</t>
        </is>
      </c>
      <c r="E1692" t="inlineStr">
        <is>
          <t>Estrada Sacramento, S/N</t>
        </is>
      </c>
      <c r="F1692" t="inlineStr">
        <is>
          <t>Sacramento</t>
        </is>
      </c>
      <c r="G1692" t="inlineStr">
        <is>
          <t>São Gonçalo</t>
        </is>
      </c>
      <c r="H1692" t="inlineStr">
        <is>
          <t>RJ</t>
        </is>
      </c>
      <c r="I1692" t="n">
        <v>7742</v>
      </c>
      <c r="J1692" t="inlineStr">
        <is>
          <t>CAT 5</t>
        </is>
      </c>
      <c r="K1692" t="inlineStr">
        <is>
          <t>N�o</t>
        </is>
      </c>
    </row>
    <row r="1693">
      <c r="A1693" s="1">
        <f>HYPERLINK("https://eurofarma-latam-crm.veevavault.com/#object/account__v/V4TZ000018NYY8U", "Fernanda Batista")</f>
        <v/>
      </c>
      <c r="B1693" s="1">
        <f>HYPERLINK("https://eurofarma-latam-crm.veevavault.com/#object/account__v/V4TZ000018NYY8U", "Fernanda Carvalhido Antonio Batista")</f>
        <v/>
      </c>
      <c r="C1693" t="inlineStr">
        <is>
          <t>RJ0965014</t>
        </is>
      </c>
      <c r="D1693" t="inlineStr">
        <is>
          <t>PED</t>
        </is>
      </c>
      <c r="E1693" t="inlineStr">
        <is>
          <t>Rua Sacadura Cabral, 178</t>
        </is>
      </c>
      <c r="F1693" t="inlineStr">
        <is>
          <t>Saúde</t>
        </is>
      </c>
      <c r="G1693" t="inlineStr">
        <is>
          <t>Rio de Janeiro</t>
        </is>
      </c>
      <c r="H1693" t="inlineStr">
        <is>
          <t>RJ</t>
        </is>
      </c>
      <c r="I1693" t="n">
        <v>7742</v>
      </c>
      <c r="J1693" t="inlineStr">
        <is>
          <t>CAT 5</t>
        </is>
      </c>
      <c r="K1693" t="inlineStr">
        <is>
          <t>Sim</t>
        </is>
      </c>
    </row>
    <row r="1694">
      <c r="A1694" s="1">
        <f>HYPERLINK("https://eurofarma-latam-crm.veevavault.com/#object/account__v/V4TZ00001916GL1", "Fernanda Cristina Santos")</f>
        <v/>
      </c>
      <c r="B1694" s="1">
        <f>HYPERLINK("https://eurofarma-latam-crm.veevavault.com/#object/account__v/V4TZ00001916GL1", "Fernanda Cristina Castelo Branco Santos")</f>
        <v/>
      </c>
      <c r="C1694" t="inlineStr">
        <is>
          <t>RJ1108700</t>
        </is>
      </c>
      <c r="D1694" t="inlineStr">
        <is>
          <t>GER</t>
        </is>
      </c>
      <c r="E1694" t="inlineStr">
        <is>
          <t>Rua La Sale, 12</t>
        </is>
      </c>
      <c r="F1694" t="inlineStr">
        <is>
          <t>Centro</t>
        </is>
      </c>
      <c r="G1694" t="inlineStr">
        <is>
          <t>Niterói</t>
        </is>
      </c>
      <c r="H1694" t="inlineStr">
        <is>
          <t>RJ</t>
        </is>
      </c>
      <c r="I1694" t="n">
        <v>7742</v>
      </c>
      <c r="J1694" t="inlineStr">
        <is>
          <t>CAT 4</t>
        </is>
      </c>
      <c r="K1694" t="inlineStr">
        <is>
          <t>Sim</t>
        </is>
      </c>
    </row>
    <row r="1695">
      <c r="A1695" s="1">
        <f>HYPERLINK("https://eurofarma-latam-crm.veevavault.com/#object/account__v/V4TZ00001914D8Q", "Fernanda Meirelles")</f>
        <v/>
      </c>
      <c r="B1695" s="1">
        <f>HYPERLINK("https://eurofarma-latam-crm.veevavault.com/#object/account__v/V4TZ00001914D8Q", "Fernanda Campello Mendes Meirelles")</f>
        <v/>
      </c>
      <c r="C1695" t="inlineStr">
        <is>
          <t>RJ0548222</t>
        </is>
      </c>
      <c r="D1695" t="inlineStr">
        <is>
          <t>PED</t>
        </is>
      </c>
      <c r="E1695" t="inlineStr">
        <is>
          <t>Rua Marquês de Paraná, 233</t>
        </is>
      </c>
      <c r="F1695" t="inlineStr">
        <is>
          <t>Centro</t>
        </is>
      </c>
      <c r="G1695" t="inlineStr">
        <is>
          <t>Niterói</t>
        </is>
      </c>
      <c r="H1695" t="inlineStr">
        <is>
          <t>RJ</t>
        </is>
      </c>
      <c r="I1695" t="n">
        <v>7742</v>
      </c>
      <c r="J1695" t="inlineStr">
        <is>
          <t>CAT 5</t>
        </is>
      </c>
      <c r="K1695" t="inlineStr">
        <is>
          <t>N�o</t>
        </is>
      </c>
    </row>
    <row r="1696">
      <c r="A1696" s="1">
        <f>HYPERLINK("https://eurofarma-latam-crm.veevavault.com/#object/account__v/V4TZ025E86FAAC5", "Fernando Gasco")</f>
        <v/>
      </c>
      <c r="B1696" s="1">
        <f>HYPERLINK("https://eurofarma-latam-crm.veevavault.com/#object/account__v/V4TZ025E86FAAC5", "Fernando Barboza Gasco")</f>
        <v/>
      </c>
      <c r="C1696" t="inlineStr">
        <is>
          <t>RJ1312685</t>
        </is>
      </c>
      <c r="D1696" t="inlineStr">
        <is>
          <t>PED</t>
        </is>
      </c>
      <c r="E1696" t="inlineStr">
        <is>
          <t>Rua Vicente de Lima Cleto, 296</t>
        </is>
      </c>
      <c r="F1696" t="inlineStr">
        <is>
          <t>Nova Cidade</t>
        </is>
      </c>
      <c r="G1696" t="inlineStr">
        <is>
          <t>São Gonçalo</t>
        </is>
      </c>
      <c r="H1696" t="inlineStr">
        <is>
          <t>RJ</t>
        </is>
      </c>
      <c r="I1696" t="n">
        <v>7742</v>
      </c>
      <c r="J1696" t="inlineStr">
        <is>
          <t>CAT 5</t>
        </is>
      </c>
      <c r="K1696" t="inlineStr">
        <is>
          <t>N�o</t>
        </is>
      </c>
    </row>
    <row r="1697">
      <c r="A1697" s="1">
        <f>HYPERLINK("https://eurofarma-latam-crm.veevavault.com/#object/account__v/V4TZ00001916HVZ", "Fernando Miotto")</f>
        <v/>
      </c>
      <c r="B1697" s="1">
        <f>HYPERLINK("https://eurofarma-latam-crm.veevavault.com/#object/account__v/V4TZ00001916HVZ", "Fernando Barroso de Menezes Miotto")</f>
        <v/>
      </c>
      <c r="C1697" t="inlineStr">
        <is>
          <t>RJ1183664</t>
        </is>
      </c>
      <c r="D1697" t="inlineStr">
        <is>
          <t>CLG / PA</t>
        </is>
      </c>
      <c r="E1697" t="inlineStr">
        <is>
          <t>Avenida Joaquim da Costa Lima, 470 472</t>
        </is>
      </c>
      <c r="F1697" t="inlineStr">
        <is>
          <t>Dos Ferreiras</t>
        </is>
      </c>
      <c r="G1697" t="inlineStr">
        <is>
          <t>Belford Roxo</t>
        </is>
      </c>
      <c r="H1697" t="inlineStr">
        <is>
          <t>RJ</t>
        </is>
      </c>
      <c r="I1697" t="n">
        <v>7742</v>
      </c>
      <c r="J1697" t="inlineStr">
        <is>
          <t>CAT 5</t>
        </is>
      </c>
      <c r="K1697" t="inlineStr">
        <is>
          <t>Sim</t>
        </is>
      </c>
    </row>
    <row r="1698">
      <c r="A1698" s="1">
        <f>HYPERLINK("https://eurofarma-latam-crm.veevavault.com/#object/account__v/V4TZ000019162AF", "Flávio Ardigo")</f>
        <v/>
      </c>
      <c r="B1698" s="1">
        <f>HYPERLINK("https://eurofarma-latam-crm.veevavault.com/#object/account__v/V4TZ000019162AF", "Flávio Torres Ardigo")</f>
        <v/>
      </c>
      <c r="C1698" t="inlineStr">
        <is>
          <t>RJ0755028</t>
        </is>
      </c>
      <c r="D1698" t="inlineStr">
        <is>
          <t>PED</t>
        </is>
      </c>
      <c r="E1698" t="inlineStr">
        <is>
          <t>Rua Coronel Alfredo Soares, 187</t>
        </is>
      </c>
      <c r="F1698" t="inlineStr">
        <is>
          <t>Centro</t>
        </is>
      </c>
      <c r="G1698" t="inlineStr">
        <is>
          <t>Nova Iguaçu</t>
        </is>
      </c>
      <c r="H1698" t="inlineStr">
        <is>
          <t>RJ</t>
        </is>
      </c>
      <c r="I1698" t="n">
        <v>7742</v>
      </c>
      <c r="J1698" t="inlineStr">
        <is>
          <t>CAT 4</t>
        </is>
      </c>
      <c r="K1698" t="inlineStr">
        <is>
          <t>Sim</t>
        </is>
      </c>
    </row>
    <row r="1699">
      <c r="A1699" s="1">
        <f>HYPERLINK("https://eurofarma-latam-crm.veevavault.com/#object/account__v/V4TZ025E85AKCHX", "Frederic Teixeira")</f>
        <v/>
      </c>
      <c r="B1699" s="1">
        <f>HYPERLINK("https://eurofarma-latam-crm.veevavault.com/#object/account__v/V4TZ025E85AKCHX", "Frederic Junior Phillips Teixeira")</f>
        <v/>
      </c>
      <c r="C1699" t="inlineStr">
        <is>
          <t>RJ3305943</t>
        </is>
      </c>
      <c r="D1699" t="inlineStr">
        <is>
          <t>CLG</t>
        </is>
      </c>
      <c r="E1699" t="inlineStr">
        <is>
          <t>Rua Jandira Pereira, 625</t>
        </is>
      </c>
      <c r="F1699" t="inlineStr">
        <is>
          <t>Santa Bárbara</t>
        </is>
      </c>
      <c r="G1699" t="inlineStr">
        <is>
          <t>Niterói</t>
        </is>
      </c>
      <c r="H1699" t="inlineStr">
        <is>
          <t>RJ</t>
        </is>
      </c>
      <c r="I1699" t="n">
        <v>7742</v>
      </c>
      <c r="J1699" t="inlineStr">
        <is>
          <t>CAT 5</t>
        </is>
      </c>
      <c r="K1699" t="inlineStr">
        <is>
          <t>Sim</t>
        </is>
      </c>
    </row>
    <row r="1700">
      <c r="A1700" s="1">
        <f>HYPERLINK("https://eurofarma-latam-crm.veevavault.com/#object/account__v/V4TZ000019166CZ", "Frederico Eduardo Gonçalves")</f>
        <v/>
      </c>
      <c r="B1700" s="1">
        <f>HYPERLINK("https://eurofarma-latam-crm.veevavault.com/#object/account__v/V4TZ000019166CZ", "Frederico Eduardo Moreira Gonçalves")</f>
        <v/>
      </c>
      <c r="C1700" t="inlineStr">
        <is>
          <t>RJ0766089</t>
        </is>
      </c>
      <c r="D1700" t="inlineStr">
        <is>
          <t>CLG / PA</t>
        </is>
      </c>
      <c r="E1700" t="inlineStr">
        <is>
          <t>Rua Sá Barreto, 107</t>
        </is>
      </c>
      <c r="F1700" t="inlineStr">
        <is>
          <t>Fonseca</t>
        </is>
      </c>
      <c r="G1700" t="inlineStr">
        <is>
          <t>Niterói</t>
        </is>
      </c>
      <c r="H1700" t="inlineStr">
        <is>
          <t>RJ</t>
        </is>
      </c>
      <c r="I1700" t="n">
        <v>7742</v>
      </c>
      <c r="J1700" t="inlineStr">
        <is>
          <t>CAT 5</t>
        </is>
      </c>
      <c r="K1700" t="inlineStr">
        <is>
          <t>Sim</t>
        </is>
      </c>
    </row>
    <row r="1701">
      <c r="A1701" s="1">
        <f>HYPERLINK("https://eurofarma-latam-crm.veevavault.com/#object/account__v/V4TZ000018NXZX7", "Frederico Guilherme Chateaubriand")</f>
        <v/>
      </c>
      <c r="B1701" s="1">
        <f>HYPERLINK("https://eurofarma-latam-crm.veevavault.com/#object/account__v/V4TZ000018NXZX7", "Frederico Guilherme Chateaubriand")</f>
        <v/>
      </c>
      <c r="C1701" t="inlineStr">
        <is>
          <t>RJ0221220</t>
        </is>
      </c>
      <c r="D1701" t="inlineStr">
        <is>
          <t>PED</t>
        </is>
      </c>
      <c r="E1701" t="inlineStr">
        <is>
          <t>Rua Doutor Feliciano Sodré, 182 - Sala 415</t>
        </is>
      </c>
      <c r="F1701" t="inlineStr">
        <is>
          <t>Centro</t>
        </is>
      </c>
      <c r="G1701" t="inlineStr">
        <is>
          <t>São Gonçalo</t>
        </is>
      </c>
      <c r="H1701" t="inlineStr">
        <is>
          <t>RJ</t>
        </is>
      </c>
      <c r="I1701" t="n">
        <v>7742</v>
      </c>
      <c r="J1701" t="inlineStr">
        <is>
          <t>CAT 2</t>
        </is>
      </c>
      <c r="K1701" t="inlineStr">
        <is>
          <t>Sim</t>
        </is>
      </c>
    </row>
    <row r="1702">
      <c r="A1702" s="1">
        <f>HYPERLINK("https://eurofarma-latam-crm.veevavault.com/#object/account__v/V4TZ00001916I6J", "Frederico Queiroz da Silva")</f>
        <v/>
      </c>
      <c r="B1702" s="1">
        <f>HYPERLINK("https://eurofarma-latam-crm.veevavault.com/#object/account__v/V4TZ00001916I6J", "Frederico Queiroz Theodoro da Silva")</f>
        <v/>
      </c>
      <c r="C1702" t="inlineStr">
        <is>
          <t>RJ1138227</t>
        </is>
      </c>
      <c r="D1702" t="inlineStr">
        <is>
          <t>ORT</t>
        </is>
      </c>
      <c r="E1702" t="inlineStr">
        <is>
          <t>Avenida Prefeito Ismael Cavalcanti, 44 - Quadra 09 Lote 345</t>
        </is>
      </c>
      <c r="F1702" t="inlineStr">
        <is>
          <t>Vila Margarida</t>
        </is>
      </c>
      <c r="G1702" t="inlineStr">
        <is>
          <t>Itaguaí</t>
        </is>
      </c>
      <c r="H1702" t="inlineStr">
        <is>
          <t>RJ</t>
        </is>
      </c>
      <c r="I1702" t="n">
        <v>7742</v>
      </c>
      <c r="J1702" t="inlineStr">
        <is>
          <t>CAT 4</t>
        </is>
      </c>
      <c r="K1702" t="inlineStr">
        <is>
          <t>N�o</t>
        </is>
      </c>
    </row>
    <row r="1703">
      <c r="A1703" s="1">
        <f>HYPERLINK("https://eurofarma-latam-crm.veevavault.com/#object/account__v/V4TZ025E8F043EJ", "Gabriel Carvalho")</f>
        <v/>
      </c>
      <c r="B1703" s="1">
        <f>HYPERLINK("https://eurofarma-latam-crm.veevavault.com/#object/account__v/V4TZ025E8F043EJ", "Gabriel Perdomo Torres De Carvalho")</f>
        <v/>
      </c>
      <c r="C1703" t="inlineStr">
        <is>
          <t>RJ1372701</t>
        </is>
      </c>
      <c r="D1703" t="inlineStr">
        <is>
          <t>CLG / PA</t>
        </is>
      </c>
      <c r="E1703" t="inlineStr">
        <is>
          <t>Praça Estefania de Carvalho, 26</t>
        </is>
      </c>
      <c r="F1703" t="inlineStr">
        <is>
          <t>Zé Garoto</t>
        </is>
      </c>
      <c r="G1703" t="inlineStr">
        <is>
          <t>São Gonçalo</t>
        </is>
      </c>
      <c r="H1703" t="inlineStr">
        <is>
          <t>RJ</t>
        </is>
      </c>
      <c r="I1703" t="n">
        <v>7742</v>
      </c>
      <c r="J1703" t="inlineStr"/>
      <c r="K1703" t="inlineStr"/>
    </row>
    <row r="1704">
      <c r="A1704" s="1">
        <f>HYPERLINK("https://eurofarma-latam-crm.veevavault.com/#object/account__v/V4TZ000019140SU", "Gabriela Lascano")</f>
        <v/>
      </c>
      <c r="B1704" s="1">
        <f>HYPERLINK("https://eurofarma-latam-crm.veevavault.com/#object/account__v/V4TZ000019140SU", "Gabriela Cordeiro Mostacedo Lascano")</f>
        <v/>
      </c>
      <c r="C1704" t="inlineStr">
        <is>
          <t>RJ1152599</t>
        </is>
      </c>
      <c r="D1704" t="inlineStr">
        <is>
          <t>ORT</t>
        </is>
      </c>
      <c r="E1704" t="inlineStr">
        <is>
          <t>Rua Nestor Pinto Alves, 131</t>
        </is>
      </c>
      <c r="F1704" t="inlineStr">
        <is>
          <t>Vila Três</t>
        </is>
      </c>
      <c r="G1704" t="inlineStr">
        <is>
          <t>São Gonçalo</t>
        </is>
      </c>
      <c r="H1704" t="inlineStr">
        <is>
          <t>RJ</t>
        </is>
      </c>
      <c r="I1704" t="n">
        <v>7742</v>
      </c>
      <c r="J1704" t="inlineStr">
        <is>
          <t>CAT 4</t>
        </is>
      </c>
      <c r="K1704" t="inlineStr">
        <is>
          <t>Sim</t>
        </is>
      </c>
    </row>
    <row r="1705">
      <c r="A1705" s="1">
        <f>HYPERLINK("https://eurofarma-latam-crm.veevavault.com/#object/account__v/V4TZ000018NYT8G", "Gabriela Moyses")</f>
        <v/>
      </c>
      <c r="B1705" s="1">
        <f>HYPERLINK("https://eurofarma-latam-crm.veevavault.com/#object/account__v/V4TZ000018NYT8G", "Gabriela Alves Marochi Moyses")</f>
        <v/>
      </c>
      <c r="C1705" t="inlineStr">
        <is>
          <t>RJ1013289</t>
        </is>
      </c>
      <c r="D1705" t="inlineStr">
        <is>
          <t>CLG</t>
        </is>
      </c>
      <c r="E1705" t="inlineStr">
        <is>
          <t>Avenida Carlos Ermelindo Marins , S/N</t>
        </is>
      </c>
      <c r="F1705" t="inlineStr">
        <is>
          <t>Jurujuba</t>
        </is>
      </c>
      <c r="G1705" t="inlineStr">
        <is>
          <t>Niterói</t>
        </is>
      </c>
      <c r="H1705" t="inlineStr">
        <is>
          <t>RJ</t>
        </is>
      </c>
      <c r="I1705" t="n">
        <v>7742</v>
      </c>
      <c r="J1705" t="inlineStr">
        <is>
          <t>CAT 5</t>
        </is>
      </c>
      <c r="K1705" t="inlineStr">
        <is>
          <t>Sim</t>
        </is>
      </c>
    </row>
    <row r="1706">
      <c r="A1706" s="1">
        <f>HYPERLINK("https://eurofarma-latam-crm.veevavault.com/#object/account__v/V4TZ025E8ENGN67", "Gabrielle Monzato")</f>
        <v/>
      </c>
      <c r="B1706" s="1">
        <f>HYPERLINK("https://eurofarma-latam-crm.veevavault.com/#object/account__v/V4TZ025E8ENGN67", "Gabrielle Coura Monzato")</f>
        <v/>
      </c>
      <c r="C1706" t="inlineStr">
        <is>
          <t>RJ1373186</t>
        </is>
      </c>
      <c r="D1706" t="inlineStr">
        <is>
          <t>CLG / PA</t>
        </is>
      </c>
      <c r="E1706" t="inlineStr">
        <is>
          <t>Estrada do Arrastão, S/N</t>
        </is>
      </c>
      <c r="F1706" t="inlineStr">
        <is>
          <t>Rio do Ouro</t>
        </is>
      </c>
      <c r="G1706" t="inlineStr">
        <is>
          <t>São Gonçalo</t>
        </is>
      </c>
      <c r="H1706" t="inlineStr">
        <is>
          <t>RJ</t>
        </is>
      </c>
      <c r="I1706" t="n">
        <v>7742</v>
      </c>
      <c r="J1706" t="inlineStr">
        <is>
          <t>CAT 5</t>
        </is>
      </c>
      <c r="K1706" t="inlineStr">
        <is>
          <t>Sim</t>
        </is>
      </c>
    </row>
    <row r="1707">
      <c r="A1707" s="1">
        <f>HYPERLINK("https://eurofarma-latam-crm.veevavault.com/#object/account__v/V4TZ025E88R3WR5", "Gabrielle Sales")</f>
        <v/>
      </c>
      <c r="B1707" s="1">
        <f>HYPERLINK("https://eurofarma-latam-crm.veevavault.com/#object/account__v/V4TZ025E88R3WR5", "Gabrielle Silva Sales")</f>
        <v/>
      </c>
      <c r="C1707" t="inlineStr">
        <is>
          <t>RJ1300385</t>
        </is>
      </c>
      <c r="D1707" t="inlineStr">
        <is>
          <t>NEU</t>
        </is>
      </c>
      <c r="E1707" t="inlineStr">
        <is>
          <t>Rua João de Souza, 410</t>
        </is>
      </c>
      <c r="F1707" t="inlineStr">
        <is>
          <t>Centro</t>
        </is>
      </c>
      <c r="G1707" t="inlineStr">
        <is>
          <t>São Gonçalo</t>
        </is>
      </c>
      <c r="H1707" t="inlineStr">
        <is>
          <t>RJ</t>
        </is>
      </c>
      <c r="I1707" t="n">
        <v>7742</v>
      </c>
      <c r="J1707" t="inlineStr">
        <is>
          <t>CAT 5</t>
        </is>
      </c>
      <c r="K1707" t="inlineStr">
        <is>
          <t>N�o</t>
        </is>
      </c>
    </row>
    <row r="1708">
      <c r="A1708" s="1">
        <f>HYPERLINK("https://eurofarma-latam-crm.veevavault.com/#object/account__v/V4TZ00001914JB1", "George Luiz Barreiros")</f>
        <v/>
      </c>
      <c r="B1708" s="1">
        <f>HYPERLINK("https://eurofarma-latam-crm.veevavault.com/#object/account__v/V4TZ00001914JB1", "George Luiz Felippe Barreiros")</f>
        <v/>
      </c>
      <c r="C1708" t="inlineStr">
        <is>
          <t>RJ0304330</t>
        </is>
      </c>
      <c r="D1708" t="inlineStr">
        <is>
          <t>GAS</t>
        </is>
      </c>
      <c r="E1708" t="inlineStr">
        <is>
          <t>Rua Doutor Celestino, 103</t>
        </is>
      </c>
      <c r="F1708" t="inlineStr">
        <is>
          <t>Centro</t>
        </is>
      </c>
      <c r="G1708" t="inlineStr">
        <is>
          <t>Niterói</t>
        </is>
      </c>
      <c r="H1708" t="inlineStr">
        <is>
          <t>RJ</t>
        </is>
      </c>
      <c r="I1708" t="n">
        <v>7742</v>
      </c>
      <c r="J1708" t="inlineStr">
        <is>
          <t>CAT 2</t>
        </is>
      </c>
      <c r="K1708" t="inlineStr">
        <is>
          <t>Sim</t>
        </is>
      </c>
    </row>
    <row r="1709">
      <c r="A1709" s="1">
        <f>HYPERLINK("https://eurofarma-latam-crm.veevavault.com/#object/account__v/V4TZ000018NXI1Q", "Geraldo Jorge")</f>
        <v/>
      </c>
      <c r="B1709" s="1">
        <f>HYPERLINK("https://eurofarma-latam-crm.veevavault.com/#object/account__v/V4TZ000018NXI1Q", "Geraldo Jacob Jorge")</f>
        <v/>
      </c>
      <c r="C1709" t="inlineStr">
        <is>
          <t>RJ0351631</t>
        </is>
      </c>
      <c r="D1709" t="inlineStr">
        <is>
          <t>PED</t>
        </is>
      </c>
      <c r="E1709" t="inlineStr">
        <is>
          <t>Rua Gavião Peixoto, 124 - Sala 907</t>
        </is>
      </c>
      <c r="F1709" t="inlineStr">
        <is>
          <t>Icaraí</t>
        </is>
      </c>
      <c r="G1709" t="inlineStr">
        <is>
          <t>Niterói</t>
        </is>
      </c>
      <c r="H1709" t="inlineStr">
        <is>
          <t>RJ</t>
        </is>
      </c>
      <c r="I1709" t="n">
        <v>7742</v>
      </c>
      <c r="J1709" t="inlineStr">
        <is>
          <t>CAT 4</t>
        </is>
      </c>
      <c r="K1709" t="inlineStr">
        <is>
          <t>Sim</t>
        </is>
      </c>
    </row>
    <row r="1710">
      <c r="A1710" s="1">
        <f>HYPERLINK("https://eurofarma-latam-crm.veevavault.com/#object/account__v/V4TZ000018NXH7A", "Glaucia Gil")</f>
        <v/>
      </c>
      <c r="B1710" s="1">
        <f>HYPERLINK("https://eurofarma-latam-crm.veevavault.com/#object/account__v/V4TZ000018NXH7A", "Glaucia de Lima Gil")</f>
        <v/>
      </c>
      <c r="C1710" t="inlineStr">
        <is>
          <t>RJ0814865</t>
        </is>
      </c>
      <c r="D1710" t="inlineStr">
        <is>
          <t>PED</t>
        </is>
      </c>
      <c r="E1710" t="inlineStr">
        <is>
          <t>Rua Doutor Nilo Peçanha, 232</t>
        </is>
      </c>
      <c r="F1710" t="inlineStr">
        <is>
          <t>Centro</t>
        </is>
      </c>
      <c r="G1710" t="inlineStr">
        <is>
          <t>São Gonçalo</t>
        </is>
      </c>
      <c r="H1710" t="inlineStr">
        <is>
          <t>RJ</t>
        </is>
      </c>
      <c r="I1710" t="n">
        <v>7742</v>
      </c>
      <c r="J1710" t="inlineStr">
        <is>
          <t>CAT 5</t>
        </is>
      </c>
      <c r="K1710" t="inlineStr">
        <is>
          <t>Sim</t>
        </is>
      </c>
    </row>
    <row r="1711">
      <c r="A1711" s="1">
        <f>HYPERLINK("https://eurofarma-latam-crm.veevavault.com/#object/account__v/V4TZ000019159M5", "Glaucia Reis")</f>
        <v/>
      </c>
      <c r="B1711" s="1">
        <f>HYPERLINK("https://eurofarma-latam-crm.veevavault.com/#object/account__v/V4TZ000019159M5", "Glaucia de Souza Reis")</f>
        <v/>
      </c>
      <c r="C1711" t="inlineStr">
        <is>
          <t>RJ0970948</t>
        </is>
      </c>
      <c r="D1711" t="inlineStr">
        <is>
          <t>PED</t>
        </is>
      </c>
      <c r="E1711" t="inlineStr">
        <is>
          <t>Rodovia BR-101, S/N - Km 265</t>
        </is>
      </c>
      <c r="F1711" t="inlineStr">
        <is>
          <t>Praça Cruzeiro</t>
        </is>
      </c>
      <c r="G1711" t="inlineStr">
        <is>
          <t>Rio Bonito</t>
        </is>
      </c>
      <c r="H1711" t="inlineStr">
        <is>
          <t>RJ</t>
        </is>
      </c>
      <c r="I1711" t="n">
        <v>7742</v>
      </c>
      <c r="J1711" t="inlineStr">
        <is>
          <t>CAT 5</t>
        </is>
      </c>
      <c r="K1711" t="inlineStr">
        <is>
          <t>N�o</t>
        </is>
      </c>
    </row>
    <row r="1712">
      <c r="A1712" s="1">
        <f>HYPERLINK("https://eurofarma-latam-crm.veevavault.com/#object/account__v/V4TZ000018NYSVM", "Graziele Andrade")</f>
        <v/>
      </c>
      <c r="B1712" s="1">
        <f>HYPERLINK("https://eurofarma-latam-crm.veevavault.com/#object/account__v/V4TZ000018NYSVM", "Graziele da Silva Andrade")</f>
        <v/>
      </c>
      <c r="C1712" t="inlineStr">
        <is>
          <t>RJ1144790</t>
        </is>
      </c>
      <c r="D1712" t="inlineStr">
        <is>
          <t>CLG</t>
        </is>
      </c>
      <c r="E1712" t="inlineStr">
        <is>
          <t>Rua da Gamboa, 303</t>
        </is>
      </c>
      <c r="F1712" t="inlineStr">
        <is>
          <t>Gamboa</t>
        </is>
      </c>
      <c r="G1712" t="inlineStr">
        <is>
          <t>Rio de Janeiro</t>
        </is>
      </c>
      <c r="H1712" t="inlineStr">
        <is>
          <t>RJ</t>
        </is>
      </c>
      <c r="I1712" t="n">
        <v>7742</v>
      </c>
      <c r="J1712" t="inlineStr">
        <is>
          <t>CAT 5</t>
        </is>
      </c>
      <c r="K1712" t="inlineStr">
        <is>
          <t>Sim</t>
        </is>
      </c>
    </row>
    <row r="1713">
      <c r="A1713" s="1">
        <f>HYPERLINK("https://eurofarma-latam-crm.veevavault.com/#object/account__v/V4TZ00001915E1Z", "Guilherme Werneck")</f>
        <v/>
      </c>
      <c r="B1713" s="1">
        <f>HYPERLINK("https://eurofarma-latam-crm.veevavault.com/#object/account__v/V4TZ00001915E1Z", "Guilherme Lobosco Werneck")</f>
        <v/>
      </c>
      <c r="C1713" t="inlineStr">
        <is>
          <t>RJ0469643</t>
        </is>
      </c>
      <c r="D1713" t="inlineStr">
        <is>
          <t>CLG</t>
        </is>
      </c>
      <c r="E1713" t="inlineStr">
        <is>
          <t>Rua Yolanda Saad Abuzaid, 150 - Sala 911 Sala 912</t>
        </is>
      </c>
      <c r="F1713" t="inlineStr">
        <is>
          <t>Alcântara</t>
        </is>
      </c>
      <c r="G1713" t="inlineStr">
        <is>
          <t>São Gonçalo</t>
        </is>
      </c>
      <c r="H1713" t="inlineStr">
        <is>
          <t>RJ</t>
        </is>
      </c>
      <c r="I1713" t="n">
        <v>7742</v>
      </c>
      <c r="J1713" t="inlineStr">
        <is>
          <t>CAT 5</t>
        </is>
      </c>
      <c r="K1713" t="inlineStr">
        <is>
          <t>N�o</t>
        </is>
      </c>
    </row>
    <row r="1714">
      <c r="A1714" s="1">
        <f>HYPERLINK("https://eurofarma-latam-crm.veevavault.com/#object/account__v/V4TZ00001915XWJ", "Gustavo Silva")</f>
        <v/>
      </c>
      <c r="B1714" s="1">
        <f>HYPERLINK("https://eurofarma-latam-crm.veevavault.com/#object/account__v/V4TZ00001915XWJ", "Gustavo Braga da Silva")</f>
        <v/>
      </c>
      <c r="C1714" t="inlineStr">
        <is>
          <t>RJ0647527</t>
        </is>
      </c>
      <c r="D1714" t="inlineStr">
        <is>
          <t>ORT</t>
        </is>
      </c>
      <c r="E1714" t="inlineStr">
        <is>
          <t>Rua Doutor Celestino, 103</t>
        </is>
      </c>
      <c r="F1714" t="inlineStr">
        <is>
          <t>Centro</t>
        </is>
      </c>
      <c r="G1714" t="inlineStr">
        <is>
          <t>Niterói</t>
        </is>
      </c>
      <c r="H1714" t="inlineStr">
        <is>
          <t>RJ</t>
        </is>
      </c>
      <c r="I1714" t="n">
        <v>7742</v>
      </c>
      <c r="J1714" t="inlineStr">
        <is>
          <t>CAT 4</t>
        </is>
      </c>
      <c r="K1714" t="inlineStr">
        <is>
          <t>Sim</t>
        </is>
      </c>
    </row>
    <row r="1715">
      <c r="A1715" s="1">
        <f>HYPERLINK("https://eurofarma-latam-crm.veevavault.com/#object/account__v/V4TZ025E89JGY36", "Gutierrez Martins")</f>
        <v/>
      </c>
      <c r="B1715" s="1">
        <f>HYPERLINK("https://eurofarma-latam-crm.veevavault.com/#object/account__v/V4TZ025E89JGY36", "Gutierrez Souza Martins")</f>
        <v/>
      </c>
      <c r="C1715" t="inlineStr">
        <is>
          <t>RJ1350234</t>
        </is>
      </c>
      <c r="D1715" t="inlineStr">
        <is>
          <t>ORL</t>
        </is>
      </c>
      <c r="E1715" t="inlineStr">
        <is>
          <t>Rua Marquês de Paraná, 303</t>
        </is>
      </c>
      <c r="F1715" t="inlineStr">
        <is>
          <t>Centro</t>
        </is>
      </c>
      <c r="G1715" t="inlineStr">
        <is>
          <t>Niterói</t>
        </is>
      </c>
      <c r="H1715" t="inlineStr">
        <is>
          <t>RJ</t>
        </is>
      </c>
      <c r="I1715" t="n">
        <v>7742</v>
      </c>
      <c r="J1715" t="inlineStr">
        <is>
          <t>CAT 5</t>
        </is>
      </c>
      <c r="K1715" t="inlineStr">
        <is>
          <t>N�o</t>
        </is>
      </c>
    </row>
    <row r="1716">
      <c r="A1716" s="1">
        <f>HYPERLINK("https://eurofarma-latam-crm.veevavault.com/#object/account__v/V4TZ000018NY36H", "Gyslaine Matos")</f>
        <v/>
      </c>
      <c r="B1716" s="1">
        <f>HYPERLINK("https://eurofarma-latam-crm.veevavault.com/#object/account__v/V4TZ000018NY36H", "Gyslaine Gonçalves de Matos")</f>
        <v/>
      </c>
      <c r="C1716" t="inlineStr">
        <is>
          <t>RJ1127004</t>
        </is>
      </c>
      <c r="D1716" t="inlineStr">
        <is>
          <t>PED</t>
        </is>
      </c>
      <c r="E1716" t="inlineStr">
        <is>
          <t>Rua Doutor Nilo Peçanha, 232</t>
        </is>
      </c>
      <c r="F1716" t="inlineStr">
        <is>
          <t>Centro</t>
        </is>
      </c>
      <c r="G1716" t="inlineStr">
        <is>
          <t>São Gonçalo</t>
        </is>
      </c>
      <c r="H1716" t="inlineStr">
        <is>
          <t>RJ</t>
        </is>
      </c>
      <c r="I1716" t="n">
        <v>7742</v>
      </c>
      <c r="J1716" t="inlineStr">
        <is>
          <t>CAT 4</t>
        </is>
      </c>
      <c r="K1716" t="inlineStr">
        <is>
          <t>Sim</t>
        </is>
      </c>
    </row>
    <row r="1717">
      <c r="A1717" s="1">
        <f>HYPERLINK("https://eurofarma-latam-crm.veevavault.com/#object/account__v/V4TZ000019137Q2", "Hamilton do Nascimento")</f>
        <v/>
      </c>
      <c r="B1717" s="1">
        <f>HYPERLINK("https://eurofarma-latam-crm.veevavault.com/#object/account__v/V4TZ000019137Q2", "Hamilton Custódio do Nascimento")</f>
        <v/>
      </c>
      <c r="C1717" t="inlineStr">
        <is>
          <t>RJ0220975</t>
        </is>
      </c>
      <c r="D1717" t="inlineStr">
        <is>
          <t>CLG</t>
        </is>
      </c>
      <c r="E1717" t="inlineStr">
        <is>
          <t>Rua Salvatori, 40 - Sala 704</t>
        </is>
      </c>
      <c r="F1717" t="inlineStr">
        <is>
          <t>Centro</t>
        </is>
      </c>
      <c r="G1717" t="inlineStr">
        <is>
          <t>São Gonçalo</t>
        </is>
      </c>
      <c r="H1717" t="inlineStr">
        <is>
          <t>RJ</t>
        </is>
      </c>
      <c r="I1717" t="n">
        <v>7742</v>
      </c>
      <c r="J1717" t="inlineStr">
        <is>
          <t>CAT 4</t>
        </is>
      </c>
      <c r="K1717" t="inlineStr">
        <is>
          <t>Sim</t>
        </is>
      </c>
    </row>
    <row r="1718">
      <c r="A1718" s="1">
        <f>HYPERLINK("https://eurofarma-latam-crm.veevavault.com/#object/account__v/V4TZ00001915P3O", "Heider da Silva Filho")</f>
        <v/>
      </c>
      <c r="B1718" s="1">
        <f>HYPERLINK("https://eurofarma-latam-crm.veevavault.com/#object/account__v/V4TZ00001915P3O", "Heider Henriques da Silva Filho")</f>
        <v/>
      </c>
      <c r="C1718" t="inlineStr">
        <is>
          <t>RJ0446990</t>
        </is>
      </c>
      <c r="D1718" t="inlineStr">
        <is>
          <t>CLG</t>
        </is>
      </c>
      <c r="E1718" t="inlineStr">
        <is>
          <t>Rua Alcebíades Gomes Pereira, S/N</t>
        </is>
      </c>
      <c r="F1718" t="inlineStr">
        <is>
          <t>Apolo II (Manilha)</t>
        </is>
      </c>
      <c r="G1718" t="inlineStr">
        <is>
          <t>Itaboraí</t>
        </is>
      </c>
      <c r="H1718" t="inlineStr">
        <is>
          <t>RJ</t>
        </is>
      </c>
      <c r="I1718" t="n">
        <v>7742</v>
      </c>
      <c r="J1718" t="inlineStr">
        <is>
          <t>CAT 3</t>
        </is>
      </c>
      <c r="K1718" t="inlineStr">
        <is>
          <t>Sim</t>
        </is>
      </c>
    </row>
    <row r="1719">
      <c r="A1719" s="1">
        <f>HYPERLINK("https://eurofarma-latam-crm.veevavault.com/#object/account__v/V4TZ0000191N8X2", "Helen Coelho")</f>
        <v/>
      </c>
      <c r="B1719" s="1">
        <f>HYPERLINK("https://eurofarma-latam-crm.veevavault.com/#object/account__v/V4TZ0000191N8X2", "Helen Alcantara Coelho")</f>
        <v/>
      </c>
      <c r="C1719" t="inlineStr">
        <is>
          <t>RJ1122045</t>
        </is>
      </c>
      <c r="D1719" t="inlineStr">
        <is>
          <t>PSQ</t>
        </is>
      </c>
      <c r="E1719" t="inlineStr">
        <is>
          <t>Rua Campo Grande, 120B</t>
        </is>
      </c>
      <c r="F1719" t="inlineStr">
        <is>
          <t>Campo Grande</t>
        </is>
      </c>
      <c r="G1719" t="inlineStr">
        <is>
          <t>Rio de Janeiro</t>
        </is>
      </c>
      <c r="H1719" t="inlineStr">
        <is>
          <t>RJ</t>
        </is>
      </c>
      <c r="I1719" t="n">
        <v>7742</v>
      </c>
      <c r="J1719" t="inlineStr">
        <is>
          <t>CAT 4</t>
        </is>
      </c>
      <c r="K1719" t="inlineStr">
        <is>
          <t>Sim</t>
        </is>
      </c>
    </row>
    <row r="1720">
      <c r="A1720" s="1">
        <f>HYPERLINK("https://eurofarma-latam-crm.veevavault.com/#object/account__v/V4TZ00001915E2A", "Helyon Vasconcelos")</f>
        <v/>
      </c>
      <c r="B1720" s="1">
        <f>HYPERLINK("https://eurofarma-latam-crm.veevavault.com/#object/account__v/V4TZ00001915E2A", "Helyon Nogueira Vasconcelos")</f>
        <v/>
      </c>
      <c r="C1720" t="inlineStr">
        <is>
          <t>RJ0816850</t>
        </is>
      </c>
      <c r="D1720" t="inlineStr">
        <is>
          <t>GAS</t>
        </is>
      </c>
      <c r="E1720" t="inlineStr">
        <is>
          <t>Rua Washington Luis, 62</t>
        </is>
      </c>
      <c r="F1720" t="inlineStr">
        <is>
          <t>Centro</t>
        </is>
      </c>
      <c r="G1720" t="inlineStr">
        <is>
          <t>Arraial do Cabo</t>
        </is>
      </c>
      <c r="H1720" t="inlineStr">
        <is>
          <t>RJ</t>
        </is>
      </c>
      <c r="I1720" t="n">
        <v>7742</v>
      </c>
      <c r="J1720" t="inlineStr">
        <is>
          <t>CAT 5</t>
        </is>
      </c>
      <c r="K1720" t="inlineStr">
        <is>
          <t>N�o</t>
        </is>
      </c>
    </row>
    <row r="1721">
      <c r="A1721" s="1">
        <f>HYPERLINK("https://eurofarma-latam-crm.veevavault.com/#object/account__v/V4TZ00001916CRW", "Henrique Siqueira")</f>
        <v/>
      </c>
      <c r="B1721" s="1">
        <f>HYPERLINK("https://eurofarma-latam-crm.veevavault.com/#object/account__v/V4TZ00001916CRW", "Henrique de Oliveira Siqueira")</f>
        <v/>
      </c>
      <c r="C1721" t="inlineStr">
        <is>
          <t>RJ1094050</t>
        </is>
      </c>
      <c r="D1721" t="inlineStr">
        <is>
          <t>PED</t>
        </is>
      </c>
      <c r="E1721" t="inlineStr">
        <is>
          <t>Rua Ataíde Parreiras, 266 - Bloco 1</t>
        </is>
      </c>
      <c r="F1721" t="inlineStr">
        <is>
          <t>Fátima</t>
        </is>
      </c>
      <c r="G1721" t="inlineStr">
        <is>
          <t>Niterói</t>
        </is>
      </c>
      <c r="H1721" t="inlineStr">
        <is>
          <t>RJ</t>
        </is>
      </c>
      <c r="I1721" t="n">
        <v>7742</v>
      </c>
      <c r="J1721" t="inlineStr">
        <is>
          <t>CAT 5</t>
        </is>
      </c>
      <c r="K1721" t="inlineStr">
        <is>
          <t>N�o</t>
        </is>
      </c>
    </row>
    <row r="1722">
      <c r="A1722" s="1">
        <f>HYPERLINK("https://eurofarma-latam-crm.veevavault.com/#object/account__v/V4TZ000018NXQQH", "Hugo Tinoco Neto")</f>
        <v/>
      </c>
      <c r="B1722" s="1">
        <f>HYPERLINK("https://eurofarma-latam-crm.veevavault.com/#object/account__v/V4TZ000018NXQQH", "Hugo de Oliveira Tinoco Neto")</f>
        <v/>
      </c>
      <c r="C1722" t="inlineStr">
        <is>
          <t>RJ0850217</t>
        </is>
      </c>
      <c r="D1722" t="inlineStr">
        <is>
          <t>ORT</t>
        </is>
      </c>
      <c r="E1722" t="inlineStr">
        <is>
          <t>Rua Coronel Moreira Cesar, 138 - Alameda Pio XII</t>
        </is>
      </c>
      <c r="F1722" t="inlineStr">
        <is>
          <t>Centro</t>
        </is>
      </c>
      <c r="G1722" t="inlineStr">
        <is>
          <t>São Gonçalo</t>
        </is>
      </c>
      <c r="H1722" t="inlineStr">
        <is>
          <t>RJ</t>
        </is>
      </c>
      <c r="I1722" t="n">
        <v>7742</v>
      </c>
      <c r="J1722" t="inlineStr">
        <is>
          <t>CAT 3</t>
        </is>
      </c>
      <c r="K1722" t="inlineStr">
        <is>
          <t>Sim</t>
        </is>
      </c>
    </row>
    <row r="1723">
      <c r="A1723" s="1">
        <f>HYPERLINK("https://eurofarma-latam-crm.veevavault.com/#object/account__v/V4TZ000018NXK2O", "Ignez Valéria Rocha")</f>
        <v/>
      </c>
      <c r="B1723" s="1">
        <f>HYPERLINK("https://eurofarma-latam-crm.veevavault.com/#object/account__v/V4TZ000018NXK2O", "Ignez Valéria Alonso Martins Rocha")</f>
        <v/>
      </c>
      <c r="C1723" t="inlineStr">
        <is>
          <t>RJ0467911</t>
        </is>
      </c>
      <c r="D1723" t="inlineStr">
        <is>
          <t>CLG / PA</t>
        </is>
      </c>
      <c r="E1723" t="inlineStr">
        <is>
          <t>Rua Doutor Nilo Peçanha, 232</t>
        </is>
      </c>
      <c r="F1723" t="inlineStr">
        <is>
          <t>Centro</t>
        </is>
      </c>
      <c r="G1723" t="inlineStr">
        <is>
          <t>São Gonçalo</t>
        </is>
      </c>
      <c r="H1723" t="inlineStr">
        <is>
          <t>RJ</t>
        </is>
      </c>
      <c r="I1723" t="n">
        <v>7742</v>
      </c>
      <c r="J1723" t="inlineStr">
        <is>
          <t>CAT 3</t>
        </is>
      </c>
      <c r="K1723" t="inlineStr">
        <is>
          <t>Sim</t>
        </is>
      </c>
    </row>
    <row r="1724">
      <c r="A1724" s="1">
        <f>HYPERLINK("https://eurofarma-latam-crm.veevavault.com/#object/account__v/V4TZ025E8B0387T", "Inácio Oliveira")</f>
        <v/>
      </c>
      <c r="B1724" s="1">
        <f>HYPERLINK("https://eurofarma-latam-crm.veevavault.com/#object/account__v/V4TZ025E8B0387T", "Inácio Neves Oliveira")</f>
        <v/>
      </c>
      <c r="C1724" t="inlineStr">
        <is>
          <t>RJ1314980</t>
        </is>
      </c>
      <c r="D1724" t="inlineStr">
        <is>
          <t>CLG / PA</t>
        </is>
      </c>
      <c r="E1724" t="inlineStr">
        <is>
          <t>Estrada Francisco da Cruz Nunes, S/N</t>
        </is>
      </c>
      <c r="F1724" t="inlineStr">
        <is>
          <t>Piratininga</t>
        </is>
      </c>
      <c r="G1724" t="inlineStr">
        <is>
          <t>Niterói</t>
        </is>
      </c>
      <c r="H1724" t="inlineStr">
        <is>
          <t>RJ</t>
        </is>
      </c>
      <c r="I1724" t="n">
        <v>7742</v>
      </c>
      <c r="J1724" t="inlineStr">
        <is>
          <t>CAT 4</t>
        </is>
      </c>
      <c r="K1724" t="inlineStr">
        <is>
          <t>N�o</t>
        </is>
      </c>
    </row>
    <row r="1725">
      <c r="A1725" s="1">
        <f>HYPERLINK("https://eurofarma-latam-crm.veevavault.com/#object/account__v/V4TZ000018NZ2S5", "Ines Gomes")</f>
        <v/>
      </c>
      <c r="B1725" s="1">
        <f>HYPERLINK("https://eurofarma-latam-crm.veevavault.com/#object/account__v/V4TZ000018NZ2S5", "Ines Helena Tavares Gouveia Gomes")</f>
        <v/>
      </c>
      <c r="C1725" t="inlineStr">
        <is>
          <t>RJ0631299</t>
        </is>
      </c>
      <c r="D1725" t="inlineStr">
        <is>
          <t>PED</t>
        </is>
      </c>
      <c r="E1725" t="inlineStr">
        <is>
          <t>Rua Jornalista Hermano Requião, 447 - Apartamento 33</t>
        </is>
      </c>
      <c r="F1725" t="inlineStr">
        <is>
          <t>Guadalupe</t>
        </is>
      </c>
      <c r="G1725" t="inlineStr">
        <is>
          <t>Rio de Janeiro</t>
        </is>
      </c>
      <c r="H1725" t="inlineStr">
        <is>
          <t>RJ</t>
        </is>
      </c>
      <c r="I1725" t="n">
        <v>7742</v>
      </c>
      <c r="J1725" t="inlineStr">
        <is>
          <t>CAT 5</t>
        </is>
      </c>
      <c r="K1725" t="inlineStr">
        <is>
          <t>Sim</t>
        </is>
      </c>
    </row>
    <row r="1726">
      <c r="A1726" s="1">
        <f>HYPERLINK("https://eurofarma-latam-crm.veevavault.com/#object/account__v/V4TZ00001916ETT", "Ingrid Lopes")</f>
        <v/>
      </c>
      <c r="B1726" s="1">
        <f>HYPERLINK("https://eurofarma-latam-crm.veevavault.com/#object/account__v/V4TZ00001916ETT", "Ingrid Nery Gonçalves Lopes")</f>
        <v/>
      </c>
      <c r="C1726" t="inlineStr">
        <is>
          <t>RJ1170260</t>
        </is>
      </c>
      <c r="D1726" t="inlineStr">
        <is>
          <t>CLG / PA</t>
        </is>
      </c>
      <c r="E1726" t="inlineStr">
        <is>
          <t>Rua Barão do Rio Branco, 72</t>
        </is>
      </c>
      <c r="F1726" t="inlineStr">
        <is>
          <t>Passagem</t>
        </is>
      </c>
      <c r="G1726" t="inlineStr">
        <is>
          <t>Cabo Frio</t>
        </is>
      </c>
      <c r="H1726" t="inlineStr">
        <is>
          <t>RJ</t>
        </is>
      </c>
      <c r="I1726" t="n">
        <v>7742</v>
      </c>
      <c r="J1726" t="inlineStr">
        <is>
          <t>CAT 5</t>
        </is>
      </c>
      <c r="K1726" t="inlineStr">
        <is>
          <t>Sim</t>
        </is>
      </c>
    </row>
    <row r="1727">
      <c r="A1727" s="1">
        <f>HYPERLINK("https://eurofarma-latam-crm.veevavault.com/#object/account__v/V4TZ000018NYXTL", "Isabela Marinho")</f>
        <v/>
      </c>
      <c r="B1727" s="1">
        <f>HYPERLINK("https://eurofarma-latam-crm.veevavault.com/#object/account__v/V4TZ000018NYXTL", "Isabela Borgo Marinho")</f>
        <v/>
      </c>
      <c r="C1727" t="inlineStr">
        <is>
          <t>RJ1197797</t>
        </is>
      </c>
      <c r="D1727" t="inlineStr">
        <is>
          <t>ORL</t>
        </is>
      </c>
      <c r="E1727" t="inlineStr">
        <is>
          <t>Praça da República, 111</t>
        </is>
      </c>
      <c r="F1727" t="inlineStr">
        <is>
          <t>Centro</t>
        </is>
      </c>
      <c r="G1727" t="inlineStr">
        <is>
          <t>Rio de Janeiro</t>
        </is>
      </c>
      <c r="H1727" t="inlineStr">
        <is>
          <t>RJ</t>
        </is>
      </c>
      <c r="I1727" t="n">
        <v>7742</v>
      </c>
      <c r="J1727" t="inlineStr">
        <is>
          <t>CAT 4</t>
        </is>
      </c>
      <c r="K1727" t="inlineStr">
        <is>
          <t>Sim</t>
        </is>
      </c>
    </row>
    <row r="1728">
      <c r="A1728" s="1">
        <f>HYPERLINK("https://eurofarma-latam-crm.veevavault.com/#object/account__v/V4TZ025E83PC1W8", "Isabela Silva")</f>
        <v/>
      </c>
      <c r="B1728" s="1">
        <f>HYPERLINK("https://eurofarma-latam-crm.veevavault.com/#object/account__v/V4TZ025E83PC1W8", "Isabela Oliveira de Carvalho Reis Silva")</f>
        <v/>
      </c>
      <c r="C1728" t="inlineStr">
        <is>
          <t>RJ1170864</t>
        </is>
      </c>
      <c r="D1728" t="inlineStr">
        <is>
          <t>PED</t>
        </is>
      </c>
      <c r="E1728" t="inlineStr">
        <is>
          <t>Rua Doutor Nilo Peçanha, 232</t>
        </is>
      </c>
      <c r="F1728" t="inlineStr">
        <is>
          <t>Centro</t>
        </is>
      </c>
      <c r="G1728" t="inlineStr">
        <is>
          <t>São Gonçalo</t>
        </is>
      </c>
      <c r="H1728" t="inlineStr">
        <is>
          <t>RJ</t>
        </is>
      </c>
      <c r="I1728" t="n">
        <v>7742</v>
      </c>
      <c r="J1728" t="inlineStr">
        <is>
          <t>CAT 4</t>
        </is>
      </c>
      <c r="K1728" t="inlineStr">
        <is>
          <t>Sim</t>
        </is>
      </c>
    </row>
    <row r="1729">
      <c r="A1729" s="1">
        <f>HYPERLINK("https://eurofarma-latam-crm.veevavault.com/#object/account__v/V4TZ00001915MQI", "Ivan Correa Junior")</f>
        <v/>
      </c>
      <c r="B1729" s="1">
        <f>HYPERLINK("https://eurofarma-latam-crm.veevavault.com/#object/account__v/V4TZ00001915MQI", "Ivan Mendes Correa Junior")</f>
        <v/>
      </c>
      <c r="C1729" t="inlineStr">
        <is>
          <t>RJ0459372</t>
        </is>
      </c>
      <c r="D1729" t="inlineStr">
        <is>
          <t>CLG</t>
        </is>
      </c>
      <c r="E1729" t="inlineStr">
        <is>
          <t>Rua José da Silva, S/N</t>
        </is>
      </c>
      <c r="F1729" t="inlineStr">
        <is>
          <t>Coelho</t>
        </is>
      </c>
      <c r="G1729" t="inlineStr">
        <is>
          <t>São Gonçalo</t>
        </is>
      </c>
      <c r="H1729" t="inlineStr">
        <is>
          <t>RJ</t>
        </is>
      </c>
      <c r="I1729" t="n">
        <v>7742</v>
      </c>
      <c r="J1729" t="inlineStr">
        <is>
          <t>CAT 5</t>
        </is>
      </c>
      <c r="K1729" t="inlineStr">
        <is>
          <t>Sim</t>
        </is>
      </c>
    </row>
    <row r="1730">
      <c r="A1730" s="1">
        <f>HYPERLINK("https://eurofarma-latam-crm.veevavault.com/#object/account__v/V4TZ000018NXYYW", "Ivan Quelhas")</f>
        <v/>
      </c>
      <c r="B1730" s="1">
        <f>HYPERLINK("https://eurofarma-latam-crm.veevavault.com/#object/account__v/V4TZ000018NXYYW", "Ivan Silva Quelhas")</f>
        <v/>
      </c>
      <c r="C1730" t="inlineStr">
        <is>
          <t>RJ0930822</t>
        </is>
      </c>
      <c r="D1730" t="inlineStr">
        <is>
          <t>PSQ</t>
        </is>
      </c>
      <c r="E1730" t="inlineStr">
        <is>
          <t>Rua Santa Alexandrina, 667</t>
        </is>
      </c>
      <c r="F1730" t="inlineStr">
        <is>
          <t>Rio Comprido</t>
        </is>
      </c>
      <c r="G1730" t="inlineStr">
        <is>
          <t>Rio de Janeiro</t>
        </is>
      </c>
      <c r="H1730" t="inlineStr">
        <is>
          <t>RJ</t>
        </is>
      </c>
      <c r="I1730" t="n">
        <v>7742</v>
      </c>
      <c r="J1730" t="inlineStr">
        <is>
          <t>CAT 2</t>
        </is>
      </c>
      <c r="K1730" t="inlineStr">
        <is>
          <t>Sim</t>
        </is>
      </c>
    </row>
    <row r="1731">
      <c r="A1731" s="1">
        <f>HYPERLINK("https://eurofarma-latam-crm.veevavault.com/#object/account__v/V4T00000001O160", "Izabela Souza")</f>
        <v/>
      </c>
      <c r="B1731" s="1">
        <f>HYPERLINK("https://eurofarma-latam-crm.veevavault.com/#object/account__v/V4T00000001O160", "Izabela Alves Costa De Souza")</f>
        <v/>
      </c>
      <c r="C1731" t="inlineStr">
        <is>
          <t>RJ1420999</t>
        </is>
      </c>
      <c r="D1731" t="inlineStr">
        <is>
          <t>CLG / PA</t>
        </is>
      </c>
      <c r="E1731" t="inlineStr">
        <is>
          <t>Praça Estefania de Carvalho, 26</t>
        </is>
      </c>
      <c r="F1731" t="inlineStr">
        <is>
          <t>Zé Garoto</t>
        </is>
      </c>
      <c r="G1731" t="inlineStr">
        <is>
          <t>São Gonçalo</t>
        </is>
      </c>
      <c r="H1731" t="inlineStr">
        <is>
          <t>RJ</t>
        </is>
      </c>
      <c r="I1731" t="n">
        <v>7742</v>
      </c>
      <c r="J1731" t="inlineStr"/>
      <c r="K1731" t="inlineStr"/>
    </row>
    <row r="1732">
      <c r="A1732" s="1">
        <f>HYPERLINK("https://eurofarma-latam-crm.veevavault.com/#object/account__v/V4TZ04ASGMLL3Q6", "Jaqueline Araújo")</f>
        <v/>
      </c>
      <c r="B1732" s="1">
        <f>HYPERLINK("https://eurofarma-latam-crm.veevavault.com/#object/account__v/V4TZ04ASGMLL3Q6", "Jaqueline Gonçalves Freitas Araújo")</f>
        <v/>
      </c>
      <c r="C1732" t="inlineStr">
        <is>
          <t>PR0053828,RJ1400679</t>
        </is>
      </c>
      <c r="D1732" t="inlineStr">
        <is>
          <t>CLG / PA</t>
        </is>
      </c>
      <c r="E1732" t="inlineStr">
        <is>
          <t>Rua Vicente de Lima Cleto, 296</t>
        </is>
      </c>
      <c r="F1732" t="inlineStr">
        <is>
          <t>Nova Cidade</t>
        </is>
      </c>
      <c r="G1732" t="inlineStr">
        <is>
          <t>São Gonçalo</t>
        </is>
      </c>
      <c r="H1732" t="inlineStr">
        <is>
          <t>RJ</t>
        </is>
      </c>
      <c r="I1732" t="n">
        <v>7742</v>
      </c>
      <c r="J1732" t="inlineStr">
        <is>
          <t>CAT 5</t>
        </is>
      </c>
      <c r="K1732" t="inlineStr">
        <is>
          <t>N�o</t>
        </is>
      </c>
    </row>
    <row r="1733">
      <c r="A1733" s="1">
        <f>HYPERLINK("https://eurofarma-latam-crm.veevavault.com/#object/account__v/V4TZ025E89B4IYH", "Jheimson Lima")</f>
        <v/>
      </c>
      <c r="B1733" s="1">
        <f>HYPERLINK("https://eurofarma-latam-crm.veevavault.com/#object/account__v/V4TZ025E89B4IYH", "Jheimson da Silva Lima")</f>
        <v/>
      </c>
      <c r="C1733" t="inlineStr">
        <is>
          <t>RJ1284630</t>
        </is>
      </c>
      <c r="D1733" t="inlineStr">
        <is>
          <t>NEU</t>
        </is>
      </c>
      <c r="E1733" t="inlineStr">
        <is>
          <t>Rua Pastor Joaquim Rosa, 26</t>
        </is>
      </c>
      <c r="F1733" t="inlineStr">
        <is>
          <t>Vilar dos Teles</t>
        </is>
      </c>
      <c r="G1733" t="inlineStr">
        <is>
          <t>São João de Meriti</t>
        </is>
      </c>
      <c r="H1733" t="inlineStr">
        <is>
          <t>RJ</t>
        </is>
      </c>
      <c r="I1733" t="n">
        <v>7742</v>
      </c>
      <c r="J1733" t="inlineStr"/>
      <c r="K1733" t="inlineStr"/>
    </row>
    <row r="1734">
      <c r="A1734" s="1">
        <f>HYPERLINK("https://eurofarma-latam-crm.veevavault.com/#object/account__v/V4TZ00001913ULA", "João Felippe Villarinho")</f>
        <v/>
      </c>
      <c r="B1734" s="1">
        <f>HYPERLINK("https://eurofarma-latam-crm.veevavault.com/#object/account__v/V4TZ00001913ULA", "João Felippe Villarinho")</f>
        <v/>
      </c>
      <c r="C1734" t="inlineStr">
        <is>
          <t>RJ0820865</t>
        </is>
      </c>
      <c r="D1734" t="inlineStr">
        <is>
          <t>ORL</t>
        </is>
      </c>
      <c r="E1734" t="inlineStr">
        <is>
          <t>Rua Ator Paulo Gustavo, 229 - Salas 1610, 1611 e 1612</t>
        </is>
      </c>
      <c r="F1734" t="inlineStr">
        <is>
          <t>Icaraí</t>
        </is>
      </c>
      <c r="G1734" t="inlineStr">
        <is>
          <t>Niterói</t>
        </is>
      </c>
      <c r="H1734" t="inlineStr">
        <is>
          <t>RJ</t>
        </is>
      </c>
      <c r="I1734" t="n">
        <v>7742</v>
      </c>
      <c r="J1734" t="inlineStr">
        <is>
          <t>CAT 4</t>
        </is>
      </c>
      <c r="K1734" t="inlineStr">
        <is>
          <t>Sim</t>
        </is>
      </c>
    </row>
    <row r="1735">
      <c r="A1735" s="1">
        <f>HYPERLINK("https://eurofarma-latam-crm.veevavault.com/#object/account__v/V4TZ000018NZ9PA", "João Lucas Filho")</f>
        <v/>
      </c>
      <c r="B1735" s="1">
        <f>HYPERLINK("https://eurofarma-latam-crm.veevavault.com/#object/account__v/V4TZ000018NZ9PA", "João Lucas Filho")</f>
        <v/>
      </c>
      <c r="C1735" t="inlineStr">
        <is>
          <t>RJ0523883</t>
        </is>
      </c>
      <c r="D1735" t="inlineStr">
        <is>
          <t>CLG</t>
        </is>
      </c>
      <c r="E1735" t="inlineStr">
        <is>
          <t>Avenida Almirante Ary Parreiras, 668 - Vital Brazil</t>
        </is>
      </c>
      <c r="F1735" t="inlineStr">
        <is>
          <t>Icaraí</t>
        </is>
      </c>
      <c r="G1735" t="inlineStr">
        <is>
          <t>Niterói</t>
        </is>
      </c>
      <c r="H1735" t="inlineStr">
        <is>
          <t>RJ</t>
        </is>
      </c>
      <c r="I1735" t="n">
        <v>7742</v>
      </c>
      <c r="J1735" t="inlineStr">
        <is>
          <t>CAT 4</t>
        </is>
      </c>
      <c r="K1735" t="inlineStr">
        <is>
          <t>Sim</t>
        </is>
      </c>
    </row>
    <row r="1736">
      <c r="A1736" s="1">
        <f>HYPERLINK("https://eurofarma-latam-crm.veevavault.com/#object/account__v/V4TZ025E83Z4FP3", "João Pedro Soares")</f>
        <v/>
      </c>
      <c r="B1736" s="1">
        <f>HYPERLINK("https://eurofarma-latam-crm.veevavault.com/#object/account__v/V4TZ025E83Z4FP3", "João Pedro Bizzo Soares")</f>
        <v/>
      </c>
      <c r="C1736" t="inlineStr">
        <is>
          <t>RJ1154389</t>
        </is>
      </c>
      <c r="D1736" t="inlineStr">
        <is>
          <t>URO</t>
        </is>
      </c>
      <c r="E1736" t="inlineStr">
        <is>
          <t>Rua Osório Costa, S/N</t>
        </is>
      </c>
      <c r="F1736" t="inlineStr">
        <is>
          <t>Colubande</t>
        </is>
      </c>
      <c r="G1736" t="inlineStr">
        <is>
          <t>São Gonçalo</t>
        </is>
      </c>
      <c r="H1736" t="inlineStr">
        <is>
          <t>RJ</t>
        </is>
      </c>
      <c r="I1736" t="n">
        <v>7742</v>
      </c>
      <c r="J1736" t="inlineStr">
        <is>
          <t>CAT 5</t>
        </is>
      </c>
      <c r="K1736" t="inlineStr">
        <is>
          <t>N�o</t>
        </is>
      </c>
    </row>
    <row r="1737">
      <c r="A1737" s="1">
        <f>HYPERLINK("https://eurofarma-latam-crm.veevavault.com/#object/account__v/V4TZ00001914519", "Joao Sampaio")</f>
        <v/>
      </c>
      <c r="B1737" s="1">
        <f>HYPERLINK("https://eurofarma-latam-crm.veevavault.com/#object/account__v/V4TZ00001914519", "Joao Augusto de Carvalho Sampaio")</f>
        <v/>
      </c>
      <c r="C1737" t="inlineStr">
        <is>
          <t>RJ0160264</t>
        </is>
      </c>
      <c r="D1737" t="inlineStr">
        <is>
          <t>CLG</t>
        </is>
      </c>
      <c r="E1737" t="inlineStr">
        <is>
          <t>Rua Reverendo Armando Ferreira, 54 - Sala 211 212 E 213</t>
        </is>
      </c>
      <c r="F1737" t="inlineStr">
        <is>
          <t>Largo da Batalha</t>
        </is>
      </c>
      <c r="G1737" t="inlineStr">
        <is>
          <t>Niterói</t>
        </is>
      </c>
      <c r="H1737" t="inlineStr">
        <is>
          <t>RJ</t>
        </is>
      </c>
      <c r="I1737" t="n">
        <v>7742</v>
      </c>
      <c r="J1737" t="inlineStr">
        <is>
          <t>CAT 5</t>
        </is>
      </c>
      <c r="K1737" t="inlineStr">
        <is>
          <t>N�o</t>
        </is>
      </c>
    </row>
    <row r="1738">
      <c r="A1738" s="1">
        <f>HYPERLINK("https://eurofarma-latam-crm.veevavault.com/#object/account__v/V4TZ00001913YI6", "Jonny Takahashi")</f>
        <v/>
      </c>
      <c r="B1738" s="1">
        <f>HYPERLINK("https://eurofarma-latam-crm.veevavault.com/#object/account__v/V4TZ00001913YI6", "Jonny Shogo Takahashi")</f>
        <v/>
      </c>
      <c r="C1738" t="inlineStr">
        <is>
          <t>RJ0514192</t>
        </is>
      </c>
      <c r="D1738" t="inlineStr">
        <is>
          <t>ORT</t>
        </is>
      </c>
      <c r="E1738" t="inlineStr">
        <is>
          <t>Rua Coronel Moreira Cesar, 138 - Alameda Pio XII</t>
        </is>
      </c>
      <c r="F1738" t="inlineStr">
        <is>
          <t>Centro</t>
        </is>
      </c>
      <c r="G1738" t="inlineStr">
        <is>
          <t>São Gonçalo</t>
        </is>
      </c>
      <c r="H1738" t="inlineStr">
        <is>
          <t>RJ</t>
        </is>
      </c>
      <c r="I1738" t="n">
        <v>7742</v>
      </c>
      <c r="J1738" t="inlineStr">
        <is>
          <t>CAT 3</t>
        </is>
      </c>
      <c r="K1738" t="inlineStr">
        <is>
          <t>Sim</t>
        </is>
      </c>
    </row>
    <row r="1739">
      <c r="A1739" s="1">
        <f>HYPERLINK("https://eurofarma-latam-crm.veevavault.com/#object/account__v/V4TZ0000191543H", "Jorge Alberto de Souza")</f>
        <v/>
      </c>
      <c r="B1739" s="1">
        <f>HYPERLINK("https://eurofarma-latam-crm.veevavault.com/#object/account__v/V4TZ0000191543H", "Jorge Alberto Campos de Souza")</f>
        <v/>
      </c>
      <c r="C1739" t="inlineStr">
        <is>
          <t>MG0072198,RJ0377300</t>
        </is>
      </c>
      <c r="D1739" t="inlineStr">
        <is>
          <t>CLG</t>
        </is>
      </c>
      <c r="E1739" t="inlineStr">
        <is>
          <t>Rua Osório Costa, S/N</t>
        </is>
      </c>
      <c r="F1739" t="inlineStr">
        <is>
          <t>Colubande</t>
        </is>
      </c>
      <c r="G1739" t="inlineStr">
        <is>
          <t>São Gonçalo</t>
        </is>
      </c>
      <c r="H1739" t="inlineStr">
        <is>
          <t>RJ</t>
        </is>
      </c>
      <c r="I1739" t="n">
        <v>7742</v>
      </c>
      <c r="J1739" t="inlineStr">
        <is>
          <t>CAT 4</t>
        </is>
      </c>
      <c r="K1739" t="inlineStr">
        <is>
          <t>Sim</t>
        </is>
      </c>
    </row>
    <row r="1740">
      <c r="A1740" s="1">
        <f>HYPERLINK("https://eurofarma-latam-crm.veevavault.com/#object/account__v/V4TZ00001915V8T", "Jorge Baleta")</f>
        <v/>
      </c>
      <c r="B1740" s="1">
        <f>HYPERLINK("https://eurofarma-latam-crm.veevavault.com/#object/account__v/V4TZ00001915V8T", "Jorge Luis Castro Baleta")</f>
        <v/>
      </c>
      <c r="C1740" t="inlineStr">
        <is>
          <t>RJ0580645,SP0088368</t>
        </is>
      </c>
      <c r="D1740" t="inlineStr">
        <is>
          <t>NEU</t>
        </is>
      </c>
      <c r="E1740" t="inlineStr">
        <is>
          <t>Avenida Quinze de Novembro, 428</t>
        </is>
      </c>
      <c r="F1740" t="inlineStr">
        <is>
          <t>Centro</t>
        </is>
      </c>
      <c r="G1740" t="inlineStr">
        <is>
          <t>Itapecerica da Serra</t>
        </is>
      </c>
      <c r="H1740" t="inlineStr">
        <is>
          <t>SP</t>
        </is>
      </c>
      <c r="I1740" t="n">
        <v>7742</v>
      </c>
      <c r="J1740" t="inlineStr">
        <is>
          <t>CAT 2</t>
        </is>
      </c>
      <c r="K1740" t="inlineStr">
        <is>
          <t>Sim</t>
        </is>
      </c>
    </row>
    <row r="1741">
      <c r="A1741" s="1">
        <f>HYPERLINK("https://eurofarma-latam-crm.veevavault.com/#object/account__v/V4TZ000018NXWCI", "Jorge Luiz de Oliveira")</f>
        <v/>
      </c>
      <c r="B1741" s="1">
        <f>HYPERLINK("https://eurofarma-latam-crm.veevavault.com/#object/account__v/V4TZ000018NXWCI", "Jorge Luiz Costa de Oliveira")</f>
        <v/>
      </c>
      <c r="C1741" t="inlineStr">
        <is>
          <t>RJ0382070</t>
        </is>
      </c>
      <c r="D1741" t="inlineStr">
        <is>
          <t>CLG</t>
        </is>
      </c>
      <c r="E1741" t="inlineStr">
        <is>
          <t>Rua Coronel Rodrigues, 422 - Sala 1102</t>
        </is>
      </c>
      <c r="F1741" t="inlineStr">
        <is>
          <t>Centro</t>
        </is>
      </c>
      <c r="G1741" t="inlineStr">
        <is>
          <t>São Gonçalo</t>
        </is>
      </c>
      <c r="H1741" t="inlineStr">
        <is>
          <t>RJ</t>
        </is>
      </c>
      <c r="I1741" t="n">
        <v>7742</v>
      </c>
      <c r="J1741" t="inlineStr">
        <is>
          <t>CAT 5</t>
        </is>
      </c>
      <c r="K1741" t="inlineStr">
        <is>
          <t>N�o</t>
        </is>
      </c>
    </row>
    <row r="1742">
      <c r="A1742" s="1">
        <f>HYPERLINK("https://eurofarma-latam-crm.veevavault.com/#object/account__v/V4TZ000018NYHD5", "José Antônio Pacheco")</f>
        <v/>
      </c>
      <c r="B1742" s="1">
        <f>HYPERLINK("https://eurofarma-latam-crm.veevavault.com/#object/account__v/V4TZ000018NYHD5", "José Antônio Possidente Pacheco")</f>
        <v/>
      </c>
      <c r="C1742" t="inlineStr">
        <is>
          <t>RJ0306955</t>
        </is>
      </c>
      <c r="D1742" t="inlineStr">
        <is>
          <t>GAS</t>
        </is>
      </c>
      <c r="E1742" t="inlineStr">
        <is>
          <t>Rua Doutor Celestino, 122 - Sala 1107 E 1108</t>
        </is>
      </c>
      <c r="F1742" t="inlineStr">
        <is>
          <t>Centro</t>
        </is>
      </c>
      <c r="G1742" t="inlineStr">
        <is>
          <t>Niterói</t>
        </is>
      </c>
      <c r="H1742" t="inlineStr">
        <is>
          <t>RJ</t>
        </is>
      </c>
      <c r="I1742" t="n">
        <v>7742</v>
      </c>
      <c r="J1742" t="inlineStr">
        <is>
          <t>CAT 5</t>
        </is>
      </c>
      <c r="K1742" t="inlineStr">
        <is>
          <t>Sim</t>
        </is>
      </c>
    </row>
    <row r="1743">
      <c r="A1743" s="1">
        <f>HYPERLINK("https://eurofarma-latam-crm.veevavault.com/#object/account__v/V4TZ00001913YGM", "Jose Caruso")</f>
        <v/>
      </c>
      <c r="B1743" s="1">
        <f>HYPERLINK("https://eurofarma-latam-crm.veevavault.com/#object/account__v/V4TZ00001913YGM", "Jose Antonio Moises Caruso")</f>
        <v/>
      </c>
      <c r="C1743" t="inlineStr">
        <is>
          <t>RJ0254158</t>
        </is>
      </c>
      <c r="D1743" t="inlineStr">
        <is>
          <t>GER</t>
        </is>
      </c>
      <c r="E1743" t="inlineStr">
        <is>
          <t>Rua Coronel Serrado, 1000 - Sala 906</t>
        </is>
      </c>
      <c r="F1743" t="inlineStr">
        <is>
          <t>Zé Garoto</t>
        </is>
      </c>
      <c r="G1743" t="inlineStr">
        <is>
          <t>São Gonçalo</t>
        </is>
      </c>
      <c r="H1743" t="inlineStr">
        <is>
          <t>RJ</t>
        </is>
      </c>
      <c r="I1743" t="n">
        <v>7742</v>
      </c>
      <c r="J1743" t="inlineStr">
        <is>
          <t>CAT 4</t>
        </is>
      </c>
      <c r="K1743" t="inlineStr">
        <is>
          <t>Sim</t>
        </is>
      </c>
    </row>
    <row r="1744">
      <c r="A1744" s="1">
        <f>HYPERLINK("https://eurofarma-latam-crm.veevavault.com/#object/account__v/V4TZ000018NY0CG", "José Fernando de Medeiros")</f>
        <v/>
      </c>
      <c r="B1744" s="1">
        <f>HYPERLINK("https://eurofarma-latam-crm.veevavault.com/#object/account__v/V4TZ000018NY0CG", "José Fernando Costa de Medeiros")</f>
        <v/>
      </c>
      <c r="C1744" t="inlineStr">
        <is>
          <t>RJ0275730</t>
        </is>
      </c>
      <c r="D1744" t="inlineStr">
        <is>
          <t>ORT</t>
        </is>
      </c>
      <c r="E1744" t="inlineStr">
        <is>
          <t>Rua Irutim, 100 - Apt 304</t>
        </is>
      </c>
      <c r="F1744" t="inlineStr">
        <is>
          <t>Penha Circular</t>
        </is>
      </c>
      <c r="G1744" t="inlineStr">
        <is>
          <t>Rio de Janeiro</t>
        </is>
      </c>
      <c r="H1744" t="inlineStr">
        <is>
          <t>RJ</t>
        </is>
      </c>
      <c r="I1744" t="n">
        <v>7742</v>
      </c>
      <c r="J1744" t="inlineStr">
        <is>
          <t>CAT 4</t>
        </is>
      </c>
      <c r="K1744" t="inlineStr">
        <is>
          <t>Sim</t>
        </is>
      </c>
    </row>
    <row r="1745">
      <c r="A1745" s="1">
        <f>HYPERLINK("https://eurofarma-latam-crm.veevavault.com/#object/account__v/V4TZ00001913C0V", "José Luis Roizenbruch")</f>
        <v/>
      </c>
      <c r="B1745" s="1">
        <f>HYPERLINK("https://eurofarma-latam-crm.veevavault.com/#object/account__v/V4TZ00001913C0V", "José Luis Roizenbruch")</f>
        <v/>
      </c>
      <c r="C1745" t="inlineStr">
        <is>
          <t>RJ0400887</t>
        </is>
      </c>
      <c r="D1745" t="inlineStr">
        <is>
          <t>PSQ</t>
        </is>
      </c>
      <c r="E1745" t="inlineStr">
        <is>
          <t>Rua Simao Da Motta, S/N</t>
        </is>
      </c>
      <c r="F1745" t="inlineStr">
        <is>
          <t>Flexeiras</t>
        </is>
      </c>
      <c r="G1745" t="inlineStr">
        <is>
          <t>Magé</t>
        </is>
      </c>
      <c r="H1745" t="inlineStr">
        <is>
          <t>RJ</t>
        </is>
      </c>
      <c r="I1745" t="n">
        <v>7742</v>
      </c>
      <c r="J1745" t="inlineStr">
        <is>
          <t>CAT 3</t>
        </is>
      </c>
      <c r="K1745" t="inlineStr">
        <is>
          <t>Sim</t>
        </is>
      </c>
    </row>
    <row r="1746">
      <c r="A1746" s="1">
        <f>HYPERLINK("https://eurofarma-latam-crm.veevavault.com/#object/account__v/V4TZ00001914SWG", "José Mario Furtado")</f>
        <v/>
      </c>
      <c r="B1746" s="1">
        <f>HYPERLINK("https://eurofarma-latam-crm.veevavault.com/#object/account__v/V4TZ00001914SWG", "José Mario Sousa Gomes Furtado")</f>
        <v/>
      </c>
      <c r="C1746" t="inlineStr">
        <is>
          <t>RJ1013157</t>
        </is>
      </c>
      <c r="D1746" t="inlineStr">
        <is>
          <t>CLG / PA</t>
        </is>
      </c>
      <c r="E1746" t="inlineStr">
        <is>
          <t>Rua Doutor Nilo Peçanha, 232</t>
        </is>
      </c>
      <c r="F1746" t="inlineStr">
        <is>
          <t>Centro</t>
        </is>
      </c>
      <c r="G1746" t="inlineStr">
        <is>
          <t>São Gonçalo</t>
        </is>
      </c>
      <c r="H1746" t="inlineStr">
        <is>
          <t>RJ</t>
        </is>
      </c>
      <c r="I1746" t="n">
        <v>7742</v>
      </c>
      <c r="J1746" t="inlineStr">
        <is>
          <t>CAT 5</t>
        </is>
      </c>
      <c r="K1746" t="inlineStr">
        <is>
          <t>Sim</t>
        </is>
      </c>
    </row>
    <row r="1747">
      <c r="A1747" s="1">
        <f>HYPERLINK("https://eurofarma-latam-crm.veevavault.com/#object/account__v/V4TZ000018NZAU8", "Jose Matos Neto")</f>
        <v/>
      </c>
      <c r="B1747" s="1">
        <f>HYPERLINK("https://eurofarma-latam-crm.veevavault.com/#object/account__v/V4TZ000018NZAU8", "Jose Montenegro de Alencar Matos Neto")</f>
        <v/>
      </c>
      <c r="C1747" t="inlineStr">
        <is>
          <t>RJ0930873</t>
        </is>
      </c>
      <c r="D1747" t="inlineStr">
        <is>
          <t>PED</t>
        </is>
      </c>
      <c r="E1747" t="inlineStr">
        <is>
          <t>Avenida Amaro Cavalcanti, 495</t>
        </is>
      </c>
      <c r="F1747" t="inlineStr">
        <is>
          <t>Méier</t>
        </is>
      </c>
      <c r="G1747" t="inlineStr">
        <is>
          <t>Rio de Janeiro</t>
        </is>
      </c>
      <c r="H1747" t="inlineStr">
        <is>
          <t>RJ</t>
        </is>
      </c>
      <c r="I1747" t="n">
        <v>7742</v>
      </c>
      <c r="J1747" t="inlineStr">
        <is>
          <t>CAT 3</t>
        </is>
      </c>
      <c r="K1747" t="inlineStr">
        <is>
          <t>Sim</t>
        </is>
      </c>
    </row>
    <row r="1748">
      <c r="A1748" s="1">
        <f>HYPERLINK("https://eurofarma-latam-crm.veevavault.com/#object/account__v/V4TZ000018NXXME", "Juceny Lopes")</f>
        <v/>
      </c>
      <c r="B1748" s="1">
        <f>HYPERLINK("https://eurofarma-latam-crm.veevavault.com/#object/account__v/V4TZ000018NXXME", "Juceny Cardoso Teixeira Lopes")</f>
        <v/>
      </c>
      <c r="C1748" t="inlineStr">
        <is>
          <t>RJ0441254</t>
        </is>
      </c>
      <c r="D1748" t="inlineStr">
        <is>
          <t>PED</t>
        </is>
      </c>
      <c r="E1748" t="inlineStr">
        <is>
          <t>Rua Tiradentes, 12-18</t>
        </is>
      </c>
      <c r="F1748" t="inlineStr">
        <is>
          <t>Ingá</t>
        </is>
      </c>
      <c r="G1748" t="inlineStr">
        <is>
          <t>Niterói</t>
        </is>
      </c>
      <c r="H1748" t="inlineStr">
        <is>
          <t>RJ</t>
        </is>
      </c>
      <c r="I1748" t="n">
        <v>7742</v>
      </c>
      <c r="J1748" t="inlineStr">
        <is>
          <t>CAT 5</t>
        </is>
      </c>
      <c r="K1748" t="inlineStr">
        <is>
          <t>N�o</t>
        </is>
      </c>
    </row>
    <row r="1749">
      <c r="A1749" s="1">
        <f>HYPERLINK("https://eurofarma-latam-crm.veevavault.com/#object/account__v/V4TZ000019M5JVD", "Julia D'amico")</f>
        <v/>
      </c>
      <c r="B1749" s="1">
        <f>HYPERLINK("https://eurofarma-latam-crm.veevavault.com/#object/account__v/V4TZ000019M5JVD", "Julia Carvalho de Freitas França Martinez D'amico")</f>
        <v/>
      </c>
      <c r="C1749" t="inlineStr">
        <is>
          <t>RJ1159500</t>
        </is>
      </c>
      <c r="D1749" t="inlineStr">
        <is>
          <t>PED</t>
        </is>
      </c>
      <c r="E1749" t="inlineStr">
        <is>
          <t>Travessa Capitão Zeferino, 27 - Sala 1205</t>
        </is>
      </c>
      <c r="F1749" t="inlineStr">
        <is>
          <t>Icaraí</t>
        </is>
      </c>
      <c r="G1749" t="inlineStr">
        <is>
          <t>Niterói</t>
        </is>
      </c>
      <c r="H1749" t="inlineStr">
        <is>
          <t>RJ</t>
        </is>
      </c>
      <c r="I1749" t="n">
        <v>7742</v>
      </c>
      <c r="J1749" t="inlineStr">
        <is>
          <t>CAT 5</t>
        </is>
      </c>
      <c r="K1749" t="inlineStr">
        <is>
          <t>N�o</t>
        </is>
      </c>
    </row>
    <row r="1750">
      <c r="A1750" s="1">
        <f>HYPERLINK("https://eurofarma-latam-crm.veevavault.com/#object/account__v/V4TZ025E84FAA2I", "Julia Madalena")</f>
        <v/>
      </c>
      <c r="B1750" s="1">
        <f>HYPERLINK("https://eurofarma-latam-crm.veevavault.com/#object/account__v/V4TZ025E84FAA2I", "Julia Peruchi Madalena")</f>
        <v/>
      </c>
      <c r="C1750" t="inlineStr">
        <is>
          <t>RJ1171232,SC0028370</t>
        </is>
      </c>
      <c r="D1750" t="inlineStr">
        <is>
          <t>PSQ</t>
        </is>
      </c>
      <c r="E1750" t="inlineStr">
        <is>
          <t>Rua Belgrado, 323</t>
        </is>
      </c>
      <c r="F1750" t="inlineStr">
        <is>
          <t>Vila Moinho Velho</t>
        </is>
      </c>
      <c r="G1750" t="inlineStr">
        <is>
          <t>São Paulo</t>
        </is>
      </c>
      <c r="H1750" t="inlineStr">
        <is>
          <t>SP</t>
        </is>
      </c>
      <c r="I1750" t="n">
        <v>7742</v>
      </c>
      <c r="J1750" t="inlineStr">
        <is>
          <t>CAT 4</t>
        </is>
      </c>
      <c r="K1750" t="inlineStr">
        <is>
          <t>Sim</t>
        </is>
      </c>
    </row>
    <row r="1751">
      <c r="A1751" s="1">
        <f>HYPERLINK("https://eurofarma-latam-crm.veevavault.com/#object/account__v/V4TZ04ASGNVHE4T", "Julia Maria de Menezes")</f>
        <v/>
      </c>
      <c r="B1751" s="1">
        <f>HYPERLINK("https://eurofarma-latam-crm.veevavault.com/#object/account__v/V4TZ04ASGNVHE4T", "Julia Maria Parisio de Menezes")</f>
        <v/>
      </c>
      <c r="C1751" t="inlineStr">
        <is>
          <t>RJ1354418</t>
        </is>
      </c>
      <c r="D1751" t="inlineStr">
        <is>
          <t>CLG / PA</t>
        </is>
      </c>
      <c r="E1751" t="inlineStr">
        <is>
          <t>Rua Doutor Nilo Peçanha, 232</t>
        </is>
      </c>
      <c r="F1751" t="inlineStr">
        <is>
          <t>Centro</t>
        </is>
      </c>
      <c r="G1751" t="inlineStr">
        <is>
          <t>São Gonçalo</t>
        </is>
      </c>
      <c r="H1751" t="inlineStr">
        <is>
          <t>RJ</t>
        </is>
      </c>
      <c r="I1751" t="n">
        <v>7742</v>
      </c>
      <c r="J1751" t="inlineStr"/>
      <c r="K1751" t="inlineStr"/>
    </row>
    <row r="1752">
      <c r="A1752" s="1">
        <f>HYPERLINK("https://eurofarma-latam-crm.veevavault.com/#object/account__v/V4TZ04ASGNE61M9", "Julia Mattos")</f>
        <v/>
      </c>
      <c r="B1752" s="1">
        <f>HYPERLINK("https://eurofarma-latam-crm.veevavault.com/#object/account__v/V4TZ04ASGNE61M9", "Julia Rigueira Da Cunha Mattos")</f>
        <v/>
      </c>
      <c r="C1752" t="inlineStr">
        <is>
          <t>RJ1383779</t>
        </is>
      </c>
      <c r="D1752" t="inlineStr">
        <is>
          <t>CLG / PA</t>
        </is>
      </c>
      <c r="E1752" t="inlineStr">
        <is>
          <t>Praça Estefania de Carvalho, 26</t>
        </is>
      </c>
      <c r="F1752" t="inlineStr">
        <is>
          <t>Zé Garoto</t>
        </is>
      </c>
      <c r="G1752" t="inlineStr">
        <is>
          <t>São Gonçalo</t>
        </is>
      </c>
      <c r="H1752" t="inlineStr">
        <is>
          <t>RJ</t>
        </is>
      </c>
      <c r="I1752" t="n">
        <v>7742</v>
      </c>
      <c r="J1752" t="inlineStr"/>
      <c r="K1752" t="inlineStr"/>
    </row>
    <row r="1753">
      <c r="A1753" s="1">
        <f>HYPERLINK("https://eurofarma-latam-crm.veevavault.com/#object/account__v/V4TZ000018NYQLT", "Juliana de Oliveira")</f>
        <v/>
      </c>
      <c r="B1753" s="1">
        <f>HYPERLINK("https://eurofarma-latam-crm.veevavault.com/#object/account__v/V4TZ000018NYQLT", "Juliana Satin de Oliveira")</f>
        <v/>
      </c>
      <c r="C1753" t="inlineStr">
        <is>
          <t>RJ0921793</t>
        </is>
      </c>
      <c r="D1753" t="inlineStr">
        <is>
          <t>PED</t>
        </is>
      </c>
      <c r="E1753" t="inlineStr">
        <is>
          <t>Rua General Andrade Neves, 9 - Sala 910</t>
        </is>
      </c>
      <c r="F1753" t="inlineStr">
        <is>
          <t>São Domingos</t>
        </is>
      </c>
      <c r="G1753" t="inlineStr">
        <is>
          <t>Niterói</t>
        </is>
      </c>
      <c r="H1753" t="inlineStr">
        <is>
          <t>RJ</t>
        </is>
      </c>
      <c r="I1753" t="n">
        <v>7742</v>
      </c>
      <c r="J1753" t="inlineStr">
        <is>
          <t>CAT 5</t>
        </is>
      </c>
      <c r="K1753" t="inlineStr">
        <is>
          <t>Sim</t>
        </is>
      </c>
    </row>
    <row r="1754">
      <c r="A1754" s="1">
        <f>HYPERLINK("https://eurofarma-latam-crm.veevavault.com/#object/account__v/V4TZ025E8403M1X", "Juliana de Salles")</f>
        <v/>
      </c>
      <c r="B1754" s="1">
        <f>HYPERLINK("https://eurofarma-latam-crm.veevavault.com/#object/account__v/V4TZ025E8403M1X", "Juliana Pires de Salles")</f>
        <v/>
      </c>
      <c r="C1754" t="inlineStr">
        <is>
          <t>RJ1287800</t>
        </is>
      </c>
      <c r="D1754" t="inlineStr">
        <is>
          <t>CLG / PA</t>
        </is>
      </c>
      <c r="E1754" t="inlineStr">
        <is>
          <t>Rua Raposo Botelho, S/N - Qd 80 Lt 40</t>
        </is>
      </c>
      <c r="F1754" t="inlineStr">
        <is>
          <t>Jardim Catarina</t>
        </is>
      </c>
      <c r="G1754" t="inlineStr">
        <is>
          <t>São Gonçalo</t>
        </is>
      </c>
      <c r="H1754" t="inlineStr">
        <is>
          <t>RJ</t>
        </is>
      </c>
      <c r="I1754" t="n">
        <v>7742</v>
      </c>
      <c r="J1754" t="inlineStr">
        <is>
          <t>CAT 4</t>
        </is>
      </c>
      <c r="K1754" t="inlineStr">
        <is>
          <t>N�o</t>
        </is>
      </c>
    </row>
    <row r="1755">
      <c r="A1755" s="1">
        <f>HYPERLINK("https://eurofarma-latam-crm.veevavault.com/#object/account__v/V4TZ025E89NNL5J", "Karoline Roriz")</f>
        <v/>
      </c>
      <c r="B1755" s="1">
        <f>HYPERLINK("https://eurofarma-latam-crm.veevavault.com/#object/account__v/V4TZ025E89NNL5J", "Karoline Pereira Roriz")</f>
        <v/>
      </c>
      <c r="C1755" t="inlineStr">
        <is>
          <t>RJ1332473</t>
        </is>
      </c>
      <c r="D1755" t="inlineStr">
        <is>
          <t>CLG / PA</t>
        </is>
      </c>
      <c r="E1755" t="inlineStr">
        <is>
          <t>Estrada Prefeito Álvaro de Carvalho Júnior, S/N</t>
        </is>
      </c>
      <c r="F1755" t="inlineStr">
        <is>
          <t>Nancilândia</t>
        </is>
      </c>
      <c r="G1755" t="inlineStr">
        <is>
          <t>Itaboraí</t>
        </is>
      </c>
      <c r="H1755" t="inlineStr">
        <is>
          <t>RJ</t>
        </is>
      </c>
      <c r="I1755" t="n">
        <v>7742</v>
      </c>
      <c r="J1755" t="inlineStr">
        <is>
          <t>CAT 4</t>
        </is>
      </c>
      <c r="K1755" t="inlineStr">
        <is>
          <t>N�o</t>
        </is>
      </c>
    </row>
    <row r="1756">
      <c r="A1756" s="1">
        <f>HYPERLINK("https://eurofarma-latam-crm.veevavault.com/#object/account__v/V4TZ00001914QWK", "Katia Caetano")</f>
        <v/>
      </c>
      <c r="B1756" s="1">
        <f>HYPERLINK("https://eurofarma-latam-crm.veevavault.com/#object/account__v/V4TZ00001914QWK", "Katia Sylene Rocha Caetano")</f>
        <v/>
      </c>
      <c r="C1756" t="inlineStr">
        <is>
          <t>RJ0586866</t>
        </is>
      </c>
      <c r="D1756" t="inlineStr">
        <is>
          <t>PED</t>
        </is>
      </c>
      <c r="E1756" t="inlineStr">
        <is>
          <t>Estrada Covanca da Conceição, S/N</t>
        </is>
      </c>
      <c r="F1756" t="inlineStr">
        <is>
          <t>Mutuá</t>
        </is>
      </c>
      <c r="G1756" t="inlineStr">
        <is>
          <t>São Gonçalo</t>
        </is>
      </c>
      <c r="H1756" t="inlineStr">
        <is>
          <t>RJ</t>
        </is>
      </c>
      <c r="I1756" t="n">
        <v>7742</v>
      </c>
      <c r="J1756" t="inlineStr">
        <is>
          <t>CAT 5</t>
        </is>
      </c>
      <c r="K1756" t="inlineStr">
        <is>
          <t>N�o</t>
        </is>
      </c>
    </row>
    <row r="1757">
      <c r="A1757" s="1">
        <f>HYPERLINK("https://eurofarma-latam-crm.veevavault.com/#object/account__v/V4TZ0000191676C", "Kelly Costa")</f>
        <v/>
      </c>
      <c r="B1757" s="1">
        <f>HYPERLINK("https://eurofarma-latam-crm.veevavault.com/#object/account__v/V4TZ0000191676C", "Kelly Cristina Gomes da Costa")</f>
        <v/>
      </c>
      <c r="C1757" t="inlineStr">
        <is>
          <t>RJ0742384</t>
        </is>
      </c>
      <c r="D1757" t="inlineStr">
        <is>
          <t>PED</t>
        </is>
      </c>
      <c r="E1757" t="inlineStr">
        <is>
          <t>Rua Mário Lage, 111</t>
        </is>
      </c>
      <c r="F1757" t="inlineStr">
        <is>
          <t>Itaipu</t>
        </is>
      </c>
      <c r="G1757" t="inlineStr">
        <is>
          <t>Niterói</t>
        </is>
      </c>
      <c r="H1757" t="inlineStr">
        <is>
          <t>RJ</t>
        </is>
      </c>
      <c r="I1757" t="n">
        <v>7742</v>
      </c>
      <c r="J1757" t="inlineStr">
        <is>
          <t>CAT 5</t>
        </is>
      </c>
      <c r="K1757" t="inlineStr">
        <is>
          <t>N�o</t>
        </is>
      </c>
    </row>
    <row r="1758">
      <c r="A1758" s="1">
        <f>HYPERLINK("https://eurofarma-latam-crm.veevavault.com/#object/account__v/V4TZ025E8AXT8IP", "Kleiton Santos")</f>
        <v/>
      </c>
      <c r="B1758" s="1">
        <f>HYPERLINK("https://eurofarma-latam-crm.veevavault.com/#object/account__v/V4TZ025E8AXT8IP", "Kleiton Azevedo Vieira dos Santos")</f>
        <v/>
      </c>
      <c r="C1758" t="inlineStr">
        <is>
          <t>RJ1320718</t>
        </is>
      </c>
      <c r="D1758" t="inlineStr">
        <is>
          <t>PED</t>
        </is>
      </c>
      <c r="E1758" t="inlineStr">
        <is>
          <t>Praça Estefania de Carvalho, 26</t>
        </is>
      </c>
      <c r="F1758" t="inlineStr">
        <is>
          <t>Zé Garoto</t>
        </is>
      </c>
      <c r="G1758" t="inlineStr">
        <is>
          <t>São Gonçalo</t>
        </is>
      </c>
      <c r="H1758" t="inlineStr">
        <is>
          <t>RJ</t>
        </is>
      </c>
      <c r="I1758" t="n">
        <v>7742</v>
      </c>
      <c r="J1758" t="inlineStr">
        <is>
          <t>CAT 4</t>
        </is>
      </c>
      <c r="K1758" t="inlineStr">
        <is>
          <t>Sim</t>
        </is>
      </c>
    </row>
    <row r="1759">
      <c r="A1759" s="1">
        <f>HYPERLINK("https://eurofarma-latam-crm.veevavault.com/#object/account__v/V4TZ00001916F93", "Laís Aparecida Rimolo")</f>
        <v/>
      </c>
      <c r="B1759" s="1">
        <f>HYPERLINK("https://eurofarma-latam-crm.veevavault.com/#object/account__v/V4TZ00001916F93", "Laís Aparecida Corrêa Rimolo")</f>
        <v/>
      </c>
      <c r="C1759" t="inlineStr">
        <is>
          <t>RJ1098330</t>
        </is>
      </c>
      <c r="D1759" t="inlineStr">
        <is>
          <t>CLG / PA</t>
        </is>
      </c>
      <c r="E1759" t="inlineStr">
        <is>
          <t>Rua da Gamboa, 303</t>
        </is>
      </c>
      <c r="F1759" t="inlineStr">
        <is>
          <t>Gamboa</t>
        </is>
      </c>
      <c r="G1759" t="inlineStr">
        <is>
          <t>Rio de Janeiro</t>
        </is>
      </c>
      <c r="H1759" t="inlineStr">
        <is>
          <t>RJ</t>
        </is>
      </c>
      <c r="I1759" t="n">
        <v>7742</v>
      </c>
      <c r="J1759" t="inlineStr">
        <is>
          <t>CAT 4</t>
        </is>
      </c>
      <c r="K1759" t="inlineStr">
        <is>
          <t>Sim</t>
        </is>
      </c>
    </row>
    <row r="1760">
      <c r="A1760" s="1">
        <f>HYPERLINK("https://eurofarma-latam-crm.veevavault.com/#object/account__v/V4TZ025E8BRMR1R", "Larissa Mattos")</f>
        <v/>
      </c>
      <c r="B1760" s="1">
        <f>HYPERLINK("https://eurofarma-latam-crm.veevavault.com/#object/account__v/V4TZ025E8BRMR1R", "Larissa da Silveira Mattos")</f>
        <v/>
      </c>
      <c r="C1760" t="inlineStr">
        <is>
          <t>RJ1356798</t>
        </is>
      </c>
      <c r="D1760" t="inlineStr">
        <is>
          <t>PED</t>
        </is>
      </c>
      <c r="E1760" t="inlineStr">
        <is>
          <t>Praça Estefania de Carvalho, 26</t>
        </is>
      </c>
      <c r="F1760" t="inlineStr">
        <is>
          <t>Zé Garoto</t>
        </is>
      </c>
      <c r="G1760" t="inlineStr">
        <is>
          <t>São Gonçalo</t>
        </is>
      </c>
      <c r="H1760" t="inlineStr">
        <is>
          <t>RJ</t>
        </is>
      </c>
      <c r="I1760" t="n">
        <v>7742</v>
      </c>
      <c r="J1760" t="inlineStr"/>
      <c r="K1760" t="inlineStr"/>
    </row>
    <row r="1761">
      <c r="A1761" s="1">
        <f>HYPERLINK("https://eurofarma-latam-crm.veevavault.com/#object/account__v/V4TZ000018NYF0R", "Laryssa Pinho")</f>
        <v/>
      </c>
      <c r="B1761" s="1">
        <f>HYPERLINK("https://eurofarma-latam-crm.veevavault.com/#object/account__v/V4TZ000018NYF0R", "Laryssa dos Santos Pinho")</f>
        <v/>
      </c>
      <c r="C1761" t="inlineStr">
        <is>
          <t>RJ1127071</t>
        </is>
      </c>
      <c r="D1761" t="inlineStr">
        <is>
          <t>CLG / PA</t>
        </is>
      </c>
      <c r="E1761" t="inlineStr">
        <is>
          <t>Rua Doutor Nilo Peçanha, 442 - Parte</t>
        </is>
      </c>
      <c r="F1761" t="inlineStr">
        <is>
          <t>Estrela do Norte</t>
        </is>
      </c>
      <c r="G1761" t="inlineStr">
        <is>
          <t>São Gonçalo</t>
        </is>
      </c>
      <c r="H1761" t="inlineStr">
        <is>
          <t>RJ</t>
        </is>
      </c>
      <c r="I1761" t="n">
        <v>7742</v>
      </c>
      <c r="J1761" t="inlineStr">
        <is>
          <t>CAT 3</t>
        </is>
      </c>
      <c r="K1761" t="inlineStr">
        <is>
          <t>Sim</t>
        </is>
      </c>
    </row>
    <row r="1762">
      <c r="A1762" s="1">
        <f>HYPERLINK("https://eurofarma-latam-crm.veevavault.com/#object/account__v/V4TZ000018NYPM1", "Laudicea Fiorito")</f>
        <v/>
      </c>
      <c r="B1762" s="1">
        <f>HYPERLINK("https://eurofarma-latam-crm.veevavault.com/#object/account__v/V4TZ000018NYPM1", "Laudicea Furtado Fiorito")</f>
        <v/>
      </c>
      <c r="C1762" t="inlineStr">
        <is>
          <t>RJ0355445</t>
        </is>
      </c>
      <c r="D1762" t="inlineStr">
        <is>
          <t>PED</t>
        </is>
      </c>
      <c r="E1762" t="inlineStr">
        <is>
          <t>Praça Estefania de Carvalho, S/N</t>
        </is>
      </c>
      <c r="F1762" t="inlineStr">
        <is>
          <t>Zé Garoto</t>
        </is>
      </c>
      <c r="G1762" t="inlineStr">
        <is>
          <t>São Gonçalo</t>
        </is>
      </c>
      <c r="H1762" t="inlineStr">
        <is>
          <t>RJ</t>
        </is>
      </c>
      <c r="I1762" t="n">
        <v>7742</v>
      </c>
      <c r="J1762" t="inlineStr">
        <is>
          <t>CAT 5</t>
        </is>
      </c>
      <c r="K1762" t="inlineStr">
        <is>
          <t>N�o</t>
        </is>
      </c>
    </row>
    <row r="1763">
      <c r="A1763" s="1">
        <f>HYPERLINK("https://eurofarma-latam-crm.veevavault.com/#object/account__v/V4TZ000018NZBU2", "Laura Silva")</f>
        <v/>
      </c>
      <c r="B1763" s="1">
        <f>HYPERLINK("https://eurofarma-latam-crm.veevavault.com/#object/account__v/V4TZ000018NZBU2", "Laura Nascimento Silva")</f>
        <v/>
      </c>
      <c r="C1763" t="inlineStr">
        <is>
          <t>MA0012112,RJ1265415</t>
        </is>
      </c>
      <c r="D1763" t="inlineStr">
        <is>
          <t>CLG / PA</t>
        </is>
      </c>
      <c r="E1763" t="inlineStr">
        <is>
          <t>Rua Sá Barreto, 107</t>
        </is>
      </c>
      <c r="F1763" t="inlineStr">
        <is>
          <t>Fonseca</t>
        </is>
      </c>
      <c r="G1763" t="inlineStr">
        <is>
          <t>Niterói</t>
        </is>
      </c>
      <c r="H1763" t="inlineStr">
        <is>
          <t>RJ</t>
        </is>
      </c>
      <c r="I1763" t="n">
        <v>7742</v>
      </c>
      <c r="J1763" t="inlineStr">
        <is>
          <t>CAT 4</t>
        </is>
      </c>
      <c r="K1763" t="inlineStr">
        <is>
          <t>Sim</t>
        </is>
      </c>
    </row>
    <row r="1764">
      <c r="A1764" s="1">
        <f>HYPERLINK("https://eurofarma-latam-crm.veevavault.com/#object/account__v/V4TZ025E89K5XGT", "Laura Sznajder")</f>
        <v/>
      </c>
      <c r="B1764" s="1">
        <f>HYPERLINK("https://eurofarma-latam-crm.veevavault.com/#object/account__v/V4TZ025E89K5XGT", "Laura Bergman Sznajder")</f>
        <v/>
      </c>
      <c r="C1764" t="inlineStr">
        <is>
          <t>RJ1285904</t>
        </is>
      </c>
      <c r="D1764" t="inlineStr">
        <is>
          <t>ORL</t>
        </is>
      </c>
      <c r="E1764" t="inlineStr">
        <is>
          <t>Rua Marquês de Paraná, 303</t>
        </is>
      </c>
      <c r="F1764" t="inlineStr">
        <is>
          <t>Centro</t>
        </is>
      </c>
      <c r="G1764" t="inlineStr">
        <is>
          <t>Niterói</t>
        </is>
      </c>
      <c r="H1764" t="inlineStr">
        <is>
          <t>RJ</t>
        </is>
      </c>
      <c r="I1764" t="n">
        <v>7742</v>
      </c>
      <c r="J1764" t="inlineStr">
        <is>
          <t>CAT 5</t>
        </is>
      </c>
      <c r="K1764" t="inlineStr">
        <is>
          <t>N�o</t>
        </is>
      </c>
    </row>
    <row r="1765">
      <c r="A1765" s="1">
        <f>HYPERLINK("https://eurofarma-latam-crm.veevavault.com/#object/account__v/V4TZ0000191338D", "Leila Maria Tavares")</f>
        <v/>
      </c>
      <c r="B1765" s="1">
        <f>HYPERLINK("https://eurofarma-latam-crm.veevavault.com/#object/account__v/V4TZ0000191338D", "Leila Maria da Silva Tavares")</f>
        <v/>
      </c>
      <c r="C1765" t="inlineStr">
        <is>
          <t>RJ0540700</t>
        </is>
      </c>
      <c r="D1765" t="inlineStr">
        <is>
          <t>PSQ</t>
        </is>
      </c>
      <c r="E1765" t="inlineStr">
        <is>
          <t>Rua Coronel Moreira Cesar, S/N</t>
        </is>
      </c>
      <c r="F1765" t="inlineStr">
        <is>
          <t>Centro</t>
        </is>
      </c>
      <c r="G1765" t="inlineStr">
        <is>
          <t>São Gonçalo</t>
        </is>
      </c>
      <c r="H1765" t="inlineStr">
        <is>
          <t>RJ</t>
        </is>
      </c>
      <c r="I1765" t="n">
        <v>7742</v>
      </c>
      <c r="J1765" t="inlineStr">
        <is>
          <t>CAT 3</t>
        </is>
      </c>
      <c r="K1765" t="inlineStr">
        <is>
          <t>Sim</t>
        </is>
      </c>
    </row>
    <row r="1766">
      <c r="A1766" s="1">
        <f>HYPERLINK("https://eurofarma-latam-crm.veevavault.com/#object/account__v/V4TZ00001914KM6", "Lenira Maria Silva")</f>
        <v/>
      </c>
      <c r="B1766" s="1">
        <f>HYPERLINK("https://eurofarma-latam-crm.veevavault.com/#object/account__v/V4TZ00001914KM6", "Lenira Maria Ferreira Silva")</f>
        <v/>
      </c>
      <c r="C1766" t="inlineStr">
        <is>
          <t>RJ0489462</t>
        </is>
      </c>
      <c r="D1766" t="inlineStr">
        <is>
          <t>CLG / SNC</t>
        </is>
      </c>
      <c r="E1766" t="inlineStr">
        <is>
          <t>Rua Ataíde Parreiras, 266 - Bloco 1</t>
        </is>
      </c>
      <c r="F1766" t="inlineStr">
        <is>
          <t>Fátima</t>
        </is>
      </c>
      <c r="G1766" t="inlineStr">
        <is>
          <t>Niterói</t>
        </is>
      </c>
      <c r="H1766" t="inlineStr">
        <is>
          <t>RJ</t>
        </is>
      </c>
      <c r="I1766" t="n">
        <v>7742</v>
      </c>
      <c r="J1766" t="inlineStr">
        <is>
          <t>CAT 4</t>
        </is>
      </c>
      <c r="K1766" t="inlineStr">
        <is>
          <t>Sim</t>
        </is>
      </c>
    </row>
    <row r="1767">
      <c r="A1767" s="1">
        <f>HYPERLINK("https://eurofarma-latam-crm.veevavault.com/#object/account__v/V4TZ000018NYMRA", "Leonardo Novais")</f>
        <v/>
      </c>
      <c r="B1767" s="1">
        <f>HYPERLINK("https://eurofarma-latam-crm.veevavault.com/#object/account__v/V4TZ000018NYMRA", "Leonardo Cordeiro Novais")</f>
        <v/>
      </c>
      <c r="C1767" t="inlineStr">
        <is>
          <t>RJ1263781</t>
        </is>
      </c>
      <c r="D1767" t="inlineStr">
        <is>
          <t>ORT</t>
        </is>
      </c>
      <c r="E1767" t="inlineStr">
        <is>
          <t>Avenida Vicente de Carvalho, 909 - Andar 2</t>
        </is>
      </c>
      <c r="F1767" t="inlineStr">
        <is>
          <t>Vila da Penha</t>
        </is>
      </c>
      <c r="G1767" t="inlineStr">
        <is>
          <t>Rio de Janeiro</t>
        </is>
      </c>
      <c r="H1767" t="inlineStr">
        <is>
          <t>RJ</t>
        </is>
      </c>
      <c r="I1767" t="n">
        <v>7742</v>
      </c>
      <c r="J1767" t="inlineStr"/>
      <c r="K1767" t="inlineStr"/>
    </row>
    <row r="1768">
      <c r="A1768" s="1">
        <f>HYPERLINK("https://eurofarma-latam-crm.veevavault.com/#object/account__v/V4TZ025E89F3GCC", "Leticia Almeida")</f>
        <v/>
      </c>
      <c r="B1768" s="1">
        <f>HYPERLINK("https://eurofarma-latam-crm.veevavault.com/#object/account__v/V4TZ025E89F3GCC", "Leticia Rodrigues de Almeida")</f>
        <v/>
      </c>
      <c r="C1768" t="inlineStr">
        <is>
          <t>RJ1205200</t>
        </is>
      </c>
      <c r="D1768" t="inlineStr">
        <is>
          <t>URO</t>
        </is>
      </c>
      <c r="E1768" t="inlineStr">
        <is>
          <t>Avenida Baltimore, 23</t>
        </is>
      </c>
      <c r="F1768" t="inlineStr">
        <is>
          <t>Rancho Novo</t>
        </is>
      </c>
      <c r="G1768" t="inlineStr">
        <is>
          <t>Nova Iguaçu</t>
        </is>
      </c>
      <c r="H1768" t="inlineStr">
        <is>
          <t>RJ</t>
        </is>
      </c>
      <c r="I1768" t="n">
        <v>7742</v>
      </c>
      <c r="J1768" t="inlineStr">
        <is>
          <t>CAT 5</t>
        </is>
      </c>
      <c r="K1768" t="inlineStr">
        <is>
          <t>N�o</t>
        </is>
      </c>
    </row>
    <row r="1769">
      <c r="A1769" s="1">
        <f>HYPERLINK("https://eurofarma-latam-crm.veevavault.com/#object/account__v/V4TZ025E8F6UT72", "Letícia Gomes")</f>
        <v/>
      </c>
      <c r="B1769" s="1">
        <f>HYPERLINK("https://eurofarma-latam-crm.veevavault.com/#object/account__v/V4TZ025E8F6UT72", "Letícia Lopes Gomes")</f>
        <v/>
      </c>
      <c r="C1769" t="inlineStr">
        <is>
          <t>RJ1273914</t>
        </is>
      </c>
      <c r="D1769" t="inlineStr">
        <is>
          <t>NEU</t>
        </is>
      </c>
      <c r="E1769" t="inlineStr">
        <is>
          <t>Rua Marquês de Paraná, 303</t>
        </is>
      </c>
      <c r="F1769" t="inlineStr">
        <is>
          <t>Centro</t>
        </is>
      </c>
      <c r="G1769" t="inlineStr">
        <is>
          <t>Niterói</t>
        </is>
      </c>
      <c r="H1769" t="inlineStr">
        <is>
          <t>RJ</t>
        </is>
      </c>
      <c r="I1769" t="n">
        <v>7742</v>
      </c>
      <c r="J1769" t="inlineStr">
        <is>
          <t>CAT 5</t>
        </is>
      </c>
      <c r="K1769" t="inlineStr">
        <is>
          <t>N�o</t>
        </is>
      </c>
    </row>
    <row r="1770">
      <c r="A1770" s="1">
        <f>HYPERLINK("https://eurofarma-latam-crm.veevavault.com/#object/account__v/V4TZ000018NYC78", "Ligia Lacerda")</f>
        <v/>
      </c>
      <c r="B1770" s="1">
        <f>HYPERLINK("https://eurofarma-latam-crm.veevavault.com/#object/account__v/V4TZ000018NYC78", "Ligia Ferreira Barbosa Lacerda")</f>
        <v/>
      </c>
      <c r="C1770" t="inlineStr">
        <is>
          <t>RJ1020102</t>
        </is>
      </c>
      <c r="D1770" t="inlineStr">
        <is>
          <t>CLG</t>
        </is>
      </c>
      <c r="E1770" t="inlineStr">
        <is>
          <t>Rua Doutor Nilo Peçanha, 442 - Parte</t>
        </is>
      </c>
      <c r="F1770" t="inlineStr">
        <is>
          <t>Estrela do Norte</t>
        </is>
      </c>
      <c r="G1770" t="inlineStr">
        <is>
          <t>São Gonçalo</t>
        </is>
      </c>
      <c r="H1770" t="inlineStr">
        <is>
          <t>RJ</t>
        </is>
      </c>
      <c r="I1770" t="n">
        <v>7742</v>
      </c>
      <c r="J1770" t="inlineStr">
        <is>
          <t>CAT 5</t>
        </is>
      </c>
      <c r="K1770" t="inlineStr">
        <is>
          <t>N�o</t>
        </is>
      </c>
    </row>
    <row r="1771">
      <c r="A1771" s="1">
        <f>HYPERLINK("https://eurofarma-latam-crm.veevavault.com/#object/account__v/V4TZ000019M5IE7", "Lindolfo Siqueira")</f>
        <v/>
      </c>
      <c r="B1771" s="1">
        <f>HYPERLINK("https://eurofarma-latam-crm.veevavault.com/#object/account__v/V4TZ000019M5IE7", "Lindolfo Gabriel de Siqueira")</f>
        <v/>
      </c>
      <c r="C1771" t="inlineStr">
        <is>
          <t>RJ1281275</t>
        </is>
      </c>
      <c r="D1771" t="inlineStr">
        <is>
          <t>CLG / PA</t>
        </is>
      </c>
      <c r="E1771" t="inlineStr">
        <is>
          <t>Rua Sá Barreto, 107</t>
        </is>
      </c>
      <c r="F1771" t="inlineStr">
        <is>
          <t>Fonseca</t>
        </is>
      </c>
      <c r="G1771" t="inlineStr">
        <is>
          <t>Niterói</t>
        </is>
      </c>
      <c r="H1771" t="inlineStr">
        <is>
          <t>RJ</t>
        </is>
      </c>
      <c r="I1771" t="n">
        <v>7742</v>
      </c>
      <c r="J1771" t="inlineStr">
        <is>
          <t>CAT 4</t>
        </is>
      </c>
      <c r="K1771" t="inlineStr">
        <is>
          <t>Sim</t>
        </is>
      </c>
    </row>
    <row r="1772">
      <c r="A1772" s="1">
        <f>HYPERLINK("https://eurofarma-latam-crm.veevavault.com/#object/account__v/V4TZ000018NZ46S", "Livia Maria de Carvalho")</f>
        <v/>
      </c>
      <c r="B1772" s="1">
        <f>HYPERLINK("https://eurofarma-latam-crm.veevavault.com/#object/account__v/V4TZ000018NZ46S", "Livia Maria Gallucci de Carvalho")</f>
        <v/>
      </c>
      <c r="C1772" t="inlineStr">
        <is>
          <t>RJ0530280</t>
        </is>
      </c>
      <c r="D1772" t="inlineStr">
        <is>
          <t>PED</t>
        </is>
      </c>
      <c r="E1772" t="inlineStr">
        <is>
          <t>Estrada Covanca da Conceição, S/N</t>
        </is>
      </c>
      <c r="F1772" t="inlineStr">
        <is>
          <t>Mutuá</t>
        </is>
      </c>
      <c r="G1772" t="inlineStr">
        <is>
          <t>São Gonçalo</t>
        </is>
      </c>
      <c r="H1772" t="inlineStr">
        <is>
          <t>RJ</t>
        </is>
      </c>
      <c r="I1772" t="n">
        <v>7742</v>
      </c>
      <c r="J1772" t="inlineStr">
        <is>
          <t>CAT 4</t>
        </is>
      </c>
      <c r="K1772" t="inlineStr">
        <is>
          <t>Sim</t>
        </is>
      </c>
    </row>
    <row r="1773">
      <c r="A1773" s="1">
        <f>HYPERLINK("https://eurofarma-latam-crm.veevavault.com/#object/account__v/V4TZ025E88102T6", "Lucas de Campos")</f>
        <v/>
      </c>
      <c r="B1773" s="1">
        <f>HYPERLINK("https://eurofarma-latam-crm.veevavault.com/#object/account__v/V4TZ025E88102T6", "Lucas Mannarino Santos de Campos")</f>
        <v/>
      </c>
      <c r="C1773" t="inlineStr">
        <is>
          <t>RJ1243403</t>
        </is>
      </c>
      <c r="D1773" t="inlineStr">
        <is>
          <t>NEU</t>
        </is>
      </c>
      <c r="E1773" t="inlineStr">
        <is>
          <t>Rua Marquês de Paraná, 303</t>
        </is>
      </c>
      <c r="F1773" t="inlineStr">
        <is>
          <t>Centro</t>
        </is>
      </c>
      <c r="G1773" t="inlineStr">
        <is>
          <t>Niterói</t>
        </is>
      </c>
      <c r="H1773" t="inlineStr">
        <is>
          <t>RJ</t>
        </is>
      </c>
      <c r="I1773" t="n">
        <v>7742</v>
      </c>
      <c r="J1773" t="inlineStr">
        <is>
          <t>CAT 5</t>
        </is>
      </c>
      <c r="K1773" t="inlineStr">
        <is>
          <t>N�o</t>
        </is>
      </c>
    </row>
    <row r="1774">
      <c r="A1774" s="1">
        <f>HYPERLINK("https://eurofarma-latam-crm.veevavault.com/#object/account__v/V4TZ025E89B4LNP", "Lucas de Lucas")</f>
        <v/>
      </c>
      <c r="B1774" s="1">
        <f>HYPERLINK("https://eurofarma-latam-crm.veevavault.com/#object/account__v/V4TZ025E89B4LNP", "Lucas Ladeira de Lucas")</f>
        <v/>
      </c>
      <c r="C1774" t="inlineStr">
        <is>
          <t>RJ1299506</t>
        </is>
      </c>
      <c r="D1774" t="inlineStr">
        <is>
          <t>NEU</t>
        </is>
      </c>
      <c r="E1774" t="inlineStr">
        <is>
          <t>Rua Marquês de Paraná, 303</t>
        </is>
      </c>
      <c r="F1774" t="inlineStr">
        <is>
          <t>Centro</t>
        </is>
      </c>
      <c r="G1774" t="inlineStr">
        <is>
          <t>Niterói</t>
        </is>
      </c>
      <c r="H1774" t="inlineStr">
        <is>
          <t>RJ</t>
        </is>
      </c>
      <c r="I1774" t="n">
        <v>7742</v>
      </c>
      <c r="J1774" t="inlineStr">
        <is>
          <t>CAT 5</t>
        </is>
      </c>
      <c r="K1774" t="inlineStr">
        <is>
          <t>Sim</t>
        </is>
      </c>
    </row>
    <row r="1775">
      <c r="A1775" s="1">
        <f>HYPERLINK("https://eurofarma-latam-crm.veevavault.com/#object/account__v/V4TZ025E8AP1B2B", "Lucas Ferreira")</f>
        <v/>
      </c>
      <c r="B1775" s="1">
        <f>HYPERLINK("https://eurofarma-latam-crm.veevavault.com/#object/account__v/V4TZ025E8AP1B2B", "Lucas Soares Ferreira")</f>
        <v/>
      </c>
      <c r="C1775" t="inlineStr">
        <is>
          <t>RJ1332120</t>
        </is>
      </c>
      <c r="D1775" t="inlineStr">
        <is>
          <t>CLG / PA</t>
        </is>
      </c>
      <c r="E1775" t="inlineStr">
        <is>
          <t>Rua Doutor Nilo Peçanha, 232</t>
        </is>
      </c>
      <c r="F1775" t="inlineStr">
        <is>
          <t>Centro</t>
        </is>
      </c>
      <c r="G1775" t="inlineStr">
        <is>
          <t>São Gonçalo</t>
        </is>
      </c>
      <c r="H1775" t="inlineStr">
        <is>
          <t>RJ</t>
        </is>
      </c>
      <c r="I1775" t="n">
        <v>7742</v>
      </c>
      <c r="J1775" t="inlineStr">
        <is>
          <t>CAT 4</t>
        </is>
      </c>
      <c r="K1775" t="inlineStr">
        <is>
          <t>Sim</t>
        </is>
      </c>
    </row>
    <row r="1776">
      <c r="A1776" s="1">
        <f>HYPERLINK("https://eurofarma-latam-crm.veevavault.com/#object/account__v/V4TZ00001913OMT", "Lucas Soares")</f>
        <v/>
      </c>
      <c r="B1776" s="1">
        <f>HYPERLINK("https://eurofarma-latam-crm.veevavault.com/#object/account__v/V4TZ00001913OMT", "Lucas Mendes Soares")</f>
        <v/>
      </c>
      <c r="C1776" t="inlineStr">
        <is>
          <t>MG0067978,RJ1193066</t>
        </is>
      </c>
      <c r="D1776" t="inlineStr">
        <is>
          <t>ORL</t>
        </is>
      </c>
      <c r="E1776" t="inlineStr">
        <is>
          <t>Rua Conde de Bonfim, 297 - Sala 1008</t>
        </is>
      </c>
      <c r="F1776" t="inlineStr">
        <is>
          <t>Tijuca</t>
        </is>
      </c>
      <c r="G1776" t="inlineStr">
        <is>
          <t>Rio de Janeiro</t>
        </is>
      </c>
      <c r="H1776" t="inlineStr">
        <is>
          <t>RJ</t>
        </is>
      </c>
      <c r="I1776" t="n">
        <v>7742</v>
      </c>
      <c r="J1776" t="inlineStr">
        <is>
          <t>CAT 4</t>
        </is>
      </c>
      <c r="K1776" t="inlineStr">
        <is>
          <t>Sim</t>
        </is>
      </c>
    </row>
    <row r="1777">
      <c r="A1777" s="1">
        <f>HYPERLINK("https://eurofarma-latam-crm.veevavault.com/#object/account__v/V4TZ00001915HSM", "Lúcia Alt")</f>
        <v/>
      </c>
      <c r="B1777" s="1">
        <f>HYPERLINK("https://eurofarma-latam-crm.veevavault.com/#object/account__v/V4TZ00001915HSM", "Lúcia Mattoso Câmara Alt")</f>
        <v/>
      </c>
      <c r="C1777" t="inlineStr">
        <is>
          <t>RJ0403236</t>
        </is>
      </c>
      <c r="D1777" t="inlineStr">
        <is>
          <t>PED</t>
        </is>
      </c>
      <c r="E1777" t="inlineStr">
        <is>
          <t>Rua Doutor Nilo Peçanha, 232</t>
        </is>
      </c>
      <c r="F1777" t="inlineStr">
        <is>
          <t>Centro</t>
        </is>
      </c>
      <c r="G1777" t="inlineStr">
        <is>
          <t>São Gonçalo</t>
        </is>
      </c>
      <c r="H1777" t="inlineStr">
        <is>
          <t>RJ</t>
        </is>
      </c>
      <c r="I1777" t="n">
        <v>7742</v>
      </c>
      <c r="J1777" t="inlineStr">
        <is>
          <t>CAT 5</t>
        </is>
      </c>
      <c r="K1777" t="inlineStr">
        <is>
          <t>Sim</t>
        </is>
      </c>
    </row>
    <row r="1778">
      <c r="A1778" s="1">
        <f>HYPERLINK("https://eurofarma-latam-crm.veevavault.com/#object/account__v/V4TZ00001915AHD", "Lucia Helena de Pontes")</f>
        <v/>
      </c>
      <c r="B1778" s="1">
        <f>HYPERLINK("https://eurofarma-latam-crm.veevavault.com/#object/account__v/V4TZ00001915AHD", "Lucia Helena Barbosa de Pontes")</f>
        <v/>
      </c>
      <c r="C1778" t="inlineStr">
        <is>
          <t>RJ0657638</t>
        </is>
      </c>
      <c r="D1778" t="inlineStr">
        <is>
          <t>PED</t>
        </is>
      </c>
      <c r="E1778" t="inlineStr">
        <is>
          <t>Praça Estefania de Carvalho, S/N</t>
        </is>
      </c>
      <c r="F1778" t="inlineStr">
        <is>
          <t>Zé Garoto</t>
        </is>
      </c>
      <c r="G1778" t="inlineStr">
        <is>
          <t>São Gonçalo</t>
        </is>
      </c>
      <c r="H1778" t="inlineStr">
        <is>
          <t>RJ</t>
        </is>
      </c>
      <c r="I1778" t="n">
        <v>7742</v>
      </c>
      <c r="J1778" t="inlineStr">
        <is>
          <t>CAT 5</t>
        </is>
      </c>
      <c r="K1778" t="inlineStr">
        <is>
          <t>Sim</t>
        </is>
      </c>
    </row>
    <row r="1779">
      <c r="A1779" s="1">
        <f>HYPERLINK("https://eurofarma-latam-crm.veevavault.com/#object/account__v/V4TZ000018NYFEX", "Luciana Almeida")</f>
        <v/>
      </c>
      <c r="B1779" s="1">
        <f>HYPERLINK("https://eurofarma-latam-crm.veevavault.com/#object/account__v/V4TZ000018NYFEX", "Luciana dos Santos Almeida")</f>
        <v/>
      </c>
      <c r="C1779" t="inlineStr">
        <is>
          <t>RJ0590402</t>
        </is>
      </c>
      <c r="D1779" t="inlineStr">
        <is>
          <t>PED</t>
        </is>
      </c>
      <c r="E1779" t="inlineStr">
        <is>
          <t>Rua São Clemente, S/N</t>
        </is>
      </c>
      <c r="F1779" t="inlineStr">
        <is>
          <t>Botafogo</t>
        </is>
      </c>
      <c r="G1779" t="inlineStr">
        <is>
          <t>Rio de Janeiro</t>
        </is>
      </c>
      <c r="H1779" t="inlineStr">
        <is>
          <t>RJ</t>
        </is>
      </c>
      <c r="I1779" t="n">
        <v>7742</v>
      </c>
      <c r="J1779" t="inlineStr">
        <is>
          <t>CAT 5</t>
        </is>
      </c>
      <c r="K1779" t="inlineStr">
        <is>
          <t>Sim</t>
        </is>
      </c>
    </row>
    <row r="1780">
      <c r="A1780" s="1">
        <f>HYPERLINK("https://eurofarma-latam-crm.veevavault.com/#object/account__v/V4TZ025E8611WFM", "Luciana Salgado")</f>
        <v/>
      </c>
      <c r="B1780" s="1">
        <f>HYPERLINK("https://eurofarma-latam-crm.veevavault.com/#object/account__v/V4TZ025E8611WFM", "Luciana Ravizzini Salgado")</f>
        <v/>
      </c>
      <c r="C1780" t="inlineStr">
        <is>
          <t>RJ0614583</t>
        </is>
      </c>
      <c r="D1780" t="inlineStr">
        <is>
          <t>PED</t>
        </is>
      </c>
      <c r="E1780" t="inlineStr">
        <is>
          <t>Rua José Augusto Pereira dos Santos, 1301</t>
        </is>
      </c>
      <c r="F1780" t="inlineStr">
        <is>
          <t>Neves (Neves)</t>
        </is>
      </c>
      <c r="G1780" t="inlineStr">
        <is>
          <t>São Gonçalo</t>
        </is>
      </c>
      <c r="H1780" t="inlineStr">
        <is>
          <t>RJ</t>
        </is>
      </c>
      <c r="I1780" t="n">
        <v>7742</v>
      </c>
      <c r="J1780" t="inlineStr">
        <is>
          <t>CAT 3</t>
        </is>
      </c>
      <c r="K1780" t="inlineStr">
        <is>
          <t>Sim</t>
        </is>
      </c>
    </row>
    <row r="1781">
      <c r="A1781" s="1">
        <f>HYPERLINK("https://eurofarma-latam-crm.veevavault.com/#object/account__v/V4TZ00001914041", "Luciene Belchior")</f>
        <v/>
      </c>
      <c r="B1781" s="1">
        <f>HYPERLINK("https://eurofarma-latam-crm.veevavault.com/#object/account__v/V4TZ00001914041", "Luciene Vieira Belchior")</f>
        <v/>
      </c>
      <c r="C1781" t="inlineStr">
        <is>
          <t>RJ0462339</t>
        </is>
      </c>
      <c r="D1781" t="inlineStr">
        <is>
          <t>PED</t>
        </is>
      </c>
      <c r="E1781" t="inlineStr">
        <is>
          <t>Avenida Vereador Hermínio Moreira, S/N</t>
        </is>
      </c>
      <c r="F1781" t="inlineStr">
        <is>
          <t>Centro</t>
        </is>
      </c>
      <c r="G1781" t="inlineStr">
        <is>
          <t>Itaboraí</t>
        </is>
      </c>
      <c r="H1781" t="inlineStr">
        <is>
          <t>RJ</t>
        </is>
      </c>
      <c r="I1781" t="n">
        <v>7742</v>
      </c>
      <c r="J1781" t="inlineStr">
        <is>
          <t>CAT 5</t>
        </is>
      </c>
      <c r="K1781" t="inlineStr">
        <is>
          <t>N�o</t>
        </is>
      </c>
    </row>
    <row r="1782">
      <c r="A1782" s="1">
        <f>HYPERLINK("https://eurofarma-latam-crm.veevavault.com/#object/account__v/V4TZ000018NXKWB", "Lucienne Antonio")</f>
        <v/>
      </c>
      <c r="B1782" s="1">
        <f>HYPERLINK("https://eurofarma-latam-crm.veevavault.com/#object/account__v/V4TZ000018NXKWB", "Lucienne Carvalhido Antonio")</f>
        <v/>
      </c>
      <c r="C1782" t="inlineStr">
        <is>
          <t>RJ0402260</t>
        </is>
      </c>
      <c r="D1782" t="inlineStr">
        <is>
          <t>PED</t>
        </is>
      </c>
      <c r="E1782" t="inlineStr">
        <is>
          <t>Rua Coronel Serrado, 636</t>
        </is>
      </c>
      <c r="F1782" t="inlineStr">
        <is>
          <t>Zé Garoto</t>
        </is>
      </c>
      <c r="G1782" t="inlineStr">
        <is>
          <t>São Gonçalo</t>
        </is>
      </c>
      <c r="H1782" t="inlineStr">
        <is>
          <t>RJ</t>
        </is>
      </c>
      <c r="I1782" t="n">
        <v>7742</v>
      </c>
      <c r="J1782" t="inlineStr">
        <is>
          <t>CAT 5</t>
        </is>
      </c>
      <c r="K1782" t="inlineStr">
        <is>
          <t>N�o</t>
        </is>
      </c>
    </row>
    <row r="1783">
      <c r="A1783" s="1">
        <f>HYPERLINK("https://eurofarma-latam-crm.veevavault.com/#object/account__v/V4TZ000018NXK1E", "Luis Marcelo Paz")</f>
        <v/>
      </c>
      <c r="B1783" s="1">
        <f>HYPERLINK("https://eurofarma-latam-crm.veevavault.com/#object/account__v/V4TZ000018NXK1E", "Luis Marcelo Rodrigues Paz")</f>
        <v/>
      </c>
      <c r="C1783" t="inlineStr">
        <is>
          <t>RJ0625957</t>
        </is>
      </c>
      <c r="D1783" t="inlineStr">
        <is>
          <t>CLG</t>
        </is>
      </c>
      <c r="E1783" t="inlineStr">
        <is>
          <t>Rua Doutor Nilo Peçanha, 110 - Sala 1109</t>
        </is>
      </c>
      <c r="F1783" t="inlineStr">
        <is>
          <t>Centro</t>
        </is>
      </c>
      <c r="G1783" t="inlineStr">
        <is>
          <t>São Gonçalo</t>
        </is>
      </c>
      <c r="H1783" t="inlineStr">
        <is>
          <t>RJ</t>
        </is>
      </c>
      <c r="I1783" t="n">
        <v>7742</v>
      </c>
      <c r="J1783" t="inlineStr">
        <is>
          <t>CAT 5</t>
        </is>
      </c>
      <c r="K1783" t="inlineStr">
        <is>
          <t>Sim</t>
        </is>
      </c>
    </row>
    <row r="1784">
      <c r="A1784" s="1">
        <f>HYPERLINK("https://eurofarma-latam-crm.veevavault.com/#object/account__v/V4TZ000019133GP", "Luiz Antonio da Rocha")</f>
        <v/>
      </c>
      <c r="B1784" s="1">
        <f>HYPERLINK("https://eurofarma-latam-crm.veevavault.com/#object/account__v/V4TZ000019133GP", "Luiz Antonio Cunha da Rocha")</f>
        <v/>
      </c>
      <c r="C1784" t="inlineStr">
        <is>
          <t>RJ0409871</t>
        </is>
      </c>
      <c r="D1784" t="inlineStr">
        <is>
          <t>PSQ</t>
        </is>
      </c>
      <c r="E1784" t="inlineStr">
        <is>
          <t>Estrada Caetano Monteiro, 789</t>
        </is>
      </c>
      <c r="F1784" t="inlineStr">
        <is>
          <t>Badu</t>
        </is>
      </c>
      <c r="G1784" t="inlineStr">
        <is>
          <t>Niterói</t>
        </is>
      </c>
      <c r="H1784" t="inlineStr">
        <is>
          <t>RJ</t>
        </is>
      </c>
      <c r="I1784" t="n">
        <v>7742</v>
      </c>
      <c r="J1784" t="inlineStr">
        <is>
          <t>CAT 2</t>
        </is>
      </c>
      <c r="K1784" t="inlineStr">
        <is>
          <t>Sim</t>
        </is>
      </c>
    </row>
    <row r="1785">
      <c r="A1785" s="1">
        <f>HYPERLINK("https://eurofarma-latam-crm.veevavault.com/#object/account__v/V4TZ00001913A75", "Luiz Carlos Macedo")</f>
        <v/>
      </c>
      <c r="B1785" s="1">
        <f>HYPERLINK("https://eurofarma-latam-crm.veevavault.com/#object/account__v/V4TZ00001913A75", "Luiz Carlos de Moreira Macedo")</f>
        <v/>
      </c>
      <c r="C1785" t="inlineStr">
        <is>
          <t>RJ0437287</t>
        </is>
      </c>
      <c r="D1785" t="inlineStr">
        <is>
          <t>PED</t>
        </is>
      </c>
      <c r="E1785" t="inlineStr">
        <is>
          <t>Rua Salvatori, 40 - Sala 608</t>
        </is>
      </c>
      <c r="F1785" t="inlineStr">
        <is>
          <t>Centro</t>
        </is>
      </c>
      <c r="G1785" t="inlineStr">
        <is>
          <t>São Gonçalo</t>
        </is>
      </c>
      <c r="H1785" t="inlineStr">
        <is>
          <t>RJ</t>
        </is>
      </c>
      <c r="I1785" t="n">
        <v>7742</v>
      </c>
      <c r="J1785" t="inlineStr">
        <is>
          <t>CAT 5</t>
        </is>
      </c>
      <c r="K1785" t="inlineStr">
        <is>
          <t>N�o</t>
        </is>
      </c>
    </row>
    <row r="1786">
      <c r="A1786" s="1">
        <f>HYPERLINK("https://eurofarma-latam-crm.veevavault.com/#object/account__v/V4TZ000018NYVYV", "Luiz Marinho")</f>
        <v/>
      </c>
      <c r="B1786" s="1">
        <f>HYPERLINK("https://eurofarma-latam-crm.veevavault.com/#object/account__v/V4TZ000018NYVYV", "Luiz Rubem de Azevedo Marinho")</f>
        <v/>
      </c>
      <c r="C1786" t="inlineStr">
        <is>
          <t>RJ0250048</t>
        </is>
      </c>
      <c r="D1786" t="inlineStr">
        <is>
          <t>CLG</t>
        </is>
      </c>
      <c r="E1786" t="inlineStr">
        <is>
          <t>Rua Doutor Alfredo Backer, 280</t>
        </is>
      </c>
      <c r="F1786" t="inlineStr">
        <is>
          <t>Alcântara</t>
        </is>
      </c>
      <c r="G1786" t="inlineStr">
        <is>
          <t>São Gonçalo</t>
        </is>
      </c>
      <c r="H1786" t="inlineStr">
        <is>
          <t>RJ</t>
        </is>
      </c>
      <c r="I1786" t="n">
        <v>7742</v>
      </c>
      <c r="J1786" t="inlineStr">
        <is>
          <t>CAT 5</t>
        </is>
      </c>
      <c r="K1786" t="inlineStr">
        <is>
          <t>N�o</t>
        </is>
      </c>
    </row>
    <row r="1787">
      <c r="A1787" s="1">
        <f>HYPERLINK("https://eurofarma-latam-crm.veevavault.com/#object/account__v/V4TZ000018NY3HT", "Luiz Ricardo da Silva")</f>
        <v/>
      </c>
      <c r="B1787" s="1">
        <f>HYPERLINK("https://eurofarma-latam-crm.veevavault.com/#object/account__v/V4TZ000018NY3HT", "Luiz Ricardo Freitas da Silva")</f>
        <v/>
      </c>
      <c r="C1787" t="inlineStr">
        <is>
          <t>RJ0033010</t>
        </is>
      </c>
      <c r="D1787" t="inlineStr">
        <is>
          <t>CLG</t>
        </is>
      </c>
      <c r="E1787" t="inlineStr">
        <is>
          <t>Rua Doutor Nilo Peçanha, 110 - Sala 909</t>
        </is>
      </c>
      <c r="F1787" t="inlineStr">
        <is>
          <t>Centro</t>
        </is>
      </c>
      <c r="G1787" t="inlineStr">
        <is>
          <t>São Gonçalo</t>
        </is>
      </c>
      <c r="H1787" t="inlineStr">
        <is>
          <t>RJ</t>
        </is>
      </c>
      <c r="I1787" t="n">
        <v>7742</v>
      </c>
      <c r="J1787" t="inlineStr">
        <is>
          <t>CAT 3</t>
        </is>
      </c>
      <c r="K1787" t="inlineStr">
        <is>
          <t>Sim</t>
        </is>
      </c>
    </row>
    <row r="1788">
      <c r="A1788" s="1">
        <f>HYPERLINK("https://eurofarma-latam-crm.veevavault.com/#object/account__v/V4TZ000018NXOXX", "Luiza Nimrichter")</f>
        <v/>
      </c>
      <c r="B1788" s="1">
        <f>HYPERLINK("https://eurofarma-latam-crm.veevavault.com/#object/account__v/V4TZ000018NXOXX", "Luiza Andréa Conceição Gonçalves Nimrichter")</f>
        <v/>
      </c>
      <c r="C1788" t="inlineStr">
        <is>
          <t>RJ0589787</t>
        </is>
      </c>
      <c r="D1788" t="inlineStr">
        <is>
          <t>PED</t>
        </is>
      </c>
      <c r="E1788" t="inlineStr">
        <is>
          <t>Praça Estefania de Carvalho, S/N</t>
        </is>
      </c>
      <c r="F1788" t="inlineStr">
        <is>
          <t>Zé Garoto</t>
        </is>
      </c>
      <c r="G1788" t="inlineStr">
        <is>
          <t>São Gonçalo</t>
        </is>
      </c>
      <c r="H1788" t="inlineStr">
        <is>
          <t>RJ</t>
        </is>
      </c>
      <c r="I1788" t="n">
        <v>7742</v>
      </c>
      <c r="J1788" t="inlineStr">
        <is>
          <t>CAT 3</t>
        </is>
      </c>
      <c r="K1788" t="inlineStr">
        <is>
          <t>Sim</t>
        </is>
      </c>
    </row>
    <row r="1789">
      <c r="A1789" s="1">
        <f>HYPERLINK("https://eurofarma-latam-crm.veevavault.com/#object/account__v/V4TZ000018NY2EJ", "Luzia Abreu")</f>
        <v/>
      </c>
      <c r="B1789" s="1">
        <f>HYPERLINK("https://eurofarma-latam-crm.veevavault.com/#object/account__v/V4TZ000018NY2EJ", "Luzia Maria Vale de Abreu")</f>
        <v/>
      </c>
      <c r="C1789" t="inlineStr">
        <is>
          <t>RJ0379664</t>
        </is>
      </c>
      <c r="D1789" t="inlineStr">
        <is>
          <t>PSQ</t>
        </is>
      </c>
      <c r="E1789" t="inlineStr">
        <is>
          <t>Praça Doutor Luiz Palmier, 53</t>
        </is>
      </c>
      <c r="F1789" t="inlineStr">
        <is>
          <t>Edifício São Gonçalo Ctr Sala 112</t>
        </is>
      </c>
      <c r="G1789" t="inlineStr">
        <is>
          <t>São Gonçalo</t>
        </is>
      </c>
      <c r="H1789" t="inlineStr">
        <is>
          <t>RJ</t>
        </is>
      </c>
      <c r="I1789" t="n">
        <v>7742</v>
      </c>
      <c r="J1789" t="inlineStr">
        <is>
          <t>CAT 3</t>
        </is>
      </c>
      <c r="K1789" t="inlineStr">
        <is>
          <t>Sim</t>
        </is>
      </c>
    </row>
    <row r="1790">
      <c r="A1790" s="1">
        <f>HYPERLINK("https://eurofarma-latam-crm.veevavault.com/#object/account__v/V4TZ025E8A9B0HR", "Manoel Pereira Neto")</f>
        <v/>
      </c>
      <c r="B1790" s="1">
        <f>HYPERLINK("https://eurofarma-latam-crm.veevavault.com/#object/account__v/V4TZ025E8A9B0HR", "Manoel Pinto Pereira Neto")</f>
        <v/>
      </c>
      <c r="C1790" t="inlineStr">
        <is>
          <t>RJ1351850</t>
        </is>
      </c>
      <c r="D1790" t="inlineStr">
        <is>
          <t>PED</t>
        </is>
      </c>
      <c r="E1790" t="inlineStr">
        <is>
          <t>Praça Estefania de Carvalho, 26</t>
        </is>
      </c>
      <c r="F1790" t="inlineStr">
        <is>
          <t>Zé Garoto</t>
        </is>
      </c>
      <c r="G1790" t="inlineStr">
        <is>
          <t>São Gonçalo</t>
        </is>
      </c>
      <c r="H1790" t="inlineStr">
        <is>
          <t>RJ</t>
        </is>
      </c>
      <c r="I1790" t="n">
        <v>7742</v>
      </c>
      <c r="J1790" t="inlineStr">
        <is>
          <t>CAT 3</t>
        </is>
      </c>
      <c r="K1790" t="inlineStr">
        <is>
          <t>Sim</t>
        </is>
      </c>
    </row>
    <row r="1791">
      <c r="A1791" s="1">
        <f>HYPERLINK("https://eurofarma-latam-crm.veevavault.com/#object/account__v/V4TZ025E82ZP7AJ", "Manoela dos Santos")</f>
        <v/>
      </c>
      <c r="B1791" s="1">
        <f>HYPERLINK("https://eurofarma-latam-crm.veevavault.com/#object/account__v/V4TZ025E82ZP7AJ", "Manoela Lopes D'Oliveira dos Santos")</f>
        <v/>
      </c>
      <c r="C1791" t="inlineStr">
        <is>
          <t>RJ1288547</t>
        </is>
      </c>
      <c r="D1791" t="inlineStr">
        <is>
          <t>CLG / PA</t>
        </is>
      </c>
      <c r="E1791" t="inlineStr">
        <is>
          <t>Praça Estefania de Carvalho, 26</t>
        </is>
      </c>
      <c r="F1791" t="inlineStr">
        <is>
          <t>Zé Garoto</t>
        </is>
      </c>
      <c r="G1791" t="inlineStr">
        <is>
          <t>São Gonçalo</t>
        </is>
      </c>
      <c r="H1791" t="inlineStr">
        <is>
          <t>RJ</t>
        </is>
      </c>
      <c r="I1791" t="n">
        <v>7742</v>
      </c>
      <c r="J1791" t="inlineStr">
        <is>
          <t>CAT 4</t>
        </is>
      </c>
      <c r="K1791" t="inlineStr">
        <is>
          <t>N�o</t>
        </is>
      </c>
    </row>
    <row r="1792">
      <c r="A1792" s="1">
        <f>HYPERLINK("https://eurofarma-latam-crm.veevavault.com/#object/account__v/V4TZ000018NYV0D", "Marc dos Santos")</f>
        <v/>
      </c>
      <c r="B1792" s="1">
        <f>HYPERLINK("https://eurofarma-latam-crm.veevavault.com/#object/account__v/V4TZ000018NYV0D", "Marc Alexis Lobo Merlone dos Santos")</f>
        <v/>
      </c>
      <c r="C1792" t="inlineStr">
        <is>
          <t>RJ0365662</t>
        </is>
      </c>
      <c r="D1792" t="inlineStr">
        <is>
          <t>PSQ</t>
        </is>
      </c>
      <c r="E1792" t="inlineStr">
        <is>
          <t>Rua Major Ávila, 195 - Sala 201</t>
        </is>
      </c>
      <c r="F1792" t="inlineStr">
        <is>
          <t>Tijuca</t>
        </is>
      </c>
      <c r="G1792" t="inlineStr">
        <is>
          <t>Rio de Janeiro</t>
        </is>
      </c>
      <c r="H1792" t="inlineStr">
        <is>
          <t>RJ</t>
        </is>
      </c>
      <c r="I1792" t="n">
        <v>7742</v>
      </c>
      <c r="J1792" t="inlineStr">
        <is>
          <t>CAT 1</t>
        </is>
      </c>
      <c r="K1792" t="inlineStr">
        <is>
          <t>Sim</t>
        </is>
      </c>
    </row>
    <row r="1793">
      <c r="A1793" s="1">
        <f>HYPERLINK("https://eurofarma-latam-crm.veevavault.com/#object/account__v/V4TZ025E8CXV8MI", "Marcelo Oliveira")</f>
        <v/>
      </c>
      <c r="B1793" s="1">
        <f>HYPERLINK("https://eurofarma-latam-crm.veevavault.com/#object/account__v/V4TZ025E8CXV8MI", "Marcelo Silveira de Oliveira")</f>
        <v/>
      </c>
      <c r="C1793" t="inlineStr">
        <is>
          <t>RJ0640395</t>
        </is>
      </c>
      <c r="D1793" t="inlineStr">
        <is>
          <t>CLG</t>
        </is>
      </c>
      <c r="E1793" t="inlineStr">
        <is>
          <t>Rua das Violetas, S/N</t>
        </is>
      </c>
      <c r="F1793" t="inlineStr">
        <is>
          <t>Centro</t>
        </is>
      </c>
      <c r="G1793" t="inlineStr">
        <is>
          <t>Maricá</t>
        </is>
      </c>
      <c r="H1793" t="inlineStr">
        <is>
          <t>RJ</t>
        </is>
      </c>
      <c r="I1793" t="n">
        <v>7742</v>
      </c>
      <c r="J1793" t="inlineStr">
        <is>
          <t>CAT 3</t>
        </is>
      </c>
      <c r="K1793" t="inlineStr">
        <is>
          <t>Sim</t>
        </is>
      </c>
    </row>
    <row r="1794">
      <c r="A1794" s="1">
        <f>HYPERLINK("https://eurofarma-latam-crm.veevavault.com/#object/account__v/V4TZ00001913LLN", "Marcia Guião")</f>
        <v/>
      </c>
      <c r="B1794" s="1">
        <f>HYPERLINK("https://eurofarma-latam-crm.veevavault.com/#object/account__v/V4TZ00001913LLN", "Marcia dos Santos Guião")</f>
        <v/>
      </c>
      <c r="C1794" t="inlineStr">
        <is>
          <t>RJ0555340</t>
        </is>
      </c>
      <c r="D1794" t="inlineStr">
        <is>
          <t>GAS</t>
        </is>
      </c>
      <c r="E1794" t="inlineStr">
        <is>
          <t>Rua Agenor Beltrão, 450 - Loja 20 Loja 21</t>
        </is>
      </c>
      <c r="F1794" t="inlineStr">
        <is>
          <t>Porto da Aldeia</t>
        </is>
      </c>
      <c r="G1794" t="inlineStr">
        <is>
          <t>São Pedro da Aldeia</t>
        </is>
      </c>
      <c r="H1794" t="inlineStr">
        <is>
          <t>RJ</t>
        </is>
      </c>
      <c r="I1794" t="n">
        <v>7742</v>
      </c>
      <c r="J1794" t="inlineStr">
        <is>
          <t>CAT 4</t>
        </is>
      </c>
      <c r="K1794" t="inlineStr">
        <is>
          <t>Sim</t>
        </is>
      </c>
    </row>
    <row r="1795">
      <c r="A1795" s="1">
        <f>HYPERLINK("https://eurofarma-latam-crm.veevavault.com/#object/account__v/V4TZ0000191N8LN", "Marcos Torres")</f>
        <v/>
      </c>
      <c r="B1795" s="1">
        <f>HYPERLINK("https://eurofarma-latam-crm.veevavault.com/#object/account__v/V4TZ0000191N8LN", "Marcos Magarinos Torres")</f>
        <v/>
      </c>
      <c r="C1795" t="inlineStr">
        <is>
          <t>RJ0969834</t>
        </is>
      </c>
      <c r="D1795" t="inlineStr">
        <is>
          <t>PSQ</t>
        </is>
      </c>
      <c r="E1795" t="inlineStr">
        <is>
          <t>Rua Jardim Botânico, 600 - Sal 303</t>
        </is>
      </c>
      <c r="F1795" t="inlineStr">
        <is>
          <t>Jardim Botânico</t>
        </is>
      </c>
      <c r="G1795" t="inlineStr">
        <is>
          <t>Rio de Janeiro</t>
        </is>
      </c>
      <c r="H1795" t="inlineStr">
        <is>
          <t>RJ</t>
        </is>
      </c>
      <c r="I1795" t="n">
        <v>7742</v>
      </c>
      <c r="J1795" t="inlineStr">
        <is>
          <t>CAT 2</t>
        </is>
      </c>
      <c r="K1795" t="inlineStr">
        <is>
          <t>Sim</t>
        </is>
      </c>
    </row>
    <row r="1796">
      <c r="A1796" s="1">
        <f>HYPERLINK("https://eurofarma-latam-crm.veevavault.com/#object/account__v/V4TZ000018NXX7K", "Marcos Vieira")</f>
        <v/>
      </c>
      <c r="B1796" s="1">
        <f>HYPERLINK("https://eurofarma-latam-crm.veevavault.com/#object/account__v/V4TZ000018NXX7K", "Marcos Antonio Vieira")</f>
        <v/>
      </c>
      <c r="C1796" t="inlineStr">
        <is>
          <t>RJ0622630</t>
        </is>
      </c>
      <c r="D1796" t="inlineStr">
        <is>
          <t>CLG</t>
        </is>
      </c>
      <c r="E1796" t="inlineStr">
        <is>
          <t>Avenida Doutor Eugênio Borges, S/N</t>
        </is>
      </c>
      <c r="F1796" t="inlineStr">
        <is>
          <t>Arsenal</t>
        </is>
      </c>
      <c r="G1796" t="inlineStr">
        <is>
          <t>São Gonçalo</t>
        </is>
      </c>
      <c r="H1796" t="inlineStr">
        <is>
          <t>RJ</t>
        </is>
      </c>
      <c r="I1796" t="n">
        <v>7742</v>
      </c>
      <c r="J1796" t="inlineStr">
        <is>
          <t>CAT 5</t>
        </is>
      </c>
      <c r="K1796" t="inlineStr">
        <is>
          <t>N�o</t>
        </is>
      </c>
    </row>
    <row r="1797">
      <c r="A1797" s="1">
        <f>HYPERLINK("https://eurofarma-latam-crm.veevavault.com/#object/account__v/V4TZ000018NYQER", "Margareth Manhaes")</f>
        <v/>
      </c>
      <c r="B1797" s="1">
        <f>HYPERLINK("https://eurofarma-latam-crm.veevavault.com/#object/account__v/V4TZ000018NYQER", "Margareth Mota Manhaes")</f>
        <v/>
      </c>
      <c r="C1797" t="inlineStr">
        <is>
          <t>RJ0537247</t>
        </is>
      </c>
      <c r="D1797" t="inlineStr">
        <is>
          <t>PED</t>
        </is>
      </c>
      <c r="E1797" t="inlineStr">
        <is>
          <t>Rua Irineu Ferreira Pinto, S/N</t>
        </is>
      </c>
      <c r="F1797" t="inlineStr">
        <is>
          <t>Ponta Grossa</t>
        </is>
      </c>
      <c r="G1797" t="inlineStr">
        <is>
          <t>Maricá</t>
        </is>
      </c>
      <c r="H1797" t="inlineStr">
        <is>
          <t>RJ</t>
        </is>
      </c>
      <c r="I1797" t="n">
        <v>7742</v>
      </c>
      <c r="J1797" t="inlineStr"/>
      <c r="K1797" t="inlineStr"/>
    </row>
    <row r="1798">
      <c r="A1798" s="1">
        <f>HYPERLINK("https://eurofarma-latam-crm.veevavault.com/#object/account__v/V4TZ000018NZBPC", "Maria Bartholo")</f>
        <v/>
      </c>
      <c r="B1798" s="1">
        <f>HYPERLINK("https://eurofarma-latam-crm.veevavault.com/#object/account__v/V4TZ000018NZBPC", "Maria de Fatima de Mattos Bartholo")</f>
        <v/>
      </c>
      <c r="C1798" t="inlineStr">
        <is>
          <t>RJ0349166</t>
        </is>
      </c>
      <c r="D1798" t="inlineStr">
        <is>
          <t>CLG / PA</t>
        </is>
      </c>
      <c r="E1798" t="inlineStr">
        <is>
          <t>Avenida Lobo Júnior, 2293</t>
        </is>
      </c>
      <c r="F1798" t="inlineStr">
        <is>
          <t>Penha Circular</t>
        </is>
      </c>
      <c r="G1798" t="inlineStr">
        <is>
          <t>Rio de Janeiro</t>
        </is>
      </c>
      <c r="H1798" t="inlineStr">
        <is>
          <t>RJ</t>
        </is>
      </c>
      <c r="I1798" t="n">
        <v>7742</v>
      </c>
      <c r="J1798" t="inlineStr">
        <is>
          <t>CAT 5</t>
        </is>
      </c>
      <c r="K1798" t="inlineStr">
        <is>
          <t>Sim</t>
        </is>
      </c>
    </row>
    <row r="1799">
      <c r="A1799" s="1">
        <f>HYPERLINK("https://eurofarma-latam-crm.veevavault.com/#object/account__v/V4TZ000019130Y0", "Maria Catalina Charry")</f>
        <v/>
      </c>
      <c r="B1799" s="1">
        <f>HYPERLINK("https://eurofarma-latam-crm.veevavault.com/#object/account__v/V4TZ000019130Y0", "Maria Catalina Rodriguez Charry")</f>
        <v/>
      </c>
      <c r="C1799" t="inlineStr">
        <is>
          <t>RJ1245490</t>
        </is>
      </c>
      <c r="D1799" t="inlineStr">
        <is>
          <t>ORL</t>
        </is>
      </c>
      <c r="E1799" t="inlineStr">
        <is>
          <t>Rua Gonçalves Ledo, 26</t>
        </is>
      </c>
      <c r="F1799" t="inlineStr">
        <is>
          <t>Fonseca</t>
        </is>
      </c>
      <c r="G1799" t="inlineStr">
        <is>
          <t>Niterói</t>
        </is>
      </c>
      <c r="H1799" t="inlineStr">
        <is>
          <t>RJ</t>
        </is>
      </c>
      <c r="I1799" t="n">
        <v>7742</v>
      </c>
      <c r="J1799" t="inlineStr">
        <is>
          <t>CAT 5</t>
        </is>
      </c>
      <c r="K1799" t="inlineStr">
        <is>
          <t>Sim</t>
        </is>
      </c>
    </row>
    <row r="1800">
      <c r="A1800" s="1">
        <f>HYPERLINK("https://eurofarma-latam-crm.veevavault.com/#object/account__v/V4TZ00001913VKL", "Maria da Silva")</f>
        <v/>
      </c>
      <c r="B1800" s="1">
        <f>HYPERLINK("https://eurofarma-latam-crm.veevavault.com/#object/account__v/V4TZ00001913VKL", "Maria Thereza Granja da Silva")</f>
        <v/>
      </c>
      <c r="C1800" t="inlineStr">
        <is>
          <t>RJ0540290</t>
        </is>
      </c>
      <c r="D1800" t="inlineStr">
        <is>
          <t>PED</t>
        </is>
      </c>
      <c r="E1800" t="inlineStr">
        <is>
          <t>Alameda Pio XII, S/N</t>
        </is>
      </c>
      <c r="F1800" t="inlineStr">
        <is>
          <t>Centro</t>
        </is>
      </c>
      <c r="G1800" t="inlineStr">
        <is>
          <t>São Gonçalo</t>
        </is>
      </c>
      <c r="H1800" t="inlineStr">
        <is>
          <t>RJ</t>
        </is>
      </c>
      <c r="I1800" t="n">
        <v>7742</v>
      </c>
      <c r="J1800" t="inlineStr">
        <is>
          <t>CAT 5</t>
        </is>
      </c>
      <c r="K1800" t="inlineStr">
        <is>
          <t>Sim</t>
        </is>
      </c>
    </row>
    <row r="1801">
      <c r="A1801" s="1">
        <f>HYPERLINK("https://eurofarma-latam-crm.veevavault.com/#object/account__v/V4TZ000018NYLK3", "Maria Eduarda Couto")</f>
        <v/>
      </c>
      <c r="B1801" s="1">
        <f>HYPERLINK("https://eurofarma-latam-crm.veevavault.com/#object/account__v/V4TZ000018NYLK3", "Maria Eduarda Garcia Couto")</f>
        <v/>
      </c>
      <c r="C1801" t="inlineStr">
        <is>
          <t>RJ0639842</t>
        </is>
      </c>
      <c r="D1801" t="inlineStr">
        <is>
          <t>PSQ</t>
        </is>
      </c>
      <c r="E1801" t="inlineStr">
        <is>
          <t>Estrada Francisco da Cruz Nunes, 7288 - Sala 202</t>
        </is>
      </c>
      <c r="F1801" t="inlineStr">
        <is>
          <t>Piratininga</t>
        </is>
      </c>
      <c r="G1801" t="inlineStr">
        <is>
          <t>Niterói</t>
        </is>
      </c>
      <c r="H1801" t="inlineStr">
        <is>
          <t>RJ</t>
        </is>
      </c>
      <c r="I1801" t="n">
        <v>7742</v>
      </c>
      <c r="J1801" t="inlineStr">
        <is>
          <t>CAT 4</t>
        </is>
      </c>
      <c r="K1801" t="inlineStr">
        <is>
          <t>Sim</t>
        </is>
      </c>
    </row>
    <row r="1802">
      <c r="A1802" s="1">
        <f>HYPERLINK("https://eurofarma-latam-crm.veevavault.com/#object/account__v/V4TZ000018NXP8B", "Maria Lucia Vieira")</f>
        <v/>
      </c>
      <c r="B1802" s="1">
        <f>HYPERLINK("https://eurofarma-latam-crm.veevavault.com/#object/account__v/V4TZ000018NXP8B", "Maria Lucia de Paula Vieira")</f>
        <v/>
      </c>
      <c r="C1802" t="inlineStr">
        <is>
          <t>RJ0353162</t>
        </is>
      </c>
      <c r="D1802" t="inlineStr">
        <is>
          <t>PED</t>
        </is>
      </c>
      <c r="E1802" t="inlineStr">
        <is>
          <t>Rua das Acácias, 615</t>
        </is>
      </c>
      <c r="F1802" t="inlineStr">
        <is>
          <t>Residencial Praia Âncora</t>
        </is>
      </c>
      <c r="G1802" t="inlineStr">
        <is>
          <t>Rio das Ostras</t>
        </is>
      </c>
      <c r="H1802" t="inlineStr">
        <is>
          <t>RJ</t>
        </is>
      </c>
      <c r="I1802" t="n">
        <v>7742</v>
      </c>
      <c r="J1802" t="inlineStr">
        <is>
          <t>CAT 5</t>
        </is>
      </c>
      <c r="K1802" t="inlineStr">
        <is>
          <t>Sim</t>
        </is>
      </c>
    </row>
    <row r="1803">
      <c r="A1803" s="1">
        <f>HYPERLINK("https://eurofarma-latam-crm.veevavault.com/#object/account__v/V4TZ000018NXUQN", "Maria Paula")</f>
        <v/>
      </c>
      <c r="B1803" s="1">
        <f>HYPERLINK("https://eurofarma-latam-crm.veevavault.com/#object/account__v/V4TZ000018NXUQN", "Maria Luiza Almeida de Paula")</f>
        <v/>
      </c>
      <c r="C1803" t="inlineStr">
        <is>
          <t>RJ1007980</t>
        </is>
      </c>
      <c r="D1803" t="inlineStr">
        <is>
          <t>PED</t>
        </is>
      </c>
      <c r="E1803" t="inlineStr">
        <is>
          <t>Rua Doutor Nilo Peçanha, 232</t>
        </is>
      </c>
      <c r="F1803" t="inlineStr">
        <is>
          <t>Centro</t>
        </is>
      </c>
      <c r="G1803" t="inlineStr">
        <is>
          <t>São Gonçalo</t>
        </is>
      </c>
      <c r="H1803" t="inlineStr">
        <is>
          <t>RJ</t>
        </is>
      </c>
      <c r="I1803" t="n">
        <v>7742</v>
      </c>
      <c r="J1803" t="inlineStr">
        <is>
          <t>CAT 5</t>
        </is>
      </c>
      <c r="K1803" t="inlineStr">
        <is>
          <t>N�o</t>
        </is>
      </c>
    </row>
    <row r="1804">
      <c r="A1804" s="1">
        <f>HYPERLINK("https://eurofarma-latam-crm.veevavault.com/#object/account__v/V4TZ000018NZ2SU", "Maria Paula Tavares")</f>
        <v/>
      </c>
      <c r="B1804" s="1">
        <f>HYPERLINK("https://eurofarma-latam-crm.veevavault.com/#object/account__v/V4TZ000018NZ2SU", "Maria Paula Torres Tavares")</f>
        <v/>
      </c>
      <c r="C1804" t="inlineStr">
        <is>
          <t>RJ0490962</t>
        </is>
      </c>
      <c r="D1804" t="inlineStr">
        <is>
          <t>PED</t>
        </is>
      </c>
      <c r="E1804" t="inlineStr">
        <is>
          <t>Rua Doutor Nilo Peçanha, 232</t>
        </is>
      </c>
      <c r="F1804" t="inlineStr">
        <is>
          <t>Centro</t>
        </is>
      </c>
      <c r="G1804" t="inlineStr">
        <is>
          <t>São Gonçalo</t>
        </is>
      </c>
      <c r="H1804" t="inlineStr">
        <is>
          <t>RJ</t>
        </is>
      </c>
      <c r="I1804" t="n">
        <v>7742</v>
      </c>
      <c r="J1804" t="inlineStr">
        <is>
          <t>CAT 4</t>
        </is>
      </c>
      <c r="K1804" t="inlineStr">
        <is>
          <t>Sim</t>
        </is>
      </c>
    </row>
    <row r="1805">
      <c r="A1805" s="1">
        <f>HYPERLINK("https://eurofarma-latam-crm.veevavault.com/#object/account__v/V4TZ000018NYGQV", "Maria Pereira")</f>
        <v/>
      </c>
      <c r="B1805" s="1">
        <f>HYPERLINK("https://eurofarma-latam-crm.veevavault.com/#object/account__v/V4TZ000018NYGQV", "Maria Luciana Matos Pereira")</f>
        <v/>
      </c>
      <c r="C1805" t="inlineStr">
        <is>
          <t>RJ0322760</t>
        </is>
      </c>
      <c r="D1805" t="inlineStr">
        <is>
          <t>PED</t>
        </is>
      </c>
      <c r="E1805" t="inlineStr">
        <is>
          <t>Rua Sá Barreto, 107</t>
        </is>
      </c>
      <c r="F1805" t="inlineStr">
        <is>
          <t>Fonseca</t>
        </is>
      </c>
      <c r="G1805" t="inlineStr">
        <is>
          <t>Niterói</t>
        </is>
      </c>
      <c r="H1805" t="inlineStr">
        <is>
          <t>RJ</t>
        </is>
      </c>
      <c r="I1805" t="n">
        <v>7742</v>
      </c>
      <c r="J1805" t="inlineStr">
        <is>
          <t>CAT 5</t>
        </is>
      </c>
      <c r="K1805" t="inlineStr">
        <is>
          <t>Sim</t>
        </is>
      </c>
    </row>
    <row r="1806">
      <c r="A1806" s="1">
        <f>HYPERLINK("https://eurofarma-latam-crm.veevavault.com/#object/account__v/V4TZ000019157EO", "Maria Rodriguez")</f>
        <v/>
      </c>
      <c r="B1806" s="1">
        <f>HYPERLINK("https://eurofarma-latam-crm.veevavault.com/#object/account__v/V4TZ000019157EO", "Maria Teresa Vidal Rodriguez")</f>
        <v/>
      </c>
      <c r="C1806" t="inlineStr">
        <is>
          <t>RJ0512112</t>
        </is>
      </c>
      <c r="D1806" t="inlineStr">
        <is>
          <t>PED</t>
        </is>
      </c>
      <c r="E1806" t="inlineStr">
        <is>
          <t>Rua Coronel Moreira Cesar, 138 - Alameda Pio XII</t>
        </is>
      </c>
      <c r="F1806" t="inlineStr">
        <is>
          <t>Centro</t>
        </is>
      </c>
      <c r="G1806" t="inlineStr">
        <is>
          <t>São Gonçalo</t>
        </is>
      </c>
      <c r="H1806" t="inlineStr">
        <is>
          <t>RJ</t>
        </is>
      </c>
      <c r="I1806" t="n">
        <v>7742</v>
      </c>
      <c r="J1806" t="inlineStr">
        <is>
          <t>CAT 5</t>
        </is>
      </c>
      <c r="K1806" t="inlineStr">
        <is>
          <t>N�o</t>
        </is>
      </c>
    </row>
    <row r="1807">
      <c r="A1807" s="1">
        <f>HYPERLINK("https://eurofarma-latam-crm.veevavault.com/#object/account__v/V4TZ000018NY8IV", "Maria Sueth")</f>
        <v/>
      </c>
      <c r="B1807" s="1">
        <f>HYPERLINK("https://eurofarma-latam-crm.veevavault.com/#object/account__v/V4TZ000018NY8IV", "Maria Clara Carvalho Sueth")</f>
        <v/>
      </c>
      <c r="C1807" t="inlineStr">
        <is>
          <t>RJ0350560</t>
        </is>
      </c>
      <c r="D1807" t="inlineStr">
        <is>
          <t>PED</t>
        </is>
      </c>
      <c r="E1807" t="inlineStr">
        <is>
          <t>Praça Estefania de Carvalho, S/N</t>
        </is>
      </c>
      <c r="F1807" t="inlineStr">
        <is>
          <t>Zé Garoto</t>
        </is>
      </c>
      <c r="G1807" t="inlineStr">
        <is>
          <t>São Gonçalo</t>
        </is>
      </c>
      <c r="H1807" t="inlineStr">
        <is>
          <t>RJ</t>
        </is>
      </c>
      <c r="I1807" t="n">
        <v>7742</v>
      </c>
      <c r="J1807" t="inlineStr">
        <is>
          <t>CAT 4</t>
        </is>
      </c>
      <c r="K1807" t="inlineStr">
        <is>
          <t>Sim</t>
        </is>
      </c>
    </row>
    <row r="1808">
      <c r="A1808" s="1">
        <f>HYPERLINK("https://eurofarma-latam-crm.veevavault.com/#object/account__v/V4TZ025E8F0MOZL", "Mariana Silva")</f>
        <v/>
      </c>
      <c r="B1808" s="1">
        <f>HYPERLINK("https://eurofarma-latam-crm.veevavault.com/#object/account__v/V4TZ025E8F0MOZL", "Mariana Torres Da Silva")</f>
        <v/>
      </c>
      <c r="C1808" t="inlineStr">
        <is>
          <t>RJ1363822</t>
        </is>
      </c>
      <c r="D1808" t="inlineStr">
        <is>
          <t>CLG / PA</t>
        </is>
      </c>
      <c r="E1808" t="inlineStr">
        <is>
          <t>Rua Expedicionário Manuel Chagas, S/N</t>
        </is>
      </c>
      <c r="F1808" t="inlineStr">
        <is>
          <t>Itaúna</t>
        </is>
      </c>
      <c r="G1808" t="inlineStr">
        <is>
          <t>São Gonçalo</t>
        </is>
      </c>
      <c r="H1808" t="inlineStr">
        <is>
          <t>RJ</t>
        </is>
      </c>
      <c r="I1808" t="n">
        <v>7742</v>
      </c>
      <c r="J1808" t="inlineStr"/>
      <c r="K1808" t="inlineStr"/>
    </row>
    <row r="1809">
      <c r="A1809" s="1">
        <f>HYPERLINK("https://eurofarma-latam-crm.veevavault.com/#object/account__v/V4T00000000H118", "Marianna Coelho")</f>
        <v/>
      </c>
      <c r="B1809" s="1">
        <f>HYPERLINK("https://eurofarma-latam-crm.veevavault.com/#object/account__v/V4T00000000H118", "Marianna Paes Coelho")</f>
        <v/>
      </c>
      <c r="C1809" t="inlineStr">
        <is>
          <t>RJ1410577</t>
        </is>
      </c>
      <c r="D1809" t="inlineStr">
        <is>
          <t>CLG / PA</t>
        </is>
      </c>
      <c r="E1809" t="inlineStr">
        <is>
          <t>Rua Vicente de Lima Cleto, 296</t>
        </is>
      </c>
      <c r="F1809" t="inlineStr">
        <is>
          <t>Nova Cidade</t>
        </is>
      </c>
      <c r="G1809" t="inlineStr">
        <is>
          <t>São Gonçalo</t>
        </is>
      </c>
      <c r="H1809" t="inlineStr">
        <is>
          <t>RJ</t>
        </is>
      </c>
      <c r="I1809" t="n">
        <v>7742</v>
      </c>
      <c r="J1809" t="inlineStr"/>
      <c r="K1809" t="inlineStr"/>
    </row>
    <row r="1810">
      <c r="A1810" s="1">
        <f>HYPERLINK("https://eurofarma-latam-crm.veevavault.com/#object/account__v/V4TZ025E87TLRGK", "Marianne Mantovani")</f>
        <v/>
      </c>
      <c r="B1810" s="1">
        <f>HYPERLINK("https://eurofarma-latam-crm.veevavault.com/#object/account__v/V4TZ025E87TLRGK", "Marianne Caballero Gilardy Mantovani")</f>
        <v/>
      </c>
      <c r="C1810" t="inlineStr">
        <is>
          <t>ES0018554,RJ1339370</t>
        </is>
      </c>
      <c r="D1810" t="inlineStr">
        <is>
          <t>CLG / PA</t>
        </is>
      </c>
      <c r="E1810" t="inlineStr">
        <is>
          <t>Alameda São Boaventura, 321</t>
        </is>
      </c>
      <c r="F1810" t="inlineStr">
        <is>
          <t>Fonseca</t>
        </is>
      </c>
      <c r="G1810" t="inlineStr">
        <is>
          <t>Niterói</t>
        </is>
      </c>
      <c r="H1810" t="inlineStr">
        <is>
          <t>RJ</t>
        </is>
      </c>
      <c r="I1810" t="n">
        <v>7742</v>
      </c>
      <c r="J1810" t="inlineStr">
        <is>
          <t>CAT 4</t>
        </is>
      </c>
      <c r="K1810" t="inlineStr">
        <is>
          <t>N�o</t>
        </is>
      </c>
    </row>
    <row r="1811">
      <c r="A1811" s="1">
        <f>HYPERLINK("https://eurofarma-latam-crm.veevavault.com/#object/account__v/V4TZ025E82NJVGO", "Mário Antônio de Carvalho")</f>
        <v/>
      </c>
      <c r="B1811" s="1">
        <f>HYPERLINK("https://eurofarma-latam-crm.veevavault.com/#object/account__v/V4TZ025E82NJVGO", "Mário Antônio Cassundé de Carvalho")</f>
        <v/>
      </c>
      <c r="C1811" t="inlineStr">
        <is>
          <t>RJ0983004</t>
        </is>
      </c>
      <c r="D1811" t="inlineStr">
        <is>
          <t>CLG</t>
        </is>
      </c>
      <c r="E1811" t="inlineStr">
        <is>
          <t>Rua Doutor Nilo Peçanha, 346</t>
        </is>
      </c>
      <c r="F1811" t="inlineStr">
        <is>
          <t>Estrela do Norte</t>
        </is>
      </c>
      <c r="G1811" t="inlineStr">
        <is>
          <t>São Gonçalo</t>
        </is>
      </c>
      <c r="H1811" t="inlineStr">
        <is>
          <t>RJ</t>
        </is>
      </c>
      <c r="I1811" t="n">
        <v>7742</v>
      </c>
      <c r="J1811" t="inlineStr">
        <is>
          <t>CAT 5</t>
        </is>
      </c>
      <c r="K1811" t="inlineStr">
        <is>
          <t>Sim</t>
        </is>
      </c>
    </row>
    <row r="1812">
      <c r="A1812" s="1">
        <f>HYPERLINK("https://eurofarma-latam-crm.veevavault.com/#object/account__v/V4TZ00001914O9G", "Mario Augusto Fernandes")</f>
        <v/>
      </c>
      <c r="B1812" s="1">
        <f>HYPERLINK("https://eurofarma-latam-crm.veevavault.com/#object/account__v/V4TZ00001914O9G", "Mario Augusto Sereno Fernandes")</f>
        <v/>
      </c>
      <c r="C1812" t="inlineStr">
        <is>
          <t>RJ0579866</t>
        </is>
      </c>
      <c r="D1812" t="inlineStr">
        <is>
          <t>ORT</t>
        </is>
      </c>
      <c r="E1812" t="inlineStr">
        <is>
          <t>Avenida Presidente Kennedy, 735 - Sala 202</t>
        </is>
      </c>
      <c r="F1812" t="inlineStr">
        <is>
          <t>Estrela do Norte</t>
        </is>
      </c>
      <c r="G1812" t="inlineStr">
        <is>
          <t>São Gonçalo</t>
        </is>
      </c>
      <c r="H1812" t="inlineStr">
        <is>
          <t>RJ</t>
        </is>
      </c>
      <c r="I1812" t="n">
        <v>7742</v>
      </c>
      <c r="J1812" t="inlineStr">
        <is>
          <t>CAT 3</t>
        </is>
      </c>
      <c r="K1812" t="inlineStr">
        <is>
          <t>Sim</t>
        </is>
      </c>
    </row>
    <row r="1813">
      <c r="A1813" s="1">
        <f>HYPERLINK("https://eurofarma-latam-crm.veevavault.com/#object/account__v/V4TZ00001915RA5", "Mário Rovedo Filho")</f>
        <v/>
      </c>
      <c r="B1813" s="1">
        <f>HYPERLINK("https://eurofarma-latam-crm.veevavault.com/#object/account__v/V4TZ00001915RA5", "Mário Souza Rovedo Filho")</f>
        <v/>
      </c>
      <c r="C1813" t="inlineStr">
        <is>
          <t>RJ0348273</t>
        </is>
      </c>
      <c r="D1813" t="inlineStr">
        <is>
          <t>CLG</t>
        </is>
      </c>
      <c r="E1813" t="inlineStr">
        <is>
          <t>Travessa Jorge Soares, 196</t>
        </is>
      </c>
      <c r="F1813" t="inlineStr">
        <is>
          <t>Centro</t>
        </is>
      </c>
      <c r="G1813" t="inlineStr">
        <is>
          <t>São Gonçalo</t>
        </is>
      </c>
      <c r="H1813" t="inlineStr">
        <is>
          <t>RJ</t>
        </is>
      </c>
      <c r="I1813" t="n">
        <v>7742</v>
      </c>
      <c r="J1813" t="inlineStr">
        <is>
          <t>CAT 1</t>
        </is>
      </c>
      <c r="K1813" t="inlineStr">
        <is>
          <t>Sim</t>
        </is>
      </c>
    </row>
    <row r="1814">
      <c r="A1814" s="1">
        <f>HYPERLINK("https://eurofarma-latam-crm.veevavault.com/#object/account__v/V4TZ000019147TJ", "Marlucia Lopes")</f>
        <v/>
      </c>
      <c r="B1814" s="1">
        <f>HYPERLINK("https://eurofarma-latam-crm.veevavault.com/#object/account__v/V4TZ000019147TJ", "Marlucia da Silva Lopes")</f>
        <v/>
      </c>
      <c r="C1814" t="inlineStr">
        <is>
          <t>RJ0809322</t>
        </is>
      </c>
      <c r="D1814" t="inlineStr">
        <is>
          <t>ORL</t>
        </is>
      </c>
      <c r="E1814" t="inlineStr">
        <is>
          <t>Rua Gonçalves Ledo, 26</t>
        </is>
      </c>
      <c r="F1814" t="inlineStr">
        <is>
          <t>Fonseca</t>
        </is>
      </c>
      <c r="G1814" t="inlineStr">
        <is>
          <t>Niterói</t>
        </is>
      </c>
      <c r="H1814" t="inlineStr">
        <is>
          <t>RJ</t>
        </is>
      </c>
      <c r="I1814" t="n">
        <v>7742</v>
      </c>
      <c r="J1814" t="inlineStr">
        <is>
          <t>CAT 3</t>
        </is>
      </c>
      <c r="K1814" t="inlineStr">
        <is>
          <t>Sim</t>
        </is>
      </c>
    </row>
    <row r="1815">
      <c r="A1815" s="1">
        <f>HYPERLINK("https://eurofarma-latam-crm.veevavault.com/#object/account__v/V4TZ0000191398R", "Martha Garcia")</f>
        <v/>
      </c>
      <c r="B1815" s="1">
        <f>HYPERLINK("https://eurofarma-latam-crm.veevavault.com/#object/account__v/V4TZ0000191398R", "Martha Ramos Garcia")</f>
        <v/>
      </c>
      <c r="C1815" t="inlineStr">
        <is>
          <t>RJ0574018</t>
        </is>
      </c>
      <c r="D1815" t="inlineStr">
        <is>
          <t>PED</t>
        </is>
      </c>
      <c r="E1815" t="inlineStr">
        <is>
          <t>Avenida Presidente Kennedy, 735 - Sala 1129</t>
        </is>
      </c>
      <c r="F1815" t="inlineStr">
        <is>
          <t>Brasilândia</t>
        </is>
      </c>
      <c r="G1815" t="inlineStr">
        <is>
          <t>São Gonçalo</t>
        </is>
      </c>
      <c r="H1815" t="inlineStr">
        <is>
          <t>RJ</t>
        </is>
      </c>
      <c r="I1815" t="n">
        <v>7742</v>
      </c>
      <c r="J1815" t="inlineStr">
        <is>
          <t>CAT 5</t>
        </is>
      </c>
      <c r="K1815" t="inlineStr">
        <is>
          <t>Sim</t>
        </is>
      </c>
    </row>
    <row r="1816">
      <c r="A1816" s="1">
        <f>HYPERLINK("https://eurofarma-latam-crm.veevavault.com/#object/account__v/V4TZ00001913R9O", "Matheus Brum")</f>
        <v/>
      </c>
      <c r="B1816" s="1">
        <f>HYPERLINK("https://eurofarma-latam-crm.veevavault.com/#object/account__v/V4TZ00001913R9O", "Matheus Sardenberg Brum")</f>
        <v/>
      </c>
      <c r="C1816" t="inlineStr">
        <is>
          <t>RJ1154966</t>
        </is>
      </c>
      <c r="D1816" t="inlineStr">
        <is>
          <t>CLG / PA</t>
        </is>
      </c>
      <c r="E1816" t="inlineStr">
        <is>
          <t>Rua João de Souza, 410</t>
        </is>
      </c>
      <c r="F1816" t="inlineStr">
        <is>
          <t>Centro</t>
        </is>
      </c>
      <c r="G1816" t="inlineStr">
        <is>
          <t>São Gonçalo</t>
        </is>
      </c>
      <c r="H1816" t="inlineStr">
        <is>
          <t>RJ</t>
        </is>
      </c>
      <c r="I1816" t="n">
        <v>7742</v>
      </c>
      <c r="J1816" t="inlineStr">
        <is>
          <t>CAT 5</t>
        </is>
      </c>
      <c r="K1816" t="inlineStr">
        <is>
          <t>N�o</t>
        </is>
      </c>
    </row>
    <row r="1817">
      <c r="A1817" s="1">
        <f>HYPERLINK("https://eurofarma-latam-crm.veevavault.com/#object/account__v/V4TZ025E89F2ZFZ", "Matheus Franco")</f>
        <v/>
      </c>
      <c r="B1817" s="1">
        <f>HYPERLINK("https://eurofarma-latam-crm.veevavault.com/#object/account__v/V4TZ025E89F2ZFZ", "Matheus dos Santos Franco")</f>
        <v/>
      </c>
      <c r="C1817" t="inlineStr">
        <is>
          <t>RJ1189034</t>
        </is>
      </c>
      <c r="D1817" t="inlineStr">
        <is>
          <t>URO</t>
        </is>
      </c>
      <c r="E1817" t="inlineStr">
        <is>
          <t>Rua Marquês de Paraná, 303</t>
        </is>
      </c>
      <c r="F1817" t="inlineStr">
        <is>
          <t>Centro</t>
        </is>
      </c>
      <c r="G1817" t="inlineStr">
        <is>
          <t>Niterói</t>
        </is>
      </c>
      <c r="H1817" t="inlineStr">
        <is>
          <t>RJ</t>
        </is>
      </c>
      <c r="I1817" t="n">
        <v>7742</v>
      </c>
      <c r="J1817" t="inlineStr">
        <is>
          <t>CAT 5</t>
        </is>
      </c>
      <c r="K1817" t="inlineStr">
        <is>
          <t>N�o</t>
        </is>
      </c>
    </row>
    <row r="1818">
      <c r="A1818" s="1">
        <f>HYPERLINK("https://eurofarma-latam-crm.veevavault.com/#object/account__v/V4TZ000018NZ99I", "Mauro Penna")</f>
        <v/>
      </c>
      <c r="B1818" s="1">
        <f>HYPERLINK("https://eurofarma-latam-crm.veevavault.com/#object/account__v/V4TZ000018NZ99I", "Mauro Nolasco de Siqueira Penna")</f>
        <v/>
      </c>
      <c r="C1818" t="inlineStr">
        <is>
          <t>RJ0718335</t>
        </is>
      </c>
      <c r="D1818" t="inlineStr">
        <is>
          <t>URO</t>
        </is>
      </c>
      <c r="E1818" t="inlineStr">
        <is>
          <t>Rua Coronel Rodrigues, 422 - Sala 907</t>
        </is>
      </c>
      <c r="F1818" t="inlineStr">
        <is>
          <t>Centro</t>
        </is>
      </c>
      <c r="G1818" t="inlineStr">
        <is>
          <t>São Gonçalo</t>
        </is>
      </c>
      <c r="H1818" t="inlineStr">
        <is>
          <t>RJ</t>
        </is>
      </c>
      <c r="I1818" t="n">
        <v>7742</v>
      </c>
      <c r="J1818" t="inlineStr">
        <is>
          <t>CAT 5</t>
        </is>
      </c>
      <c r="K1818" t="inlineStr">
        <is>
          <t>Sim</t>
        </is>
      </c>
    </row>
    <row r="1819">
      <c r="A1819" s="1">
        <f>HYPERLINK("https://eurofarma-latam-crm.veevavault.com/#object/account__v/V4T000000012083", "Maury Silva")</f>
        <v/>
      </c>
      <c r="B1819" s="1">
        <f>HYPERLINK("https://eurofarma-latam-crm.veevavault.com/#object/account__v/V4T000000012083", "Maury Cesar Castro Silva")</f>
        <v/>
      </c>
      <c r="C1819" t="inlineStr">
        <is>
          <t>RJ1410611</t>
        </is>
      </c>
      <c r="D1819" t="inlineStr">
        <is>
          <t>CLG / PA</t>
        </is>
      </c>
      <c r="E1819" t="inlineStr">
        <is>
          <t>Rua Vicente de Lima Cleto, 296</t>
        </is>
      </c>
      <c r="F1819" t="inlineStr">
        <is>
          <t>Nova Cidade</t>
        </is>
      </c>
      <c r="G1819" t="inlineStr">
        <is>
          <t>São Gonçalo</t>
        </is>
      </c>
      <c r="H1819" t="inlineStr">
        <is>
          <t>RJ</t>
        </is>
      </c>
      <c r="I1819" t="n">
        <v>7742</v>
      </c>
      <c r="J1819" t="inlineStr"/>
      <c r="K1819" t="inlineStr"/>
    </row>
    <row r="1820">
      <c r="A1820" s="1">
        <f>HYPERLINK("https://eurofarma-latam-crm.veevavault.com/#object/account__v/V4TZ00001913XF2", "Michele Souza")</f>
        <v/>
      </c>
      <c r="B1820" s="1">
        <f>HYPERLINK("https://eurofarma-latam-crm.veevavault.com/#object/account__v/V4TZ00001913XF2", "Michele Nassif de Souza")</f>
        <v/>
      </c>
      <c r="C1820" t="inlineStr">
        <is>
          <t>RJ0632635</t>
        </is>
      </c>
      <c r="D1820" t="inlineStr">
        <is>
          <t>PED</t>
        </is>
      </c>
      <c r="E1820" t="inlineStr">
        <is>
          <t>Avenida Carlos Ermelindo Marins , S/N</t>
        </is>
      </c>
      <c r="F1820" t="inlineStr">
        <is>
          <t>Jurujuba</t>
        </is>
      </c>
      <c r="G1820" t="inlineStr">
        <is>
          <t>Niterói</t>
        </is>
      </c>
      <c r="H1820" t="inlineStr">
        <is>
          <t>RJ</t>
        </is>
      </c>
      <c r="I1820" t="n">
        <v>7742</v>
      </c>
      <c r="J1820" t="inlineStr">
        <is>
          <t>CAT 5</t>
        </is>
      </c>
      <c r="K1820" t="inlineStr">
        <is>
          <t>N�o</t>
        </is>
      </c>
    </row>
    <row r="1821">
      <c r="A1821" s="1">
        <f>HYPERLINK("https://eurofarma-latam-crm.veevavault.com/#object/account__v/V4TZ00001914CP5", "Milton da Silva")</f>
        <v/>
      </c>
      <c r="B1821" s="1">
        <f>HYPERLINK("https://eurofarma-latam-crm.veevavault.com/#object/account__v/V4TZ00001914CP5", "Milton Lobo da Silva")</f>
        <v/>
      </c>
      <c r="C1821" t="inlineStr">
        <is>
          <t>RJ0174668</t>
        </is>
      </c>
      <c r="D1821" t="inlineStr">
        <is>
          <t>GAS</t>
        </is>
      </c>
      <c r="E1821" t="inlineStr">
        <is>
          <t>Rua Pastor Waldemar Zarro, 28 - Igreja Batista Da Trindade (Ibt Saúde)</t>
        </is>
      </c>
      <c r="F1821" t="inlineStr">
        <is>
          <t>Nova Cidade</t>
        </is>
      </c>
      <c r="G1821" t="inlineStr">
        <is>
          <t>São Gonçalo</t>
        </is>
      </c>
      <c r="H1821" t="inlineStr">
        <is>
          <t>RJ</t>
        </is>
      </c>
      <c r="I1821" t="n">
        <v>7742</v>
      </c>
      <c r="J1821" t="inlineStr">
        <is>
          <t>CAT 4</t>
        </is>
      </c>
      <c r="K1821" t="inlineStr">
        <is>
          <t>Sim</t>
        </is>
      </c>
    </row>
    <row r="1822">
      <c r="A1822" s="1">
        <f>HYPERLINK("https://eurofarma-latam-crm.veevavault.com/#object/account__v/V4TZ025E84X377Y", "Miriã Ferreira")</f>
        <v/>
      </c>
      <c r="B1822" s="1">
        <f>HYPERLINK("https://eurofarma-latam-crm.veevavault.com/#object/account__v/V4TZ025E84X377Y", "Miriã Vieira dos Santos Ferreira")</f>
        <v/>
      </c>
      <c r="C1822" t="inlineStr">
        <is>
          <t>RJ1262335</t>
        </is>
      </c>
      <c r="D1822" t="inlineStr">
        <is>
          <t>CLG / PA</t>
        </is>
      </c>
      <c r="E1822" t="inlineStr">
        <is>
          <t>Rua João de Almeida, 109</t>
        </is>
      </c>
      <c r="F1822" t="inlineStr">
        <is>
          <t>Alcântara</t>
        </is>
      </c>
      <c r="G1822" t="inlineStr">
        <is>
          <t>São Gonçalo</t>
        </is>
      </c>
      <c r="H1822" t="inlineStr">
        <is>
          <t>RJ</t>
        </is>
      </c>
      <c r="I1822" t="n">
        <v>7742</v>
      </c>
      <c r="J1822" t="inlineStr">
        <is>
          <t>CAT 5</t>
        </is>
      </c>
      <c r="K1822" t="inlineStr">
        <is>
          <t>N�o</t>
        </is>
      </c>
    </row>
    <row r="1823">
      <c r="A1823" s="1">
        <f>HYPERLINK("https://eurofarma-latam-crm.veevavault.com/#object/account__v/V4TZ000018NYF95", "Mirian Lúcia e Costa")</f>
        <v/>
      </c>
      <c r="B1823" s="1">
        <f>HYPERLINK("https://eurofarma-latam-crm.veevavault.com/#object/account__v/V4TZ000018NYF95", "Mirian Lúcia de Souza e Costa")</f>
        <v/>
      </c>
      <c r="C1823" t="inlineStr">
        <is>
          <t>RJ0587104</t>
        </is>
      </c>
      <c r="D1823" t="inlineStr">
        <is>
          <t>CLG</t>
        </is>
      </c>
      <c r="E1823" t="inlineStr">
        <is>
          <t>Rua Manoel de Abreu, 9 - Parte</t>
        </is>
      </c>
      <c r="F1823" t="inlineStr">
        <is>
          <t>Centro</t>
        </is>
      </c>
      <c r="G1823" t="inlineStr">
        <is>
          <t>Niterói</t>
        </is>
      </c>
      <c r="H1823" t="inlineStr">
        <is>
          <t>RJ</t>
        </is>
      </c>
      <c r="I1823" t="n">
        <v>7742</v>
      </c>
      <c r="J1823" t="inlineStr">
        <is>
          <t>CAT 1</t>
        </is>
      </c>
      <c r="K1823" t="inlineStr">
        <is>
          <t>Sim</t>
        </is>
      </c>
    </row>
    <row r="1824">
      <c r="A1824" s="1">
        <f>HYPERLINK("https://eurofarma-latam-crm.veevavault.com/#object/account__v/V4TZ000018NZ3ID", "Monaliza de Carvalho")</f>
        <v/>
      </c>
      <c r="B1824" s="1">
        <f>HYPERLINK("https://eurofarma-latam-crm.veevavault.com/#object/account__v/V4TZ000018NZ3ID", "Monaliza Gomes de Carvalho")</f>
        <v/>
      </c>
      <c r="C1824" t="inlineStr">
        <is>
          <t>RJ0607235</t>
        </is>
      </c>
      <c r="D1824" t="inlineStr">
        <is>
          <t>PSQ</t>
        </is>
      </c>
      <c r="E1824" t="inlineStr">
        <is>
          <t>Praça Estefania de Carvalho, 26</t>
        </is>
      </c>
      <c r="F1824" t="inlineStr">
        <is>
          <t>Zé Garoto</t>
        </is>
      </c>
      <c r="G1824" t="inlineStr">
        <is>
          <t>São Gonçalo</t>
        </is>
      </c>
      <c r="H1824" t="inlineStr">
        <is>
          <t>RJ</t>
        </is>
      </c>
      <c r="I1824" t="n">
        <v>7742</v>
      </c>
      <c r="J1824" t="inlineStr">
        <is>
          <t>CAT 1</t>
        </is>
      </c>
      <c r="K1824" t="inlineStr">
        <is>
          <t>Sim</t>
        </is>
      </c>
    </row>
    <row r="1825">
      <c r="A1825" s="1">
        <f>HYPERLINK("https://eurofarma-latam-crm.veevavault.com/#object/account__v/V4TZ00001914QVE", "Monica de Oliveira")</f>
        <v/>
      </c>
      <c r="B1825" s="1">
        <f>HYPERLINK("https://eurofarma-latam-crm.veevavault.com/#object/account__v/V4TZ00001914QVE", "Monica Ribeiro de Oliveira")</f>
        <v/>
      </c>
      <c r="C1825" t="inlineStr">
        <is>
          <t>RJ0514358</t>
        </is>
      </c>
      <c r="D1825" t="inlineStr">
        <is>
          <t>PED</t>
        </is>
      </c>
      <c r="E1825" t="inlineStr">
        <is>
          <t>Avenida Perimetral Prudente de Morais, 918</t>
        </is>
      </c>
      <c r="F1825" t="inlineStr">
        <is>
          <t>Vila Itamarati</t>
        </is>
      </c>
      <c r="G1825" t="inlineStr">
        <is>
          <t>Duque de Caxias</t>
        </is>
      </c>
      <c r="H1825" t="inlineStr">
        <is>
          <t>RJ</t>
        </is>
      </c>
      <c r="I1825" t="n">
        <v>7742</v>
      </c>
      <c r="J1825" t="inlineStr">
        <is>
          <t>CAT 4</t>
        </is>
      </c>
      <c r="K1825" t="inlineStr">
        <is>
          <t>Sim</t>
        </is>
      </c>
    </row>
    <row r="1826">
      <c r="A1826" s="1">
        <f>HYPERLINK("https://eurofarma-latam-crm.veevavault.com/#object/account__v/V4TZ000018NXHQ6", "Monica Peclat")</f>
        <v/>
      </c>
      <c r="B1826" s="1">
        <f>HYPERLINK("https://eurofarma-latam-crm.veevavault.com/#object/account__v/V4TZ000018NXHQ6", "Monica Eliete Peclat")</f>
        <v/>
      </c>
      <c r="C1826" t="inlineStr">
        <is>
          <t>RJ0588486</t>
        </is>
      </c>
      <c r="D1826" t="inlineStr">
        <is>
          <t>CLG</t>
        </is>
      </c>
      <c r="E1826" t="inlineStr">
        <is>
          <t>Rua Doutor Nilo Peçanha, 232</t>
        </is>
      </c>
      <c r="F1826" t="inlineStr">
        <is>
          <t>Centro</t>
        </is>
      </c>
      <c r="G1826" t="inlineStr">
        <is>
          <t>São Gonçalo</t>
        </is>
      </c>
      <c r="H1826" t="inlineStr">
        <is>
          <t>RJ</t>
        </is>
      </c>
      <c r="I1826" t="n">
        <v>7742</v>
      </c>
      <c r="J1826" t="inlineStr">
        <is>
          <t>CAT 3</t>
        </is>
      </c>
      <c r="K1826" t="inlineStr">
        <is>
          <t>Sim</t>
        </is>
      </c>
    </row>
    <row r="1827">
      <c r="A1827" s="1">
        <f>HYPERLINK("https://eurofarma-latam-crm.veevavault.com/#object/account__v/V4TZ000018NYQ55", "Morena Gurgel")</f>
        <v/>
      </c>
      <c r="B1827" s="1">
        <f>HYPERLINK("https://eurofarma-latam-crm.veevavault.com/#object/account__v/V4TZ000018NYQ55", "Morena Conceição Palombo Gurgel")</f>
        <v/>
      </c>
      <c r="C1827" t="inlineStr">
        <is>
          <t>RJ1072404</t>
        </is>
      </c>
      <c r="D1827" t="inlineStr">
        <is>
          <t>CLG / PA</t>
        </is>
      </c>
      <c r="E1827" t="inlineStr">
        <is>
          <t>Rua Vereador Clemente Souza e Silva, 440</t>
        </is>
      </c>
      <c r="F1827" t="inlineStr">
        <is>
          <t>Zé Garoto</t>
        </is>
      </c>
      <c r="G1827" t="inlineStr">
        <is>
          <t>São Gonçalo</t>
        </is>
      </c>
      <c r="H1827" t="inlineStr">
        <is>
          <t>RJ</t>
        </is>
      </c>
      <c r="I1827" t="n">
        <v>7742</v>
      </c>
      <c r="J1827" t="inlineStr">
        <is>
          <t>CAT 5</t>
        </is>
      </c>
      <c r="K1827" t="inlineStr">
        <is>
          <t>N�o</t>
        </is>
      </c>
    </row>
    <row r="1828">
      <c r="A1828" s="1">
        <f>HYPERLINK("https://eurofarma-latam-crm.veevavault.com/#object/account__v/V4TZ000018NYUAL", "Myriam de Carvalho")</f>
        <v/>
      </c>
      <c r="B1828" s="1">
        <f>HYPERLINK("https://eurofarma-latam-crm.veevavault.com/#object/account__v/V4TZ000018NYUAL", "Myriam de Carvalho")</f>
        <v/>
      </c>
      <c r="C1828" t="inlineStr">
        <is>
          <t>RJ0277461</t>
        </is>
      </c>
      <c r="D1828" t="inlineStr">
        <is>
          <t>CLG</t>
        </is>
      </c>
      <c r="E1828" t="inlineStr">
        <is>
          <t>Rua Doutor Feliciano Sodré, 46</t>
        </is>
      </c>
      <c r="F1828" t="inlineStr">
        <is>
          <t>Centro</t>
        </is>
      </c>
      <c r="G1828" t="inlineStr">
        <is>
          <t>São Gonçalo</t>
        </is>
      </c>
      <c r="H1828" t="inlineStr">
        <is>
          <t>RJ</t>
        </is>
      </c>
      <c r="I1828" t="n">
        <v>7742</v>
      </c>
      <c r="J1828" t="inlineStr">
        <is>
          <t>CAT 2</t>
        </is>
      </c>
      <c r="K1828" t="inlineStr">
        <is>
          <t>Sim</t>
        </is>
      </c>
    </row>
    <row r="1829">
      <c r="A1829" s="1">
        <f>HYPERLINK("https://eurofarma-latam-crm.veevavault.com/#object/account__v/V4TZ025E8AOZ8LT", "Nathalia D'Avila")</f>
        <v/>
      </c>
      <c r="B1829" s="1">
        <f>HYPERLINK("https://eurofarma-latam-crm.veevavault.com/#object/account__v/V4TZ025E8AOZ8LT", "Nathalia Matos da Silva D'Avila")</f>
        <v/>
      </c>
      <c r="C1829" t="inlineStr">
        <is>
          <t>RJ1331213</t>
        </is>
      </c>
      <c r="D1829" t="inlineStr">
        <is>
          <t>CLG / PA</t>
        </is>
      </c>
      <c r="E1829" t="inlineStr">
        <is>
          <t>Avenida Pastor Martin Luther King Jr, 10976</t>
        </is>
      </c>
      <c r="F1829" t="inlineStr">
        <is>
          <t>Acari</t>
        </is>
      </c>
      <c r="G1829" t="inlineStr">
        <is>
          <t>Rio de Janeiro</t>
        </is>
      </c>
      <c r="H1829" t="inlineStr">
        <is>
          <t>RJ</t>
        </is>
      </c>
      <c r="I1829" t="n">
        <v>7742</v>
      </c>
      <c r="J1829" t="inlineStr">
        <is>
          <t>CAT 5</t>
        </is>
      </c>
      <c r="K1829" t="inlineStr">
        <is>
          <t>N�o</t>
        </is>
      </c>
    </row>
    <row r="1830">
      <c r="A1830" s="1">
        <f>HYPERLINK("https://eurofarma-latam-crm.veevavault.com/#object/account__v/V4TZ000018NYE3L", "Nelson Martinez")</f>
        <v/>
      </c>
      <c r="B1830" s="1">
        <f>HYPERLINK("https://eurofarma-latam-crm.veevavault.com/#object/account__v/V4TZ000018NYE3L", "Nelson Armando Solano Martinez")</f>
        <v/>
      </c>
      <c r="C1830" t="inlineStr">
        <is>
          <t>RJ0912972</t>
        </is>
      </c>
      <c r="D1830" t="inlineStr">
        <is>
          <t>ORL</t>
        </is>
      </c>
      <c r="E1830" t="inlineStr">
        <is>
          <t>Praça Estefania de Carvalho, S/N</t>
        </is>
      </c>
      <c r="F1830" t="inlineStr">
        <is>
          <t>Zé Garoto</t>
        </is>
      </c>
      <c r="G1830" t="inlineStr">
        <is>
          <t>São Gonçalo</t>
        </is>
      </c>
      <c r="H1830" t="inlineStr">
        <is>
          <t>RJ</t>
        </is>
      </c>
      <c r="I1830" t="n">
        <v>7742</v>
      </c>
      <c r="J1830" t="inlineStr">
        <is>
          <t>CAT 3</t>
        </is>
      </c>
      <c r="K1830" t="inlineStr">
        <is>
          <t>Sim</t>
        </is>
      </c>
    </row>
    <row r="1831">
      <c r="A1831" s="1">
        <f>HYPERLINK("https://eurofarma-latam-crm.veevavault.com/#object/account__v/V4TZ000019138RS", "Neury da Silva Filho")</f>
        <v/>
      </c>
      <c r="B1831" s="1">
        <f>HYPERLINK("https://eurofarma-latam-crm.veevavault.com/#object/account__v/V4TZ000019138RS", "Neury Rollemberg da Silva Filho")</f>
        <v/>
      </c>
      <c r="C1831" t="inlineStr">
        <is>
          <t>RJ0359093</t>
        </is>
      </c>
      <c r="D1831" t="inlineStr">
        <is>
          <t>CLG</t>
        </is>
      </c>
      <c r="E1831" t="inlineStr">
        <is>
          <t>Rua Salvatori, 40 - Sala 804</t>
        </is>
      </c>
      <c r="F1831" t="inlineStr">
        <is>
          <t>Centro</t>
        </is>
      </c>
      <c r="G1831" t="inlineStr">
        <is>
          <t>São Gonçalo</t>
        </is>
      </c>
      <c r="H1831" t="inlineStr">
        <is>
          <t>RJ</t>
        </is>
      </c>
      <c r="I1831" t="n">
        <v>7742</v>
      </c>
      <c r="J1831" t="inlineStr">
        <is>
          <t>CAT 5</t>
        </is>
      </c>
      <c r="K1831" t="inlineStr">
        <is>
          <t>N�o</t>
        </is>
      </c>
    </row>
    <row r="1832">
      <c r="A1832" s="1">
        <f>HYPERLINK("https://eurofarma-latam-crm.veevavault.com/#object/account__v/V4TZ025E8C2VB0M", "Nicole Cardozo")</f>
        <v/>
      </c>
      <c r="B1832" s="1">
        <f>HYPERLINK("https://eurofarma-latam-crm.veevavault.com/#object/account__v/V4TZ025E8C2VB0M", "Nicole Ribeiro Cardozo")</f>
        <v/>
      </c>
      <c r="C1832" t="inlineStr">
        <is>
          <t>RJ1357492</t>
        </is>
      </c>
      <c r="D1832" t="inlineStr">
        <is>
          <t>CLG / PA</t>
        </is>
      </c>
      <c r="E1832" t="inlineStr">
        <is>
          <t>Rua Reverendo Armando Ferreira, S/N</t>
        </is>
      </c>
      <c r="F1832" t="inlineStr">
        <is>
          <t>Largo da Batalha</t>
        </is>
      </c>
      <c r="G1832" t="inlineStr">
        <is>
          <t>Niterói</t>
        </is>
      </c>
      <c r="H1832" t="inlineStr">
        <is>
          <t>RJ</t>
        </is>
      </c>
      <c r="I1832" t="n">
        <v>7742</v>
      </c>
      <c r="J1832" t="inlineStr">
        <is>
          <t>CAT 4</t>
        </is>
      </c>
      <c r="K1832" t="inlineStr">
        <is>
          <t>N�o</t>
        </is>
      </c>
    </row>
    <row r="1833">
      <c r="A1833" s="1">
        <f>HYPERLINK("https://eurofarma-latam-crm.veevavault.com/#object/account__v/V4TZ025E82WS0MT", "Nicolle Pinto")</f>
        <v/>
      </c>
      <c r="B1833" s="1">
        <f>HYPERLINK("https://eurofarma-latam-crm.veevavault.com/#object/account__v/V4TZ025E82WS0MT", "Nicolle de Abreu Pinto")</f>
        <v/>
      </c>
      <c r="C1833" t="inlineStr">
        <is>
          <t>RJ1288555</t>
        </is>
      </c>
      <c r="D1833" t="inlineStr">
        <is>
          <t>CLG / PA</t>
        </is>
      </c>
      <c r="E1833" t="inlineStr">
        <is>
          <t>Rua Teixeira de Freitas, 30</t>
        </is>
      </c>
      <c r="F1833" t="inlineStr">
        <is>
          <t>Fonseca</t>
        </is>
      </c>
      <c r="G1833" t="inlineStr">
        <is>
          <t>Niterói</t>
        </is>
      </c>
      <c r="H1833" t="inlineStr">
        <is>
          <t>RJ</t>
        </is>
      </c>
      <c r="I1833" t="n">
        <v>7742</v>
      </c>
      <c r="J1833" t="inlineStr"/>
      <c r="K1833" t="inlineStr"/>
    </row>
    <row r="1834">
      <c r="A1834" s="1">
        <f>HYPERLINK("https://eurofarma-latam-crm.veevavault.com/#object/account__v/V4TZ000019162VW", "Nivaldo Pinto")</f>
        <v/>
      </c>
      <c r="B1834" s="1">
        <f>HYPERLINK("https://eurofarma-latam-crm.veevavault.com/#object/account__v/V4TZ000019162VW", "Nivaldo Siqueira Pinto")</f>
        <v/>
      </c>
      <c r="C1834" t="inlineStr">
        <is>
          <t>RJ0311264</t>
        </is>
      </c>
      <c r="D1834" t="inlineStr">
        <is>
          <t>GAS</t>
        </is>
      </c>
      <c r="E1834" t="inlineStr">
        <is>
          <t>Rua Coronel Moreira Cesar, 97 - Sl 102</t>
        </is>
      </c>
      <c r="F1834" t="inlineStr">
        <is>
          <t>Centro</t>
        </is>
      </c>
      <c r="G1834" t="inlineStr">
        <is>
          <t>São Gonçalo</t>
        </is>
      </c>
      <c r="H1834" t="inlineStr">
        <is>
          <t>RJ</t>
        </is>
      </c>
      <c r="I1834" t="n">
        <v>7742</v>
      </c>
      <c r="J1834" t="inlineStr">
        <is>
          <t>CAT 4</t>
        </is>
      </c>
      <c r="K1834" t="inlineStr">
        <is>
          <t>Sim</t>
        </is>
      </c>
    </row>
    <row r="1835">
      <c r="A1835" s="1">
        <f>HYPERLINK("https://eurofarma-latam-crm.veevavault.com/#object/account__v/V4TZ000019161UZ", "Oswaldo Elias Antonio")</f>
        <v/>
      </c>
      <c r="B1835" s="1">
        <f>HYPERLINK("https://eurofarma-latam-crm.veevavault.com/#object/account__v/V4TZ000019161UZ", "Oswaldo Elias Carvalhido Antonio")</f>
        <v/>
      </c>
      <c r="C1835" t="inlineStr">
        <is>
          <t>RJ0455115</t>
        </is>
      </c>
      <c r="D1835" t="inlineStr">
        <is>
          <t>CLG</t>
        </is>
      </c>
      <c r="E1835" t="inlineStr">
        <is>
          <t>Praça Estefania de Carvalho, 26</t>
        </is>
      </c>
      <c r="F1835" t="inlineStr">
        <is>
          <t>Zé Garoto</t>
        </is>
      </c>
      <c r="G1835" t="inlineStr">
        <is>
          <t>São Gonçalo</t>
        </is>
      </c>
      <c r="H1835" t="inlineStr">
        <is>
          <t>RJ</t>
        </is>
      </c>
      <c r="I1835" t="n">
        <v>7742</v>
      </c>
      <c r="J1835" t="inlineStr">
        <is>
          <t>CAT 3</t>
        </is>
      </c>
      <c r="K1835" t="inlineStr">
        <is>
          <t>Sim</t>
        </is>
      </c>
    </row>
    <row r="1836">
      <c r="A1836" s="1">
        <f>HYPERLINK("https://eurofarma-latam-crm.veevavault.com/#object/account__v/V4TZ000018NY8M6", "Pablo Monteiro")</f>
        <v/>
      </c>
      <c r="B1836" s="1">
        <f>HYPERLINK("https://eurofarma-latam-crm.veevavault.com/#object/account__v/V4TZ000018NY8M6", "Pablo Ferreira Monteiro")</f>
        <v/>
      </c>
      <c r="C1836" t="inlineStr">
        <is>
          <t>RJ0878740</t>
        </is>
      </c>
      <c r="D1836" t="inlineStr">
        <is>
          <t>END</t>
        </is>
      </c>
      <c r="E1836" t="inlineStr">
        <is>
          <t>Avenida Luiz Fernando de Oliveira Nanci, 9 - Quadra 04</t>
        </is>
      </c>
      <c r="F1836" t="inlineStr">
        <is>
          <t>Nancilândia</t>
        </is>
      </c>
      <c r="G1836" t="inlineStr">
        <is>
          <t>Itaboraí</t>
        </is>
      </c>
      <c r="H1836" t="inlineStr">
        <is>
          <t>RJ</t>
        </is>
      </c>
      <c r="I1836" t="n">
        <v>7742</v>
      </c>
      <c r="J1836" t="inlineStr">
        <is>
          <t>CAT 2</t>
        </is>
      </c>
      <c r="K1836" t="inlineStr">
        <is>
          <t>Sim</t>
        </is>
      </c>
    </row>
    <row r="1837">
      <c r="A1837" s="1">
        <f>HYPERLINK("https://eurofarma-latam-crm.veevavault.com/#object/account__v/V4TZ000018NYWNE", "Pablo Pimentel")</f>
        <v/>
      </c>
      <c r="B1837" s="1">
        <f>HYPERLINK("https://eurofarma-latam-crm.veevavault.com/#object/account__v/V4TZ000018NYWNE", "Pablo Mendes Pimentel")</f>
        <v/>
      </c>
      <c r="C1837" t="inlineStr">
        <is>
          <t>RJ0721603</t>
        </is>
      </c>
      <c r="D1837" t="inlineStr">
        <is>
          <t>URO</t>
        </is>
      </c>
      <c r="E1837" t="inlineStr">
        <is>
          <t>Rua Coronel Rodrigues, 422 - Sala 907</t>
        </is>
      </c>
      <c r="F1837" t="inlineStr">
        <is>
          <t>Centro</t>
        </is>
      </c>
      <c r="G1837" t="inlineStr">
        <is>
          <t>São Gonçalo</t>
        </is>
      </c>
      <c r="H1837" t="inlineStr">
        <is>
          <t>RJ</t>
        </is>
      </c>
      <c r="I1837" t="n">
        <v>7742</v>
      </c>
      <c r="J1837" t="inlineStr">
        <is>
          <t>CAT 4</t>
        </is>
      </c>
      <c r="K1837" t="inlineStr">
        <is>
          <t>Sim</t>
        </is>
      </c>
    </row>
    <row r="1838">
      <c r="A1838" s="1">
        <f>HYPERLINK("https://eurofarma-latam-crm.veevavault.com/#object/account__v/V4TZ000018NZ4AP", "Pamela Rocha")</f>
        <v/>
      </c>
      <c r="B1838" s="1">
        <f>HYPERLINK("https://eurofarma-latam-crm.veevavault.com/#object/account__v/V4TZ000018NZ4AP", "Pamela Russel Machado Rocha")</f>
        <v/>
      </c>
      <c r="C1838" t="inlineStr">
        <is>
          <t>PA0014948,RJ1130439</t>
        </is>
      </c>
      <c r="D1838" t="inlineStr">
        <is>
          <t>NEU</t>
        </is>
      </c>
      <c r="E1838" t="inlineStr">
        <is>
          <t>Rua H, 248 - Quadra 67 Lote 8 a 15</t>
        </is>
      </c>
      <c r="F1838" t="inlineStr">
        <is>
          <t>União</t>
        </is>
      </c>
      <c r="G1838" t="inlineStr">
        <is>
          <t>Parauapebas</t>
        </is>
      </c>
      <c r="H1838" t="inlineStr">
        <is>
          <t>PA</t>
        </is>
      </c>
      <c r="I1838" t="n">
        <v>7742</v>
      </c>
      <c r="J1838" t="inlineStr">
        <is>
          <t>CAT 5</t>
        </is>
      </c>
      <c r="K1838" t="inlineStr">
        <is>
          <t>N�o</t>
        </is>
      </c>
    </row>
    <row r="1839">
      <c r="A1839" s="1">
        <f>HYPERLINK("https://eurofarma-latam-crm.veevavault.com/#object/account__v/V4TZ000018NYZK1", "Patricia Costa")</f>
        <v/>
      </c>
      <c r="B1839" s="1">
        <f>HYPERLINK("https://eurofarma-latam-crm.veevavault.com/#object/account__v/V4TZ000018NYZK1", "Patricia Pinheiro do Nascimento Costa")</f>
        <v/>
      </c>
      <c r="C1839" t="inlineStr">
        <is>
          <t>RJ0626244</t>
        </is>
      </c>
      <c r="D1839" t="inlineStr">
        <is>
          <t>CLG</t>
        </is>
      </c>
      <c r="E1839" t="inlineStr">
        <is>
          <t>Rua Coronel Serrado, 61</t>
        </is>
      </c>
      <c r="F1839" t="inlineStr">
        <is>
          <t>Zé Garoto</t>
        </is>
      </c>
      <c r="G1839" t="inlineStr">
        <is>
          <t>São Gonçalo</t>
        </is>
      </c>
      <c r="H1839" t="inlineStr">
        <is>
          <t>RJ</t>
        </is>
      </c>
      <c r="I1839" t="n">
        <v>7742</v>
      </c>
      <c r="J1839" t="inlineStr">
        <is>
          <t>CAT 5</t>
        </is>
      </c>
      <c r="K1839" t="inlineStr">
        <is>
          <t>Sim</t>
        </is>
      </c>
    </row>
    <row r="1840">
      <c r="A1840" s="1">
        <f>HYPERLINK("https://eurofarma-latam-crm.veevavault.com/#object/account__v/V4TZ000018NYDZ5", "Patrícia da Silva")</f>
        <v/>
      </c>
      <c r="B1840" s="1">
        <f>HYPERLINK("https://eurofarma-latam-crm.veevavault.com/#object/account__v/V4TZ000018NYDZ5", "Patrícia Coelho da Silva")</f>
        <v/>
      </c>
      <c r="C1840" t="inlineStr">
        <is>
          <t>RJ1003925</t>
        </is>
      </c>
      <c r="D1840" t="inlineStr">
        <is>
          <t>CLG / PA</t>
        </is>
      </c>
      <c r="E1840" t="inlineStr">
        <is>
          <t>Rua Doutor Nilo Peçanha, 232</t>
        </is>
      </c>
      <c r="F1840" t="inlineStr">
        <is>
          <t>Centro</t>
        </is>
      </c>
      <c r="G1840" t="inlineStr">
        <is>
          <t>São Gonçalo</t>
        </is>
      </c>
      <c r="H1840" t="inlineStr">
        <is>
          <t>RJ</t>
        </is>
      </c>
      <c r="I1840" t="n">
        <v>7742</v>
      </c>
      <c r="J1840" t="inlineStr">
        <is>
          <t>CAT 5</t>
        </is>
      </c>
      <c r="K1840" t="inlineStr">
        <is>
          <t>Sim</t>
        </is>
      </c>
    </row>
    <row r="1841">
      <c r="A1841" s="1">
        <f>HYPERLINK("https://eurofarma-latam-crm.veevavault.com/#object/account__v/V4TZ00001913NKN", "Patricia Fonseca")</f>
        <v/>
      </c>
      <c r="B1841" s="1">
        <f>HYPERLINK("https://eurofarma-latam-crm.veevavault.com/#object/account__v/V4TZ00001913NKN", "Patricia Martins Ramos Fonseca")</f>
        <v/>
      </c>
      <c r="C1841" t="inlineStr">
        <is>
          <t>RJ0591525</t>
        </is>
      </c>
      <c r="D1841" t="inlineStr">
        <is>
          <t>PED</t>
        </is>
      </c>
      <c r="E1841" t="inlineStr">
        <is>
          <t>Rua Doutor Nilo Peçanha, 232</t>
        </is>
      </c>
      <c r="F1841" t="inlineStr">
        <is>
          <t>Centro</t>
        </is>
      </c>
      <c r="G1841" t="inlineStr">
        <is>
          <t>São Gonçalo</t>
        </is>
      </c>
      <c r="H1841" t="inlineStr">
        <is>
          <t>RJ</t>
        </is>
      </c>
      <c r="I1841" t="n">
        <v>7742</v>
      </c>
      <c r="J1841" t="inlineStr">
        <is>
          <t>CAT 5</t>
        </is>
      </c>
      <c r="K1841" t="inlineStr">
        <is>
          <t>Sim</t>
        </is>
      </c>
    </row>
    <row r="1842">
      <c r="A1842" s="1">
        <f>HYPERLINK("https://eurofarma-latam-crm.veevavault.com/#object/account__v/V4TZ00001914H41", "Patrícia Sarmento")</f>
        <v/>
      </c>
      <c r="B1842" s="1">
        <f>HYPERLINK("https://eurofarma-latam-crm.veevavault.com/#object/account__v/V4TZ00001914H41", "Patrícia Queiroz Sarmento")</f>
        <v/>
      </c>
      <c r="C1842" t="inlineStr">
        <is>
          <t>RJ0717150</t>
        </is>
      </c>
      <c r="D1842" t="inlineStr">
        <is>
          <t>ORT</t>
        </is>
      </c>
      <c r="E1842" t="inlineStr">
        <is>
          <t>Rua Manoel de Abreu, 9 - Parte</t>
        </is>
      </c>
      <c r="F1842" t="inlineStr">
        <is>
          <t>Centro</t>
        </is>
      </c>
      <c r="G1842" t="inlineStr">
        <is>
          <t>Niterói</t>
        </is>
      </c>
      <c r="H1842" t="inlineStr">
        <is>
          <t>RJ</t>
        </is>
      </c>
      <c r="I1842" t="n">
        <v>7742</v>
      </c>
      <c r="J1842" t="inlineStr">
        <is>
          <t>CAT 4</t>
        </is>
      </c>
      <c r="K1842" t="inlineStr">
        <is>
          <t>Sim</t>
        </is>
      </c>
    </row>
    <row r="1843">
      <c r="A1843" s="1">
        <f>HYPERLINK("https://eurofarma-latam-crm.veevavault.com/#object/account__v/V4TZ00001914XMU", "Paula Regina Marques")</f>
        <v/>
      </c>
      <c r="B1843" s="1">
        <f>HYPERLINK("https://eurofarma-latam-crm.veevavault.com/#object/account__v/V4TZ00001914XMU", "Paula Regina de Abreu Marques")</f>
        <v/>
      </c>
      <c r="C1843" t="inlineStr">
        <is>
          <t>RJ0776106</t>
        </is>
      </c>
      <c r="D1843" t="inlineStr">
        <is>
          <t>PED</t>
        </is>
      </c>
      <c r="E1843" t="inlineStr">
        <is>
          <t>Rua Quartéis, 221</t>
        </is>
      </c>
      <c r="F1843" t="inlineStr">
        <is>
          <t>Comendador Soares</t>
        </is>
      </c>
      <c r="G1843" t="inlineStr">
        <is>
          <t>Nova Iguaçu</t>
        </is>
      </c>
      <c r="H1843" t="inlineStr">
        <is>
          <t>RJ</t>
        </is>
      </c>
      <c r="I1843" t="n">
        <v>7742</v>
      </c>
      <c r="J1843" t="inlineStr">
        <is>
          <t>CAT 4</t>
        </is>
      </c>
      <c r="K1843" t="inlineStr">
        <is>
          <t>N�o</t>
        </is>
      </c>
    </row>
    <row r="1844">
      <c r="A1844" s="1">
        <f>HYPERLINK("https://eurofarma-latam-crm.veevavault.com/#object/account__v/V4TZ00001914DLE", "Paulo Apratto Junior")</f>
        <v/>
      </c>
      <c r="B1844" s="1">
        <f>HYPERLINK("https://eurofarma-latam-crm.veevavault.com/#object/account__v/V4TZ00001914DLE", "Paulo Cavalcante Apratto Junior")</f>
        <v/>
      </c>
      <c r="C1844" t="inlineStr">
        <is>
          <t>RJ0531925</t>
        </is>
      </c>
      <c r="D1844" t="inlineStr">
        <is>
          <t>CLG</t>
        </is>
      </c>
      <c r="E1844" t="inlineStr">
        <is>
          <t>Rua Trairaponga, 675</t>
        </is>
      </c>
      <c r="F1844" t="inlineStr">
        <is>
          <t>Vila Itamarati</t>
        </is>
      </c>
      <c r="G1844" t="inlineStr">
        <is>
          <t>Duque de Caxias</t>
        </is>
      </c>
      <c r="H1844" t="inlineStr">
        <is>
          <t>RJ</t>
        </is>
      </c>
      <c r="I1844" t="n">
        <v>7742</v>
      </c>
      <c r="J1844" t="inlineStr">
        <is>
          <t>CAT 4</t>
        </is>
      </c>
      <c r="K1844" t="inlineStr">
        <is>
          <t>Sim</t>
        </is>
      </c>
    </row>
    <row r="1845">
      <c r="A1845" s="1">
        <f>HYPERLINK("https://eurofarma-latam-crm.veevavault.com/#object/account__v/V4TZ000018NY7NF", "Paulo Dias")</f>
        <v/>
      </c>
      <c r="B1845" s="1">
        <f>HYPERLINK("https://eurofarma-latam-crm.veevavault.com/#object/account__v/V4TZ000018NY7NF", "Paulo Roberto Dias")</f>
        <v/>
      </c>
      <c r="C1845" t="inlineStr">
        <is>
          <t>RJ0029190</t>
        </is>
      </c>
      <c r="D1845" t="inlineStr">
        <is>
          <t>GAS</t>
        </is>
      </c>
      <c r="E1845" t="inlineStr">
        <is>
          <t>Rua Doutor Feliciano Sodré, 78 - Sala 1611 e 1612</t>
        </is>
      </c>
      <c r="F1845" t="inlineStr">
        <is>
          <t>Centro</t>
        </is>
      </c>
      <c r="G1845" t="inlineStr">
        <is>
          <t>São Gonçalo</t>
        </is>
      </c>
      <c r="H1845" t="inlineStr">
        <is>
          <t>RJ</t>
        </is>
      </c>
      <c r="I1845" t="n">
        <v>7742</v>
      </c>
      <c r="J1845" t="inlineStr">
        <is>
          <t>CAT 3</t>
        </is>
      </c>
      <c r="K1845" t="inlineStr">
        <is>
          <t>Sim</t>
        </is>
      </c>
    </row>
    <row r="1846">
      <c r="A1846" s="1">
        <f>HYPERLINK("https://eurofarma-latam-crm.veevavault.com/#object/account__v/V4TZ025E84L8UUE", "Paulo Henrique Vieira")</f>
        <v/>
      </c>
      <c r="B1846" s="1">
        <f>HYPERLINK("https://eurofarma-latam-crm.veevavault.com/#object/account__v/V4TZ025E84L8UUE", "Paulo Henrique Landolfi Vieira")</f>
        <v/>
      </c>
      <c r="C1846" t="inlineStr">
        <is>
          <t>RJ3305965</t>
        </is>
      </c>
      <c r="D1846" t="inlineStr">
        <is>
          <t>CLG</t>
        </is>
      </c>
      <c r="E1846" t="inlineStr">
        <is>
          <t>Rua Vereador José Vicente Sobrinho, 724</t>
        </is>
      </c>
      <c r="F1846" t="inlineStr">
        <is>
          <t>Engenhoca</t>
        </is>
      </c>
      <c r="G1846" t="inlineStr">
        <is>
          <t>Niterói</t>
        </is>
      </c>
      <c r="H1846" t="inlineStr">
        <is>
          <t>RJ</t>
        </is>
      </c>
      <c r="I1846" t="n">
        <v>7742</v>
      </c>
      <c r="J1846" t="inlineStr">
        <is>
          <t>CAT 5</t>
        </is>
      </c>
      <c r="K1846" t="inlineStr">
        <is>
          <t>Sim</t>
        </is>
      </c>
    </row>
    <row r="1847">
      <c r="A1847" s="1">
        <f>HYPERLINK("https://eurofarma-latam-crm.veevavault.com/#object/account__v/V4TZ00001915QCB", "Paulo Lopes")</f>
        <v/>
      </c>
      <c r="B1847" s="1">
        <f>HYPERLINK("https://eurofarma-latam-crm.veevavault.com/#object/account__v/V4TZ00001915QCB", "Paulo Irineu Pinto Lopes")</f>
        <v/>
      </c>
      <c r="C1847" t="inlineStr">
        <is>
          <t>RJ0248880</t>
        </is>
      </c>
      <c r="D1847" t="inlineStr">
        <is>
          <t>CLG</t>
        </is>
      </c>
      <c r="E1847" t="inlineStr">
        <is>
          <t>Rua Doutor Nilo Peçanha, 346</t>
        </is>
      </c>
      <c r="F1847" t="inlineStr">
        <is>
          <t>Estrela do Norte</t>
        </is>
      </c>
      <c r="G1847" t="inlineStr">
        <is>
          <t>São Gonçalo</t>
        </is>
      </c>
      <c r="H1847" t="inlineStr">
        <is>
          <t>RJ</t>
        </is>
      </c>
      <c r="I1847" t="n">
        <v>7742</v>
      </c>
      <c r="J1847" t="inlineStr">
        <is>
          <t>CAT 5</t>
        </is>
      </c>
      <c r="K1847" t="inlineStr">
        <is>
          <t>N�o</t>
        </is>
      </c>
    </row>
    <row r="1848">
      <c r="A1848" s="1">
        <f>HYPERLINK("https://eurofarma-latam-crm.veevavault.com/#object/account__v/V4TZ025E88PIJUZ", "Paulo Reis")</f>
        <v/>
      </c>
      <c r="B1848" s="1">
        <f>HYPERLINK("https://eurofarma-latam-crm.veevavault.com/#object/account__v/V4TZ025E88PIJUZ", "Paulo Roberto Almeida dos Reis")</f>
        <v/>
      </c>
      <c r="C1848" t="inlineStr">
        <is>
          <t>RJ1223402</t>
        </is>
      </c>
      <c r="D1848" t="inlineStr">
        <is>
          <t>URO</t>
        </is>
      </c>
      <c r="E1848" t="inlineStr">
        <is>
          <t>Avenida Machado, S/N</t>
        </is>
      </c>
      <c r="F1848" t="inlineStr">
        <is>
          <t>Barreto</t>
        </is>
      </c>
      <c r="G1848" t="inlineStr">
        <is>
          <t>Niterói</t>
        </is>
      </c>
      <c r="H1848" t="inlineStr">
        <is>
          <t>RJ</t>
        </is>
      </c>
      <c r="I1848" t="n">
        <v>7742</v>
      </c>
      <c r="J1848" t="inlineStr"/>
      <c r="K1848" t="inlineStr"/>
    </row>
    <row r="1849">
      <c r="A1849" s="1">
        <f>HYPERLINK("https://eurofarma-latam-crm.veevavault.com/#object/account__v/V4TZ000018NY8KL", "Paulo Sérgio de Souza")</f>
        <v/>
      </c>
      <c r="B1849" s="1">
        <f>HYPERLINK("https://eurofarma-latam-crm.veevavault.com/#object/account__v/V4TZ000018NY8KL", "Paulo Sérgio Coutinho de Souza")</f>
        <v/>
      </c>
      <c r="C1849" t="inlineStr">
        <is>
          <t>RJ0477944</t>
        </is>
      </c>
      <c r="D1849" t="inlineStr">
        <is>
          <t>URO</t>
        </is>
      </c>
      <c r="E1849" t="inlineStr">
        <is>
          <t>Rua Presidente Pedreira, 20 - Parte</t>
        </is>
      </c>
      <c r="F1849" t="inlineStr">
        <is>
          <t>Ingá</t>
        </is>
      </c>
      <c r="G1849" t="inlineStr">
        <is>
          <t>Niterói</t>
        </is>
      </c>
      <c r="H1849" t="inlineStr">
        <is>
          <t>RJ</t>
        </is>
      </c>
      <c r="I1849" t="n">
        <v>7742</v>
      </c>
      <c r="J1849" t="inlineStr">
        <is>
          <t>CAT 5</t>
        </is>
      </c>
      <c r="K1849" t="inlineStr">
        <is>
          <t>Sim</t>
        </is>
      </c>
    </row>
    <row r="1850">
      <c r="A1850" s="1">
        <f>HYPERLINK("https://eurofarma-latam-crm.veevavault.com/#object/account__v/V4T00000001G071", "Pedro Caio Miranda")</f>
        <v/>
      </c>
      <c r="B1850" s="1">
        <f>HYPERLINK("https://eurofarma-latam-crm.veevavault.com/#object/account__v/V4T00000001G071", "Pedro Caio de Oliveira Miranda")</f>
        <v/>
      </c>
      <c r="C1850" t="inlineStr">
        <is>
          <t>RJ1414635</t>
        </is>
      </c>
      <c r="D1850" t="inlineStr">
        <is>
          <t>CLG / PA</t>
        </is>
      </c>
      <c r="E1850" t="inlineStr">
        <is>
          <t>Rua Vicente de Lima Cleto, 296</t>
        </is>
      </c>
      <c r="F1850" t="inlineStr">
        <is>
          <t>Nova Cidade</t>
        </is>
      </c>
      <c r="G1850" t="inlineStr">
        <is>
          <t>São Gonçalo</t>
        </is>
      </c>
      <c r="H1850" t="inlineStr">
        <is>
          <t>RJ</t>
        </is>
      </c>
      <c r="I1850" t="n">
        <v>7742</v>
      </c>
      <c r="J1850" t="inlineStr"/>
      <c r="K1850" t="inlineStr"/>
    </row>
    <row r="1851">
      <c r="A1851" s="1">
        <f>HYPERLINK("https://eurofarma-latam-crm.veevavault.com/#object/account__v/V4TZ025E85F7DM3", "Pedro da Cunha")</f>
        <v/>
      </c>
      <c r="B1851" s="1">
        <f>HYPERLINK("https://eurofarma-latam-crm.veevavault.com/#object/account__v/V4TZ025E85F7DM3", "Pedro Marot da Cunha")</f>
        <v/>
      </c>
      <c r="C1851" t="inlineStr">
        <is>
          <t>RJ1261916</t>
        </is>
      </c>
      <c r="D1851" t="inlineStr">
        <is>
          <t>NEU</t>
        </is>
      </c>
      <c r="E1851" t="inlineStr">
        <is>
          <t>Rua Marquês de Paraná, 303</t>
        </is>
      </c>
      <c r="F1851" t="inlineStr">
        <is>
          <t>Centro</t>
        </is>
      </c>
      <c r="G1851" t="inlineStr">
        <is>
          <t>Niterói</t>
        </is>
      </c>
      <c r="H1851" t="inlineStr">
        <is>
          <t>RJ</t>
        </is>
      </c>
      <c r="I1851" t="n">
        <v>7742</v>
      </c>
      <c r="J1851" t="inlineStr">
        <is>
          <t>CAT 5</t>
        </is>
      </c>
      <c r="K1851" t="inlineStr">
        <is>
          <t>N�o</t>
        </is>
      </c>
    </row>
    <row r="1852">
      <c r="A1852" s="1">
        <f>HYPERLINK("https://eurofarma-latam-crm.veevavault.com/#object/account__v/V4TZ000018NYD3M", "Pedro Figueiredo")</f>
        <v/>
      </c>
      <c r="B1852" s="1">
        <f>HYPERLINK("https://eurofarma-latam-crm.veevavault.com/#object/account__v/V4TZ000018NYD3M", "Pedro Schmidt dos Reis Matos Figueiredo")</f>
        <v/>
      </c>
      <c r="C1852" t="inlineStr">
        <is>
          <t>MA0013225,RJ1258893</t>
        </is>
      </c>
      <c r="D1852" t="inlineStr">
        <is>
          <t>NEU</t>
        </is>
      </c>
      <c r="E1852" t="inlineStr">
        <is>
          <t>Rua Marquês de Paraná, 303</t>
        </is>
      </c>
      <c r="F1852" t="inlineStr">
        <is>
          <t>Centro</t>
        </is>
      </c>
      <c r="G1852" t="inlineStr">
        <is>
          <t>Niterói</t>
        </is>
      </c>
      <c r="H1852" t="inlineStr">
        <is>
          <t>RJ</t>
        </is>
      </c>
      <c r="I1852" t="n">
        <v>7742</v>
      </c>
      <c r="J1852" t="inlineStr">
        <is>
          <t>CAT 4</t>
        </is>
      </c>
      <c r="K1852" t="inlineStr">
        <is>
          <t>Sim</t>
        </is>
      </c>
    </row>
    <row r="1853">
      <c r="A1853" s="1">
        <f>HYPERLINK("https://eurofarma-latam-crm.veevavault.com/#object/account__v/V4TZ00001915MOJ", "Pedro Garcia")</f>
        <v/>
      </c>
      <c r="B1853" s="1">
        <f>HYPERLINK("https://eurofarma-latam-crm.veevavault.com/#object/account__v/V4TZ00001915MOJ", "Pedro de Brito Garcia")</f>
        <v/>
      </c>
      <c r="C1853" t="inlineStr">
        <is>
          <t>RJ0449468</t>
        </is>
      </c>
      <c r="D1853" t="inlineStr">
        <is>
          <t>PED</t>
        </is>
      </c>
      <c r="E1853" t="inlineStr">
        <is>
          <t>Alameda Pio XII, S/N</t>
        </is>
      </c>
      <c r="F1853" t="inlineStr">
        <is>
          <t>Centro</t>
        </is>
      </c>
      <c r="G1853" t="inlineStr">
        <is>
          <t>São Gonçalo</t>
        </is>
      </c>
      <c r="H1853" t="inlineStr">
        <is>
          <t>RJ</t>
        </is>
      </c>
      <c r="I1853" t="n">
        <v>7742</v>
      </c>
      <c r="J1853" t="inlineStr">
        <is>
          <t>CAT 4</t>
        </is>
      </c>
      <c r="K1853" t="inlineStr">
        <is>
          <t>Sim</t>
        </is>
      </c>
    </row>
    <row r="1854">
      <c r="A1854" s="1">
        <f>HYPERLINK("https://eurofarma-latam-crm.veevavault.com/#object/account__v/V4TZ00001913WSW", "Pedro Rodrigues")</f>
        <v/>
      </c>
      <c r="B1854" s="1">
        <f>HYPERLINK("https://eurofarma-latam-crm.veevavault.com/#object/account__v/V4TZ00001913WSW", "Pedro Paulo Dias Rodrigues")</f>
        <v/>
      </c>
      <c r="C1854" t="inlineStr">
        <is>
          <t>RJ1105221</t>
        </is>
      </c>
      <c r="D1854" t="inlineStr">
        <is>
          <t>PED</t>
        </is>
      </c>
      <c r="E1854" t="inlineStr">
        <is>
          <t>Avenida Getulio Vargas, S/N</t>
        </is>
      </c>
      <c r="F1854" t="inlineStr">
        <is>
          <t>Canaã</t>
        </is>
      </c>
      <c r="G1854" t="inlineStr">
        <is>
          <t>Arraial do Cabo</t>
        </is>
      </c>
      <c r="H1854" t="inlineStr">
        <is>
          <t>RJ</t>
        </is>
      </c>
      <c r="I1854" t="n">
        <v>7742</v>
      </c>
      <c r="J1854" t="inlineStr">
        <is>
          <t>CAT 5</t>
        </is>
      </c>
      <c r="K1854" t="inlineStr">
        <is>
          <t>Sim</t>
        </is>
      </c>
    </row>
    <row r="1855">
      <c r="A1855" s="1">
        <f>HYPERLINK("https://eurofarma-latam-crm.veevavault.com/#object/account__v/V4TZ04ASGN6U1AQ", "Priscila de Azeredo")</f>
        <v/>
      </c>
      <c r="B1855" s="1">
        <f>HYPERLINK("https://eurofarma-latam-crm.veevavault.com/#object/account__v/V4TZ04ASGN6U1AQ", "Priscila de Freitas Salles de Azeredo")</f>
        <v/>
      </c>
      <c r="C1855" t="inlineStr">
        <is>
          <t>RJ1385402</t>
        </is>
      </c>
      <c r="D1855" t="inlineStr">
        <is>
          <t>CLG / PA</t>
        </is>
      </c>
      <c r="E1855" t="inlineStr">
        <is>
          <t>Largo Ideia, S/N</t>
        </is>
      </c>
      <c r="F1855" t="inlineStr">
        <is>
          <t>Monjolos</t>
        </is>
      </c>
      <c r="G1855" t="inlineStr">
        <is>
          <t>São Gonçalo</t>
        </is>
      </c>
      <c r="H1855" t="inlineStr">
        <is>
          <t>RJ</t>
        </is>
      </c>
      <c r="I1855" t="n">
        <v>7742</v>
      </c>
      <c r="J1855" t="inlineStr"/>
      <c r="K1855" t="inlineStr"/>
    </row>
    <row r="1856">
      <c r="A1856" s="1">
        <f>HYPERLINK("https://eurofarma-latam-crm.veevavault.com/#object/account__v/V4TZ025E88OA1GZ", "Priscila Furtado")</f>
        <v/>
      </c>
      <c r="B1856" s="1">
        <f>HYPERLINK("https://eurofarma-latam-crm.veevavault.com/#object/account__v/V4TZ025E88OA1GZ", "Priscila Matos Furtado")</f>
        <v/>
      </c>
      <c r="C1856" t="inlineStr">
        <is>
          <t>RJ1327917</t>
        </is>
      </c>
      <c r="D1856" t="inlineStr">
        <is>
          <t>PED</t>
        </is>
      </c>
      <c r="E1856" t="inlineStr">
        <is>
          <t>Al Estados Unidos, S/N</t>
        </is>
      </c>
      <c r="F1856" t="inlineStr">
        <is>
          <t>Pião</t>
        </is>
      </c>
      <c r="G1856" t="inlineStr">
        <is>
          <t>São Gonçalo</t>
        </is>
      </c>
      <c r="H1856" t="inlineStr">
        <is>
          <t>RJ</t>
        </is>
      </c>
      <c r="I1856" t="n">
        <v>7742</v>
      </c>
      <c r="J1856" t="inlineStr">
        <is>
          <t>CAT 5</t>
        </is>
      </c>
      <c r="K1856" t="inlineStr">
        <is>
          <t>Sim</t>
        </is>
      </c>
    </row>
    <row r="1857">
      <c r="A1857" s="1">
        <f>HYPERLINK("https://eurofarma-latam-crm.veevavault.com/#object/account__v/V4TZ00001915CUB", "Priscilla Motta")</f>
        <v/>
      </c>
      <c r="B1857" s="1">
        <f>HYPERLINK("https://eurofarma-latam-crm.veevavault.com/#object/account__v/V4TZ00001915CUB", "Priscilla Teixeira Leite Nogueira Motta")</f>
        <v/>
      </c>
      <c r="C1857" t="inlineStr">
        <is>
          <t>RJ1271970</t>
        </is>
      </c>
      <c r="D1857" t="inlineStr">
        <is>
          <t>PED</t>
        </is>
      </c>
      <c r="E1857" t="inlineStr">
        <is>
          <t>Praça Estefania de Carvalho, 26</t>
        </is>
      </c>
      <c r="F1857" t="inlineStr">
        <is>
          <t>Zé Garoto</t>
        </is>
      </c>
      <c r="G1857" t="inlineStr">
        <is>
          <t>São Gonçalo</t>
        </is>
      </c>
      <c r="H1857" t="inlineStr">
        <is>
          <t>RJ</t>
        </is>
      </c>
      <c r="I1857" t="n">
        <v>7742</v>
      </c>
      <c r="J1857" t="inlineStr">
        <is>
          <t>CAT 5</t>
        </is>
      </c>
      <c r="K1857" t="inlineStr">
        <is>
          <t>Sim</t>
        </is>
      </c>
    </row>
    <row r="1858">
      <c r="A1858" s="1">
        <f>HYPERLINK("https://eurofarma-latam-crm.veevavault.com/#object/account__v/V4TZ025E8F0HYGN", "Quesia de Almeida")</f>
        <v/>
      </c>
      <c r="B1858" s="1">
        <f>HYPERLINK("https://eurofarma-latam-crm.veevavault.com/#object/account__v/V4TZ025E8F0HYGN", "Quesia Carneiro de Almeida")</f>
        <v/>
      </c>
      <c r="C1858" t="inlineStr">
        <is>
          <t>RJ1385399</t>
        </is>
      </c>
      <c r="D1858" t="inlineStr">
        <is>
          <t>PED</t>
        </is>
      </c>
      <c r="E1858" t="inlineStr">
        <is>
          <t>Rua Janete, 8</t>
        </is>
      </c>
      <c r="F1858" t="inlineStr">
        <is>
          <t>Cidade Horácio (Vila Inhomirim)</t>
        </is>
      </c>
      <c r="G1858" t="inlineStr">
        <is>
          <t>Magé</t>
        </is>
      </c>
      <c r="H1858" t="inlineStr">
        <is>
          <t>RJ</t>
        </is>
      </c>
      <c r="I1858" t="n">
        <v>7742</v>
      </c>
      <c r="J1858" t="inlineStr">
        <is>
          <t>CAT 5</t>
        </is>
      </c>
      <c r="K1858" t="inlineStr">
        <is>
          <t>Sim</t>
        </is>
      </c>
    </row>
    <row r="1859">
      <c r="A1859" s="1">
        <f>HYPERLINK("https://eurofarma-latam-crm.veevavault.com/#object/account__v/V4TZ000019130E1", "Rafael Amorim")</f>
        <v/>
      </c>
      <c r="B1859" s="1">
        <f>HYPERLINK("https://eurofarma-latam-crm.veevavault.com/#object/account__v/V4TZ000019130E1", "Rafael Montes Amorim")</f>
        <v/>
      </c>
      <c r="C1859" t="inlineStr">
        <is>
          <t>RJ1282085</t>
        </is>
      </c>
      <c r="D1859" t="inlineStr">
        <is>
          <t>PED</t>
        </is>
      </c>
      <c r="E1859" t="inlineStr">
        <is>
          <t>Boulevard Vinte e Oito de Setembro, 77</t>
        </is>
      </c>
      <c r="F1859" t="inlineStr">
        <is>
          <t>Vila Isabel</t>
        </is>
      </c>
      <c r="G1859" t="inlineStr">
        <is>
          <t>Rio de Janeiro</t>
        </is>
      </c>
      <c r="H1859" t="inlineStr">
        <is>
          <t>RJ</t>
        </is>
      </c>
      <c r="I1859" t="n">
        <v>7742</v>
      </c>
      <c r="J1859" t="inlineStr">
        <is>
          <t>CAT 5</t>
        </is>
      </c>
      <c r="K1859" t="inlineStr">
        <is>
          <t>Sim</t>
        </is>
      </c>
    </row>
    <row r="1860">
      <c r="A1860" s="1">
        <f>HYPERLINK("https://eurofarma-latam-crm.veevavault.com/#object/account__v/V4TZ000018NXWR8", "Rafael Nascimento")</f>
        <v/>
      </c>
      <c r="B1860" s="1">
        <f>HYPERLINK("https://eurofarma-latam-crm.veevavault.com/#object/account__v/V4TZ000018NXWR8", "Rafael Araujo Nascimento")</f>
        <v/>
      </c>
      <c r="C1860" t="inlineStr">
        <is>
          <t>RJ0807460</t>
        </is>
      </c>
      <c r="D1860" t="inlineStr">
        <is>
          <t>CLG</t>
        </is>
      </c>
      <c r="E1860" t="inlineStr">
        <is>
          <t>Rua Buenos Aires, 68 - Salas 201/301/1501</t>
        </is>
      </c>
      <c r="F1860" t="inlineStr">
        <is>
          <t>Centro</t>
        </is>
      </c>
      <c r="G1860" t="inlineStr">
        <is>
          <t>Rio de Janeiro</t>
        </is>
      </c>
      <c r="H1860" t="inlineStr">
        <is>
          <t>RJ</t>
        </is>
      </c>
      <c r="I1860" t="n">
        <v>7742</v>
      </c>
      <c r="J1860" t="inlineStr">
        <is>
          <t>CAT 3</t>
        </is>
      </c>
      <c r="K1860" t="inlineStr">
        <is>
          <t>Sim</t>
        </is>
      </c>
    </row>
    <row r="1861">
      <c r="A1861" s="1">
        <f>HYPERLINK("https://eurofarma-latam-crm.veevavault.com/#object/account__v/V4TZ025E88ZCT99", "Rafael Rodrigues")</f>
        <v/>
      </c>
      <c r="B1861" s="1">
        <f>HYPERLINK("https://eurofarma-latam-crm.veevavault.com/#object/account__v/V4TZ025E88ZCT99", "Rafael Matheus Rodrigues")</f>
        <v/>
      </c>
      <c r="C1861" t="inlineStr">
        <is>
          <t>RJ1019848</t>
        </is>
      </c>
      <c r="D1861" t="inlineStr">
        <is>
          <t>CLG / PA</t>
        </is>
      </c>
      <c r="E1861" t="inlineStr">
        <is>
          <t>Praça Estefania de Carvalho, 26</t>
        </is>
      </c>
      <c r="F1861" t="inlineStr">
        <is>
          <t>Zé Garoto</t>
        </is>
      </c>
      <c r="G1861" t="inlineStr">
        <is>
          <t>São Gonçalo</t>
        </is>
      </c>
      <c r="H1861" t="inlineStr">
        <is>
          <t>RJ</t>
        </is>
      </c>
      <c r="I1861" t="n">
        <v>7742</v>
      </c>
      <c r="J1861" t="inlineStr">
        <is>
          <t>CAT 5</t>
        </is>
      </c>
      <c r="K1861" t="inlineStr">
        <is>
          <t>N�o</t>
        </is>
      </c>
    </row>
    <row r="1862">
      <c r="A1862" s="1">
        <f>HYPERLINK("https://eurofarma-latam-crm.veevavault.com/#object/account__v/V4TZ0000191426Q", "Rafaela Tavares")</f>
        <v/>
      </c>
      <c r="B1862" s="1">
        <f>HYPERLINK("https://eurofarma-latam-crm.veevavault.com/#object/account__v/V4TZ0000191426Q", "Rafaela Ferreira Leite Tavares")</f>
        <v/>
      </c>
      <c r="C1862" t="inlineStr">
        <is>
          <t>RJ0604774</t>
        </is>
      </c>
      <c r="D1862" t="inlineStr">
        <is>
          <t>GER</t>
        </is>
      </c>
      <c r="E1862" t="inlineStr">
        <is>
          <t>Rua Coronel Serrado, 1000 / Sala 609</t>
        </is>
      </c>
      <c r="F1862" t="inlineStr">
        <is>
          <t>Zé Garoto</t>
        </is>
      </c>
      <c r="G1862" t="inlineStr">
        <is>
          <t>São Gonçalo</t>
        </is>
      </c>
      <c r="H1862" t="inlineStr">
        <is>
          <t>RJ</t>
        </is>
      </c>
      <c r="I1862" t="n">
        <v>7742</v>
      </c>
      <c r="J1862" t="inlineStr">
        <is>
          <t>CAT 4</t>
        </is>
      </c>
      <c r="K1862" t="inlineStr">
        <is>
          <t>Sim</t>
        </is>
      </c>
    </row>
    <row r="1863">
      <c r="A1863" s="1">
        <f>HYPERLINK("https://eurofarma-latam-crm.veevavault.com/#object/account__v/V4TZ000018NZ1NJ", "Raissa Maia")</f>
        <v/>
      </c>
      <c r="B1863" s="1">
        <f>HYPERLINK("https://eurofarma-latam-crm.veevavault.com/#object/account__v/V4TZ000018NZ1NJ", "Raissa Vieira Maia")</f>
        <v/>
      </c>
      <c r="C1863" t="inlineStr">
        <is>
          <t>RJ1107798</t>
        </is>
      </c>
      <c r="D1863" t="inlineStr">
        <is>
          <t>PSQ</t>
        </is>
      </c>
      <c r="E1863" t="inlineStr">
        <is>
          <t>Avenida Dom Hélder Câmara, 5474 -  Loja 803 e 804</t>
        </is>
      </c>
      <c r="F1863" t="inlineStr">
        <is>
          <t>Cachambi</t>
        </is>
      </c>
      <c r="G1863" t="inlineStr">
        <is>
          <t>Rio de Janeiro</t>
        </is>
      </c>
      <c r="H1863" t="inlineStr">
        <is>
          <t>RJ</t>
        </is>
      </c>
      <c r="I1863" t="n">
        <v>7742</v>
      </c>
      <c r="J1863" t="inlineStr"/>
      <c r="K1863" t="inlineStr"/>
    </row>
    <row r="1864">
      <c r="A1864" s="1">
        <f>HYPERLINK("https://eurofarma-latam-crm.veevavault.com/#object/account__v/V4TZ00001913XKS", "Ramon Abreu")</f>
        <v/>
      </c>
      <c r="B1864" s="1">
        <f>HYPERLINK("https://eurofarma-latam-crm.veevavault.com/#object/account__v/V4TZ00001913XKS", "Ramon Santos Abreu")</f>
        <v/>
      </c>
      <c r="C1864" t="inlineStr">
        <is>
          <t>RJ0952931</t>
        </is>
      </c>
      <c r="D1864" t="inlineStr">
        <is>
          <t>ORT</t>
        </is>
      </c>
      <c r="E1864" t="inlineStr">
        <is>
          <t>Avenida Irene Lopes Sodré, S/N</t>
        </is>
      </c>
      <c r="F1864" t="inlineStr">
        <is>
          <t>Engenho do Mato</t>
        </is>
      </c>
      <c r="G1864" t="inlineStr">
        <is>
          <t>Niterói</t>
        </is>
      </c>
      <c r="H1864" t="inlineStr">
        <is>
          <t>RJ</t>
        </is>
      </c>
      <c r="I1864" t="n">
        <v>7742</v>
      </c>
      <c r="J1864" t="inlineStr">
        <is>
          <t>CAT 3</t>
        </is>
      </c>
      <c r="K1864" t="inlineStr">
        <is>
          <t>Sim</t>
        </is>
      </c>
    </row>
    <row r="1865">
      <c r="A1865" s="1">
        <f>HYPERLINK("https://eurofarma-latam-crm.veevavault.com/#object/account__v/V4TZ025E8F1K0ZO", "Raphael Carvalho")</f>
        <v/>
      </c>
      <c r="B1865" s="1">
        <f>HYPERLINK("https://eurofarma-latam-crm.veevavault.com/#object/account__v/V4TZ025E8F1K0ZO", "Raphael Xavier Carvalho")</f>
        <v/>
      </c>
      <c r="C1865" t="inlineStr">
        <is>
          <t>RJ1385344</t>
        </is>
      </c>
      <c r="D1865" t="inlineStr">
        <is>
          <t>CLG / PA</t>
        </is>
      </c>
      <c r="E1865" t="inlineStr">
        <is>
          <t>Rua Vicente de Lima Cleto, 296</t>
        </is>
      </c>
      <c r="F1865" t="inlineStr">
        <is>
          <t>Nova Cidade</t>
        </is>
      </c>
      <c r="G1865" t="inlineStr">
        <is>
          <t>São Gonçalo</t>
        </is>
      </c>
      <c r="H1865" t="inlineStr">
        <is>
          <t>RJ</t>
        </is>
      </c>
      <c r="I1865" t="n">
        <v>7742</v>
      </c>
      <c r="J1865" t="inlineStr">
        <is>
          <t>CAT 5</t>
        </is>
      </c>
      <c r="K1865" t="inlineStr">
        <is>
          <t>N�o</t>
        </is>
      </c>
    </row>
    <row r="1866">
      <c r="A1866" s="1">
        <f>HYPERLINK("https://eurofarma-latam-crm.veevavault.com/#object/account__v/V4TZ000018NYJ6S", "Raphael Joaquim Cyrillo")</f>
        <v/>
      </c>
      <c r="B1866" s="1">
        <f>HYPERLINK("https://eurofarma-latam-crm.veevavault.com/#object/account__v/V4TZ000018NYJ6S", "Raphael Joaquim Teles Cyrillo")</f>
        <v/>
      </c>
      <c r="C1866" t="inlineStr">
        <is>
          <t>RJ0760358</t>
        </is>
      </c>
      <c r="D1866" t="inlineStr">
        <is>
          <t>ORL</t>
        </is>
      </c>
      <c r="E1866" t="inlineStr">
        <is>
          <t>Rua Marquês de Paraná, 303</t>
        </is>
      </c>
      <c r="F1866" t="inlineStr">
        <is>
          <t>Centro</t>
        </is>
      </c>
      <c r="G1866" t="inlineStr">
        <is>
          <t>Niterói</t>
        </is>
      </c>
      <c r="H1866" t="inlineStr">
        <is>
          <t>RJ</t>
        </is>
      </c>
      <c r="I1866" t="n">
        <v>7742</v>
      </c>
      <c r="J1866" t="inlineStr">
        <is>
          <t>CAT 3</t>
        </is>
      </c>
      <c r="K1866" t="inlineStr">
        <is>
          <t>Sim</t>
        </is>
      </c>
    </row>
    <row r="1867">
      <c r="A1867" s="1">
        <f>HYPERLINK("https://eurofarma-latam-crm.veevavault.com/#object/account__v/V4TZ00001913HJI", "Raquel Nobre Machado")</f>
        <v/>
      </c>
      <c r="B1867" s="1">
        <f>HYPERLINK("https://eurofarma-latam-crm.veevavault.com/#object/account__v/V4TZ00001913HJI", "Raquel Monteiro Nobre Machado")</f>
        <v/>
      </c>
      <c r="C1867" t="inlineStr">
        <is>
          <t>RJ0909580</t>
        </is>
      </c>
      <c r="D1867" t="inlineStr">
        <is>
          <t>ORL</t>
        </is>
      </c>
      <c r="E1867" t="inlineStr">
        <is>
          <t>Rua Ministro Otávio Kelly, 337 - Sala 402</t>
        </is>
      </c>
      <c r="F1867" t="inlineStr">
        <is>
          <t>Icaraí</t>
        </is>
      </c>
      <c r="G1867" t="inlineStr">
        <is>
          <t>Niterói</t>
        </is>
      </c>
      <c r="H1867" t="inlineStr">
        <is>
          <t>RJ</t>
        </is>
      </c>
      <c r="I1867" t="n">
        <v>7742</v>
      </c>
      <c r="J1867" t="inlineStr">
        <is>
          <t>CAT 4</t>
        </is>
      </c>
      <c r="K1867" t="inlineStr">
        <is>
          <t>Sim</t>
        </is>
      </c>
    </row>
    <row r="1868">
      <c r="A1868" s="1">
        <f>HYPERLINK("https://eurofarma-latam-crm.veevavault.com/#object/account__v/V4TZ000018NXS01", "Raquel Torrez")</f>
        <v/>
      </c>
      <c r="B1868" s="1">
        <f>HYPERLINK("https://eurofarma-latam-crm.veevavault.com/#object/account__v/V4TZ000018NXS01", "Raquel Carvalho Bernardino Torrez")</f>
        <v/>
      </c>
      <c r="C1868" t="inlineStr">
        <is>
          <t>RJ0916366</t>
        </is>
      </c>
      <c r="D1868" t="inlineStr">
        <is>
          <t>PED</t>
        </is>
      </c>
      <c r="E1868" t="inlineStr">
        <is>
          <t>Rua Manoel de Abreu, 9 - Parte</t>
        </is>
      </c>
      <c r="F1868" t="inlineStr">
        <is>
          <t>Centro</t>
        </is>
      </c>
      <c r="G1868" t="inlineStr">
        <is>
          <t>Niterói</t>
        </is>
      </c>
      <c r="H1868" t="inlineStr">
        <is>
          <t>RJ</t>
        </is>
      </c>
      <c r="I1868" t="n">
        <v>7742</v>
      </c>
      <c r="J1868" t="inlineStr">
        <is>
          <t>CAT 5</t>
        </is>
      </c>
      <c r="K1868" t="inlineStr">
        <is>
          <t>Sim</t>
        </is>
      </c>
    </row>
    <row r="1869">
      <c r="A1869" s="1">
        <f>HYPERLINK("https://eurofarma-latam-crm.veevavault.com/#object/account__v/V4TZ025E83QGVFE", "Renan Silva")</f>
        <v/>
      </c>
      <c r="B1869" s="1">
        <f>HYPERLINK("https://eurofarma-latam-crm.veevavault.com/#object/account__v/V4TZ025E83QGVFE", "Renan de Souza Domingos da Silva")</f>
        <v/>
      </c>
      <c r="C1869" t="inlineStr">
        <is>
          <t>RJ1244965</t>
        </is>
      </c>
      <c r="D1869" t="inlineStr">
        <is>
          <t>ORT</t>
        </is>
      </c>
      <c r="E1869" t="inlineStr">
        <is>
          <t>Avenida Retiro da Imprensa, 1013</t>
        </is>
      </c>
      <c r="F1869" t="inlineStr">
        <is>
          <t>Piam</t>
        </is>
      </c>
      <c r="G1869" t="inlineStr">
        <is>
          <t>Belford Roxo</t>
        </is>
      </c>
      <c r="H1869" t="inlineStr">
        <is>
          <t>RJ</t>
        </is>
      </c>
      <c r="I1869" t="n">
        <v>7742</v>
      </c>
      <c r="J1869" t="inlineStr"/>
      <c r="K1869" t="inlineStr"/>
    </row>
    <row r="1870">
      <c r="A1870" s="1">
        <f>HYPERLINK("https://eurofarma-latam-crm.veevavault.com/#object/account__v/V4TZ000019166LP", "Renata Alexandra Pinheiro")</f>
        <v/>
      </c>
      <c r="B1870" s="1">
        <f>HYPERLINK("https://eurofarma-latam-crm.veevavault.com/#object/account__v/V4TZ000019166LP", "Renata Alexandra Calixto Pinheiro")</f>
        <v/>
      </c>
      <c r="C1870" t="inlineStr">
        <is>
          <t>RJ0649368</t>
        </is>
      </c>
      <c r="D1870" t="inlineStr">
        <is>
          <t>CLG</t>
        </is>
      </c>
      <c r="E1870" t="inlineStr">
        <is>
          <t>Rua Vereador José Vicente Sobrinho, 724</t>
        </is>
      </c>
      <c r="F1870" t="inlineStr">
        <is>
          <t>Engenhoca</t>
        </is>
      </c>
      <c r="G1870" t="inlineStr">
        <is>
          <t>Niterói</t>
        </is>
      </c>
      <c r="H1870" t="inlineStr">
        <is>
          <t>RJ</t>
        </is>
      </c>
      <c r="I1870" t="n">
        <v>7742</v>
      </c>
      <c r="J1870" t="inlineStr">
        <is>
          <t>CAT 5</t>
        </is>
      </c>
      <c r="K1870" t="inlineStr">
        <is>
          <t>N�o</t>
        </is>
      </c>
    </row>
    <row r="1871">
      <c r="A1871" s="1">
        <f>HYPERLINK("https://eurofarma-latam-crm.veevavault.com/#object/account__v/V4TZ00001915NED", "Renata da Silva")</f>
        <v/>
      </c>
      <c r="B1871" s="1">
        <f>HYPERLINK("https://eurofarma-latam-crm.veevavault.com/#object/account__v/V4TZ00001915NED", "Renata Anselme da Silva")</f>
        <v/>
      </c>
      <c r="C1871" t="inlineStr">
        <is>
          <t>RJ0958050</t>
        </is>
      </c>
      <c r="D1871" t="inlineStr">
        <is>
          <t>ORL</t>
        </is>
      </c>
      <c r="E1871" t="inlineStr">
        <is>
          <t>Rua Hermengarda, 428</t>
        </is>
      </c>
      <c r="F1871" t="inlineStr">
        <is>
          <t>Méier</t>
        </is>
      </c>
      <c r="G1871" t="inlineStr">
        <is>
          <t>Rio de Janeiro</t>
        </is>
      </c>
      <c r="H1871" t="inlineStr">
        <is>
          <t>RJ</t>
        </is>
      </c>
      <c r="I1871" t="n">
        <v>7742</v>
      </c>
      <c r="J1871" t="inlineStr">
        <is>
          <t>CAT 4</t>
        </is>
      </c>
      <c r="K1871" t="inlineStr">
        <is>
          <t>Sim</t>
        </is>
      </c>
    </row>
    <row r="1872">
      <c r="A1872" s="1">
        <f>HYPERLINK("https://eurofarma-latam-crm.veevavault.com/#object/account__v/V4TZ025E86F9NQF", "Renata Westphalen")</f>
        <v/>
      </c>
      <c r="B1872" s="1">
        <f>HYPERLINK("https://eurofarma-latam-crm.veevavault.com/#object/account__v/V4TZ025E86F9NQF", "Renata Schaefer Westphalen")</f>
        <v/>
      </c>
      <c r="C1872" t="inlineStr">
        <is>
          <t>RJ0724360</t>
        </is>
      </c>
      <c r="D1872" t="inlineStr">
        <is>
          <t>CLG / PA</t>
        </is>
      </c>
      <c r="E1872" t="inlineStr">
        <is>
          <t>Rua Manoel de Abreu, 9 - Parte</t>
        </is>
      </c>
      <c r="F1872" t="inlineStr">
        <is>
          <t>Centro</t>
        </is>
      </c>
      <c r="G1872" t="inlineStr">
        <is>
          <t>Niterói</t>
        </is>
      </c>
      <c r="H1872" t="inlineStr">
        <is>
          <t>RJ</t>
        </is>
      </c>
      <c r="I1872" t="n">
        <v>7742</v>
      </c>
      <c r="J1872" t="inlineStr">
        <is>
          <t>CAT 3</t>
        </is>
      </c>
      <c r="K1872" t="inlineStr">
        <is>
          <t>Sim</t>
        </is>
      </c>
    </row>
    <row r="1873">
      <c r="A1873" s="1">
        <f>HYPERLINK("https://eurofarma-latam-crm.veevavault.com/#object/account__v/V4TZ00001915B1H", "Renato Ancillotti Filho")</f>
        <v/>
      </c>
      <c r="B1873" s="1">
        <f>HYPERLINK("https://eurofarma-latam-crm.veevavault.com/#object/account__v/V4TZ00001915B1H", "Renato Ancillotti Filho")</f>
        <v/>
      </c>
      <c r="C1873" t="inlineStr">
        <is>
          <t>RJ0596356</t>
        </is>
      </c>
      <c r="D1873" t="inlineStr">
        <is>
          <t>CLG</t>
        </is>
      </c>
      <c r="E1873" t="inlineStr">
        <is>
          <t>Avenida Albino Imparato, S/N</t>
        </is>
      </c>
      <c r="F1873" t="inlineStr">
        <is>
          <t>Centro</t>
        </is>
      </c>
      <c r="G1873" t="inlineStr">
        <is>
          <t>São Gonçalo</t>
        </is>
      </c>
      <c r="H1873" t="inlineStr">
        <is>
          <t>RJ</t>
        </is>
      </c>
      <c r="I1873" t="n">
        <v>7742</v>
      </c>
      <c r="J1873" t="inlineStr">
        <is>
          <t>CAT 3</t>
        </is>
      </c>
      <c r="K1873" t="inlineStr">
        <is>
          <t>Sim</t>
        </is>
      </c>
    </row>
    <row r="1874">
      <c r="A1874" s="1">
        <f>HYPERLINK("https://eurofarma-latam-crm.veevavault.com/#object/account__v/V4TZ000019169SI", "Rennan Pelógia")</f>
        <v/>
      </c>
      <c r="B1874" s="1">
        <f>HYPERLINK("https://eurofarma-latam-crm.veevavault.com/#object/account__v/V4TZ000019169SI", "Rennan Ramos Pelógia")</f>
        <v/>
      </c>
      <c r="C1874" t="inlineStr">
        <is>
          <t>RJ1093959,SP0210951</t>
        </is>
      </c>
      <c r="D1874" t="inlineStr">
        <is>
          <t>CLG / PA</t>
        </is>
      </c>
      <c r="E1874" t="inlineStr">
        <is>
          <t>Rua Doutor Nilo Peçanha, 232</t>
        </is>
      </c>
      <c r="F1874" t="inlineStr">
        <is>
          <t>Centro</t>
        </is>
      </c>
      <c r="G1874" t="inlineStr">
        <is>
          <t>São Gonçalo</t>
        </is>
      </c>
      <c r="H1874" t="inlineStr">
        <is>
          <t>RJ</t>
        </is>
      </c>
      <c r="I1874" t="n">
        <v>7742</v>
      </c>
      <c r="J1874" t="inlineStr">
        <is>
          <t>CAT 4</t>
        </is>
      </c>
      <c r="K1874" t="inlineStr">
        <is>
          <t>Sim</t>
        </is>
      </c>
    </row>
    <row r="1875">
      <c r="A1875" s="1">
        <f>HYPERLINK("https://eurofarma-latam-crm.veevavault.com/#object/account__v/V4TZ00001914LET", "Renzo Felix")</f>
        <v/>
      </c>
      <c r="B1875" s="1">
        <f>HYPERLINK("https://eurofarma-latam-crm.veevavault.com/#object/account__v/V4TZ00001914LET", "Renzo Cariello Felix")</f>
        <v/>
      </c>
      <c r="C1875" t="inlineStr">
        <is>
          <t>RJ1268899</t>
        </is>
      </c>
      <c r="D1875" t="inlineStr">
        <is>
          <t>CLG / PA</t>
        </is>
      </c>
      <c r="E1875" t="inlineStr">
        <is>
          <t>Rua Zilda Silvares, S/N</t>
        </is>
      </c>
      <c r="F1875" t="inlineStr">
        <is>
          <t>Santa Luzia</t>
        </is>
      </c>
      <c r="G1875" t="inlineStr">
        <is>
          <t>São Gonçalo</t>
        </is>
      </c>
      <c r="H1875" t="inlineStr">
        <is>
          <t>RJ</t>
        </is>
      </c>
      <c r="I1875" t="n">
        <v>7742</v>
      </c>
      <c r="J1875" t="inlineStr">
        <is>
          <t>CAT 5</t>
        </is>
      </c>
      <c r="K1875" t="inlineStr">
        <is>
          <t>Sim</t>
        </is>
      </c>
    </row>
    <row r="1876">
      <c r="A1876" s="1">
        <f>HYPERLINK("https://eurofarma-latam-crm.veevavault.com/#object/account__v/V4TZ00001915OWD", "Ricardo Albuquerque")</f>
        <v/>
      </c>
      <c r="B1876" s="1">
        <f>HYPERLINK("https://eurofarma-latam-crm.veevavault.com/#object/account__v/V4TZ00001915OWD", "Ricardo Peon Albuquerque")</f>
        <v/>
      </c>
      <c r="C1876" t="inlineStr">
        <is>
          <t>RJ0469956</t>
        </is>
      </c>
      <c r="D1876" t="inlineStr">
        <is>
          <t>ORT</t>
        </is>
      </c>
      <c r="E1876" t="inlineStr">
        <is>
          <t>Rua Heitor Levi, 34</t>
        </is>
      </c>
      <c r="F1876" t="inlineStr">
        <is>
          <t>Sete Pontes</t>
        </is>
      </c>
      <c r="G1876" t="inlineStr">
        <is>
          <t>São Gonçalo</t>
        </is>
      </c>
      <c r="H1876" t="inlineStr">
        <is>
          <t>RJ</t>
        </is>
      </c>
      <c r="I1876" t="n">
        <v>7742</v>
      </c>
      <c r="J1876" t="inlineStr">
        <is>
          <t>CAT 4</t>
        </is>
      </c>
      <c r="K1876" t="inlineStr">
        <is>
          <t>Sim</t>
        </is>
      </c>
    </row>
    <row r="1877">
      <c r="A1877" s="1">
        <f>HYPERLINK("https://eurofarma-latam-crm.veevavault.com/#object/account__v/V4TZ00001915QTD", "Ricardo Braz")</f>
        <v/>
      </c>
      <c r="B1877" s="1">
        <f>HYPERLINK("https://eurofarma-latam-crm.veevavault.com/#object/account__v/V4TZ00001915QTD", "Ricardo Luiz da Costa Braz")</f>
        <v/>
      </c>
      <c r="C1877" t="inlineStr">
        <is>
          <t>RJ0303951</t>
        </is>
      </c>
      <c r="D1877" t="inlineStr">
        <is>
          <t>CLG</t>
        </is>
      </c>
      <c r="E1877" t="inlineStr">
        <is>
          <t>Rua Doutor Nilo Peçanha, 346</t>
        </is>
      </c>
      <c r="F1877" t="inlineStr">
        <is>
          <t>Estrela do Norte</t>
        </is>
      </c>
      <c r="G1877" t="inlineStr">
        <is>
          <t>São Gonçalo</t>
        </is>
      </c>
      <c r="H1877" t="inlineStr">
        <is>
          <t>RJ</t>
        </is>
      </c>
      <c r="I1877" t="n">
        <v>7742</v>
      </c>
      <c r="J1877" t="inlineStr">
        <is>
          <t>CAT 4</t>
        </is>
      </c>
      <c r="K1877" t="inlineStr">
        <is>
          <t>Sim</t>
        </is>
      </c>
    </row>
    <row r="1878">
      <c r="A1878" s="1">
        <f>HYPERLINK("https://eurofarma-latam-crm.veevavault.com/#object/account__v/V4TZ025E85NBP86", "Roberto Leite")</f>
        <v/>
      </c>
      <c r="B1878" s="1">
        <f>HYPERLINK("https://eurofarma-latam-crm.veevavault.com/#object/account__v/V4TZ025E85NBP86", "Roberto D'elia Monteiro Leite")</f>
        <v/>
      </c>
      <c r="C1878" t="inlineStr">
        <is>
          <t>RJ1170457</t>
        </is>
      </c>
      <c r="D1878" t="inlineStr">
        <is>
          <t>CLG</t>
        </is>
      </c>
      <c r="E1878" t="inlineStr">
        <is>
          <t>Rua Doutor Mário Viana, 653</t>
        </is>
      </c>
      <c r="F1878" t="inlineStr">
        <is>
          <t>Santa Rosa</t>
        </is>
      </c>
      <c r="G1878" t="inlineStr">
        <is>
          <t>Niterói</t>
        </is>
      </c>
      <c r="H1878" t="inlineStr">
        <is>
          <t>RJ</t>
        </is>
      </c>
      <c r="I1878" t="n">
        <v>7742</v>
      </c>
      <c r="J1878" t="inlineStr">
        <is>
          <t>CAT 5</t>
        </is>
      </c>
      <c r="K1878" t="inlineStr">
        <is>
          <t>N�o</t>
        </is>
      </c>
    </row>
    <row r="1879">
      <c r="A1879" s="1">
        <f>HYPERLINK("https://eurofarma-latam-crm.veevavault.com/#object/account__v/V4TZ00001915UHC", "Robson Fuly")</f>
        <v/>
      </c>
      <c r="B1879" s="1">
        <f>HYPERLINK("https://eurofarma-latam-crm.veevavault.com/#object/account__v/V4TZ00001915UHC", "Robson Pinto Fuly")</f>
        <v/>
      </c>
      <c r="C1879" t="inlineStr">
        <is>
          <t>RJ0676152</t>
        </is>
      </c>
      <c r="D1879" t="inlineStr">
        <is>
          <t>ORT</t>
        </is>
      </c>
      <c r="E1879" t="inlineStr">
        <is>
          <t>Avenida Ministro Edgard Romero, 244 - Sl 412 413 E 414</t>
        </is>
      </c>
      <c r="F1879" t="inlineStr">
        <is>
          <t>Madureira</t>
        </is>
      </c>
      <c r="G1879" t="inlineStr">
        <is>
          <t>Rio de Janeiro</t>
        </is>
      </c>
      <c r="H1879" t="inlineStr">
        <is>
          <t>RJ</t>
        </is>
      </c>
      <c r="I1879" t="n">
        <v>7742</v>
      </c>
      <c r="J1879" t="inlineStr">
        <is>
          <t>CAT 3</t>
        </is>
      </c>
      <c r="K1879" t="inlineStr">
        <is>
          <t>Sim</t>
        </is>
      </c>
    </row>
    <row r="1880">
      <c r="A1880" s="1">
        <f>HYPERLINK("https://eurofarma-latam-crm.veevavault.com/#object/account__v/V4TZ00001915TUU", "Rodrigo Cantini")</f>
        <v/>
      </c>
      <c r="B1880" s="1">
        <f>HYPERLINK("https://eurofarma-latam-crm.veevavault.com/#object/account__v/V4TZ00001915TUU", "Rodrigo Cantini")</f>
        <v/>
      </c>
      <c r="C1880" t="inlineStr">
        <is>
          <t>RJ0669377</t>
        </is>
      </c>
      <c r="D1880" t="inlineStr">
        <is>
          <t>ORL</t>
        </is>
      </c>
      <c r="E1880" t="inlineStr">
        <is>
          <t>Rua Jardim Botânico, 568 - Sala 412</t>
        </is>
      </c>
      <c r="F1880" t="inlineStr">
        <is>
          <t>Jardim Botânico</t>
        </is>
      </c>
      <c r="G1880" t="inlineStr">
        <is>
          <t>Rio de Janeiro</t>
        </is>
      </c>
      <c r="H1880" t="inlineStr">
        <is>
          <t>RJ</t>
        </is>
      </c>
      <c r="I1880" t="n">
        <v>7742</v>
      </c>
      <c r="J1880" t="inlineStr">
        <is>
          <t>CAT 2</t>
        </is>
      </c>
      <c r="K1880" t="inlineStr">
        <is>
          <t>Sim</t>
        </is>
      </c>
    </row>
    <row r="1881">
      <c r="A1881" s="1">
        <f>HYPERLINK("https://eurofarma-latam-crm.veevavault.com/#object/account__v/V4TZ000018NYJBN", "Rodrigo Oliveira")</f>
        <v/>
      </c>
      <c r="B1881" s="1">
        <f>HYPERLINK("https://eurofarma-latam-crm.veevavault.com/#object/account__v/V4TZ000018NYJBN", "Rodrigo Francisco de Oliveira")</f>
        <v/>
      </c>
      <c r="C1881" t="inlineStr">
        <is>
          <t>RJ0906352</t>
        </is>
      </c>
      <c r="D1881" t="inlineStr">
        <is>
          <t>PED</t>
        </is>
      </c>
      <c r="E1881" t="inlineStr">
        <is>
          <t>Rua Doutor Nilo Peçanha, 232</t>
        </is>
      </c>
      <c r="F1881" t="inlineStr">
        <is>
          <t>Centro</t>
        </is>
      </c>
      <c r="G1881" t="inlineStr">
        <is>
          <t>São Gonçalo</t>
        </is>
      </c>
      <c r="H1881" t="inlineStr">
        <is>
          <t>RJ</t>
        </is>
      </c>
      <c r="I1881" t="n">
        <v>7742</v>
      </c>
      <c r="J1881" t="inlineStr">
        <is>
          <t>CAT 4</t>
        </is>
      </c>
      <c r="K1881" t="inlineStr">
        <is>
          <t>Sim</t>
        </is>
      </c>
    </row>
    <row r="1882">
      <c r="A1882" s="1">
        <f>HYPERLINK("https://eurofarma-latam-crm.veevavault.com/#object/account__v/V4TZ00001912ZWV", "Ronaldo Oliveira")</f>
        <v/>
      </c>
      <c r="B1882" s="1">
        <f>HYPERLINK("https://eurofarma-latam-crm.veevavault.com/#object/account__v/V4TZ00001912ZWV", "Ronaldo de Oliveira")</f>
        <v/>
      </c>
      <c r="C1882" t="inlineStr">
        <is>
          <t>RJ0377553</t>
        </is>
      </c>
      <c r="D1882" t="inlineStr">
        <is>
          <t>NEU</t>
        </is>
      </c>
      <c r="E1882" t="inlineStr">
        <is>
          <t>Avenida Vinte e Dois de Maio, S/N - KM 34</t>
        </is>
      </c>
      <c r="F1882" t="inlineStr">
        <is>
          <t>Colônia</t>
        </is>
      </c>
      <c r="G1882" t="inlineStr">
        <is>
          <t>Itaboraí</t>
        </is>
      </c>
      <c r="H1882" t="inlineStr">
        <is>
          <t>RJ</t>
        </is>
      </c>
      <c r="I1882" t="n">
        <v>7742</v>
      </c>
      <c r="J1882" t="inlineStr">
        <is>
          <t>CAT 3</t>
        </is>
      </c>
      <c r="K1882" t="inlineStr">
        <is>
          <t>Sim</t>
        </is>
      </c>
    </row>
    <row r="1883">
      <c r="A1883" s="1">
        <f>HYPERLINK("https://eurofarma-latam-crm.veevavault.com/#object/account__v/V4TZ000019132WO", "Ronaldo Oliveira")</f>
        <v/>
      </c>
      <c r="B1883" s="1">
        <f>HYPERLINK("https://eurofarma-latam-crm.veevavault.com/#object/account__v/V4TZ000019132WO", "Ronaldo Di Cicco Cunha de Oliveira")</f>
        <v/>
      </c>
      <c r="C1883" t="inlineStr">
        <is>
          <t>RJ1134957</t>
        </is>
      </c>
      <c r="D1883" t="inlineStr">
        <is>
          <t>CLG / PA</t>
        </is>
      </c>
      <c r="E1883" t="inlineStr">
        <is>
          <t>Rua Marquês de Paraná, 303</t>
        </is>
      </c>
      <c r="F1883" t="inlineStr">
        <is>
          <t>Centro</t>
        </is>
      </c>
      <c r="G1883" t="inlineStr">
        <is>
          <t>Niterói</t>
        </is>
      </c>
      <c r="H1883" t="inlineStr">
        <is>
          <t>RJ</t>
        </is>
      </c>
      <c r="I1883" t="n">
        <v>7742</v>
      </c>
      <c r="J1883" t="inlineStr">
        <is>
          <t>CAT 5</t>
        </is>
      </c>
      <c r="K1883" t="inlineStr">
        <is>
          <t>N�o</t>
        </is>
      </c>
    </row>
    <row r="1884">
      <c r="A1884" s="1">
        <f>HYPERLINK("https://eurofarma-latam-crm.veevavault.com/#object/account__v/V4TZ000018NYOJP", "Rosana Bizzo")</f>
        <v/>
      </c>
      <c r="B1884" s="1">
        <f>HYPERLINK("https://eurofarma-latam-crm.veevavault.com/#object/account__v/V4TZ000018NYOJP", "Rosana Coutinho Bizzo")</f>
        <v/>
      </c>
      <c r="C1884" t="inlineStr">
        <is>
          <t>RJ0362340</t>
        </is>
      </c>
      <c r="D1884" t="inlineStr">
        <is>
          <t>PED</t>
        </is>
      </c>
      <c r="E1884" t="inlineStr">
        <is>
          <t>Rua Coronel Moreira Cesar, S/N</t>
        </is>
      </c>
      <c r="F1884" t="inlineStr">
        <is>
          <t>Centro</t>
        </is>
      </c>
      <c r="G1884" t="inlineStr">
        <is>
          <t>São Gonçalo</t>
        </is>
      </c>
      <c r="H1884" t="inlineStr">
        <is>
          <t>RJ</t>
        </is>
      </c>
      <c r="I1884" t="n">
        <v>7742</v>
      </c>
      <c r="J1884" t="inlineStr">
        <is>
          <t>CAT 4</t>
        </is>
      </c>
      <c r="K1884" t="inlineStr">
        <is>
          <t>Sim</t>
        </is>
      </c>
    </row>
    <row r="1885">
      <c r="A1885" s="1">
        <f>HYPERLINK("https://eurofarma-latam-crm.veevavault.com/#object/account__v/V4TZ000018NYQKY", "Rosane Guzman")</f>
        <v/>
      </c>
      <c r="B1885" s="1">
        <f>HYPERLINK("https://eurofarma-latam-crm.veevavault.com/#object/account__v/V4TZ000018NYQKY", "Rosane Feo Lima Guzman")</f>
        <v/>
      </c>
      <c r="C1885" t="inlineStr">
        <is>
          <t>RJ0454529</t>
        </is>
      </c>
      <c r="D1885" t="inlineStr">
        <is>
          <t>PED</t>
        </is>
      </c>
      <c r="E1885" t="inlineStr">
        <is>
          <t>Rua Rodrigues da Fonseca, 338</t>
        </is>
      </c>
      <c r="F1885" t="inlineStr">
        <is>
          <t>Zé Garoto</t>
        </is>
      </c>
      <c r="G1885" t="inlineStr">
        <is>
          <t>São Gonçalo</t>
        </is>
      </c>
      <c r="H1885" t="inlineStr">
        <is>
          <t>RJ</t>
        </is>
      </c>
      <c r="I1885" t="n">
        <v>7742</v>
      </c>
      <c r="J1885" t="inlineStr">
        <is>
          <t>CAT 5</t>
        </is>
      </c>
      <c r="K1885" t="inlineStr">
        <is>
          <t>N�o</t>
        </is>
      </c>
    </row>
    <row r="1886">
      <c r="A1886" s="1">
        <f>HYPERLINK("https://eurofarma-latam-crm.veevavault.com/#object/account__v/V4TZ000018NYUJ4", "Rosane Rosa Pereira")</f>
        <v/>
      </c>
      <c r="B1886" s="1">
        <f>HYPERLINK("https://eurofarma-latam-crm.veevavault.com/#object/account__v/V4TZ000018NYUJ4", "Rosane Rosa Pereira")</f>
        <v/>
      </c>
      <c r="C1886" t="inlineStr">
        <is>
          <t>RJ0569603</t>
        </is>
      </c>
      <c r="D1886" t="inlineStr">
        <is>
          <t>CLG / PA</t>
        </is>
      </c>
      <c r="E1886" t="inlineStr">
        <is>
          <t>Avenida Presidente Kennedy, 735 - Sala 424</t>
        </is>
      </c>
      <c r="F1886" t="inlineStr">
        <is>
          <t>Estrela do Norte</t>
        </is>
      </c>
      <c r="G1886" t="inlineStr">
        <is>
          <t>São Gonçalo</t>
        </is>
      </c>
      <c r="H1886" t="inlineStr">
        <is>
          <t>RJ</t>
        </is>
      </c>
      <c r="I1886" t="n">
        <v>7742</v>
      </c>
      <c r="J1886" t="inlineStr">
        <is>
          <t>CAT 4</t>
        </is>
      </c>
      <c r="K1886" t="inlineStr">
        <is>
          <t>Sim</t>
        </is>
      </c>
    </row>
    <row r="1887">
      <c r="A1887" s="1">
        <f>HYPERLINK("https://eurofarma-latam-crm.veevavault.com/#object/account__v/V4TZ000019166W7", "Rosane Vieira")</f>
        <v/>
      </c>
      <c r="B1887" s="1">
        <f>HYPERLINK("https://eurofarma-latam-crm.veevavault.com/#object/account__v/V4TZ000019166W7", "Rosane Gonçalves Póvoas Vieira")</f>
        <v/>
      </c>
      <c r="C1887" t="inlineStr">
        <is>
          <t>RJ0519189</t>
        </is>
      </c>
      <c r="D1887" t="inlineStr">
        <is>
          <t>PED</t>
        </is>
      </c>
      <c r="E1887" t="inlineStr">
        <is>
          <t>Alameda Pio XII, S/N</t>
        </is>
      </c>
      <c r="F1887" t="inlineStr">
        <is>
          <t>Centro</t>
        </is>
      </c>
      <c r="G1887" t="inlineStr">
        <is>
          <t>São Gonçalo</t>
        </is>
      </c>
      <c r="H1887" t="inlineStr">
        <is>
          <t>RJ</t>
        </is>
      </c>
      <c r="I1887" t="n">
        <v>7742</v>
      </c>
      <c r="J1887" t="inlineStr">
        <is>
          <t>CAT 5</t>
        </is>
      </c>
      <c r="K1887" t="inlineStr">
        <is>
          <t>N�o</t>
        </is>
      </c>
    </row>
    <row r="1888">
      <c r="A1888" s="1">
        <f>HYPERLINK("https://eurofarma-latam-crm.veevavault.com/#object/account__v/V4TZ000018NYAXU", "Rosimare de Sousa")</f>
        <v/>
      </c>
      <c r="B1888" s="1">
        <f>HYPERLINK("https://eurofarma-latam-crm.veevavault.com/#object/account__v/V4TZ000018NYAXU", "Rosimare Cordeiro de Sousa")</f>
        <v/>
      </c>
      <c r="C1888" t="inlineStr">
        <is>
          <t>RJ0442450</t>
        </is>
      </c>
      <c r="D1888" t="inlineStr">
        <is>
          <t>CLG</t>
        </is>
      </c>
      <c r="E1888" t="inlineStr">
        <is>
          <t>Rua Francisco Raphael de Barros, 115 - Loja 01</t>
        </is>
      </c>
      <c r="F1888" t="inlineStr">
        <is>
          <t>Centro (Manilha)</t>
        </is>
      </c>
      <c r="G1888" t="inlineStr">
        <is>
          <t>Itaboraí</t>
        </is>
      </c>
      <c r="H1888" t="inlineStr">
        <is>
          <t>RJ</t>
        </is>
      </c>
      <c r="I1888" t="n">
        <v>7742</v>
      </c>
      <c r="J1888" t="inlineStr">
        <is>
          <t>CAT 3</t>
        </is>
      </c>
      <c r="K1888" t="inlineStr">
        <is>
          <t>Sim</t>
        </is>
      </c>
    </row>
    <row r="1889">
      <c r="A1889" s="1">
        <f>HYPERLINK("https://eurofarma-latam-crm.veevavault.com/#object/account__v/V4TZ00001915Z3G", "Sandra Rita Gouveia")</f>
        <v/>
      </c>
      <c r="B1889" s="1">
        <f>HYPERLINK("https://eurofarma-latam-crm.veevavault.com/#object/account__v/V4TZ00001915Z3G", "Sandra Rita de Freitas Gouveia")</f>
        <v/>
      </c>
      <c r="C1889" t="inlineStr">
        <is>
          <t>RJ0576678</t>
        </is>
      </c>
      <c r="D1889" t="inlineStr">
        <is>
          <t>PED</t>
        </is>
      </c>
      <c r="E1889" t="inlineStr">
        <is>
          <t>Rua Doutor Nilo Peçanha, 110 - Sala 614</t>
        </is>
      </c>
      <c r="F1889" t="inlineStr">
        <is>
          <t>Centro</t>
        </is>
      </c>
      <c r="G1889" t="inlineStr">
        <is>
          <t>São Gonçalo</t>
        </is>
      </c>
      <c r="H1889" t="inlineStr">
        <is>
          <t>RJ</t>
        </is>
      </c>
      <c r="I1889" t="n">
        <v>7742</v>
      </c>
      <c r="J1889" t="inlineStr">
        <is>
          <t>CAT 5</t>
        </is>
      </c>
      <c r="K1889" t="inlineStr">
        <is>
          <t>Sim</t>
        </is>
      </c>
    </row>
    <row r="1890">
      <c r="A1890" s="1">
        <f>HYPERLINK("https://eurofarma-latam-crm.veevavault.com/#object/account__v/V4TZ000019157D8", "Sandro Amaral")</f>
        <v/>
      </c>
      <c r="B1890" s="1">
        <f>HYPERLINK("https://eurofarma-latam-crm.veevavault.com/#object/account__v/V4TZ000019157D8", "Sandro Moreira Amaral")</f>
        <v/>
      </c>
      <c r="C1890" t="inlineStr">
        <is>
          <t>RJ0650986</t>
        </is>
      </c>
      <c r="D1890" t="inlineStr">
        <is>
          <t>PED</t>
        </is>
      </c>
      <c r="E1890" t="inlineStr">
        <is>
          <t>Avenida Vinte e Dois de Maio, 6331 - Bl 02 Sl 507</t>
        </is>
      </c>
      <c r="F1890" t="inlineStr">
        <is>
          <t>Jardim Imperial</t>
        </is>
      </c>
      <c r="G1890" t="inlineStr">
        <is>
          <t>Itaboraí</t>
        </is>
      </c>
      <c r="H1890" t="inlineStr">
        <is>
          <t>RJ</t>
        </is>
      </c>
      <c r="I1890" t="n">
        <v>7742</v>
      </c>
      <c r="J1890" t="inlineStr">
        <is>
          <t>CAT 5</t>
        </is>
      </c>
      <c r="K1890" t="inlineStr">
        <is>
          <t>N�o</t>
        </is>
      </c>
    </row>
    <row r="1891">
      <c r="A1891" s="1">
        <f>HYPERLINK("https://eurofarma-latam-crm.veevavault.com/#object/account__v/V4TZ000019165II", "Sara Nascimento")</f>
        <v/>
      </c>
      <c r="B1891" s="1">
        <f>HYPERLINK("https://eurofarma-latam-crm.veevavault.com/#object/account__v/V4TZ000019165II", "Sara Freire Parreira do Nascimento")</f>
        <v/>
      </c>
      <c r="C1891" t="inlineStr">
        <is>
          <t>RJ1243004</t>
        </is>
      </c>
      <c r="D1891" t="inlineStr">
        <is>
          <t>CLG / PA</t>
        </is>
      </c>
      <c r="E1891" t="inlineStr">
        <is>
          <t>Rua Sá Barreto, 107</t>
        </is>
      </c>
      <c r="F1891" t="inlineStr">
        <is>
          <t>Fonseca</t>
        </is>
      </c>
      <c r="G1891" t="inlineStr">
        <is>
          <t>Niterói</t>
        </is>
      </c>
      <c r="H1891" t="inlineStr">
        <is>
          <t>RJ</t>
        </is>
      </c>
      <c r="I1891" t="n">
        <v>7742</v>
      </c>
      <c r="J1891" t="inlineStr">
        <is>
          <t>CAT 4</t>
        </is>
      </c>
      <c r="K1891" t="inlineStr">
        <is>
          <t>Sim</t>
        </is>
      </c>
    </row>
    <row r="1892">
      <c r="A1892" s="1">
        <f>HYPERLINK("https://eurofarma-latam-crm.veevavault.com/#object/account__v/V4TZ000018NXSCP", "Sérgio da Silveira")</f>
        <v/>
      </c>
      <c r="B1892" s="1">
        <f>HYPERLINK("https://eurofarma-latam-crm.veevavault.com/#object/account__v/V4TZ000018NXSCP", "Sérgio Costa da Silveira")</f>
        <v/>
      </c>
      <c r="C1892" t="inlineStr">
        <is>
          <t>RJ0484654</t>
        </is>
      </c>
      <c r="D1892" t="inlineStr">
        <is>
          <t>END</t>
        </is>
      </c>
      <c r="E1892" t="inlineStr">
        <is>
          <t>Avenida Presidente Kennedy, 589</t>
        </is>
      </c>
      <c r="F1892" t="inlineStr">
        <is>
          <t>Centro</t>
        </is>
      </c>
      <c r="G1892" t="inlineStr">
        <is>
          <t>São Gonçalo</t>
        </is>
      </c>
      <c r="H1892" t="inlineStr">
        <is>
          <t>RJ</t>
        </is>
      </c>
      <c r="I1892" t="n">
        <v>7742</v>
      </c>
      <c r="J1892" t="inlineStr">
        <is>
          <t>CAT 1</t>
        </is>
      </c>
      <c r="K1892" t="inlineStr">
        <is>
          <t>Sim</t>
        </is>
      </c>
    </row>
    <row r="1893">
      <c r="A1893" s="1">
        <f>HYPERLINK("https://eurofarma-latam-crm.veevavault.com/#object/account__v/V4TZ00001914T3F", "Sergio Sa")</f>
        <v/>
      </c>
      <c r="B1893" s="1">
        <f>HYPERLINK("https://eurofarma-latam-crm.veevavault.com/#object/account__v/V4TZ00001914T3F", "Sergio Roberto Braga de Sa")</f>
        <v/>
      </c>
      <c r="C1893" t="inlineStr">
        <is>
          <t>RJ0498403</t>
        </is>
      </c>
      <c r="D1893" t="inlineStr">
        <is>
          <t>CLG</t>
        </is>
      </c>
      <c r="E1893" t="inlineStr">
        <is>
          <t>Avenida Presidente Kennedy, 735 - Sala 1325</t>
        </is>
      </c>
      <c r="F1893" t="inlineStr">
        <is>
          <t>Estrela do Norte</t>
        </is>
      </c>
      <c r="G1893" t="inlineStr">
        <is>
          <t>São Gonçalo</t>
        </is>
      </c>
      <c r="H1893" t="inlineStr">
        <is>
          <t>RJ</t>
        </is>
      </c>
      <c r="I1893" t="n">
        <v>7742</v>
      </c>
      <c r="J1893" t="inlineStr">
        <is>
          <t>CAT 4</t>
        </is>
      </c>
      <c r="K1893" t="inlineStr">
        <is>
          <t>N�o</t>
        </is>
      </c>
    </row>
    <row r="1894">
      <c r="A1894" s="1">
        <f>HYPERLINK("https://eurofarma-latam-crm.veevavault.com/#object/account__v/V4TZ00001915OXK", "Silvestro Monaco")</f>
        <v/>
      </c>
      <c r="B1894" s="1">
        <f>HYPERLINK("https://eurofarma-latam-crm.veevavault.com/#object/account__v/V4TZ00001915OXK", "Silvestro Monaco")</f>
        <v/>
      </c>
      <c r="C1894" t="inlineStr">
        <is>
          <t>RJ0031174</t>
        </is>
      </c>
      <c r="D1894" t="inlineStr">
        <is>
          <t>CLG</t>
        </is>
      </c>
      <c r="E1894" t="inlineStr">
        <is>
          <t>Rua Miguel de Frias, 77 - Salas 812 à 816</t>
        </is>
      </c>
      <c r="F1894" t="inlineStr">
        <is>
          <t>Icaraí</t>
        </is>
      </c>
      <c r="G1894" t="inlineStr">
        <is>
          <t>Niterói</t>
        </is>
      </c>
      <c r="H1894" t="inlineStr">
        <is>
          <t>RJ</t>
        </is>
      </c>
      <c r="I1894" t="n">
        <v>7742</v>
      </c>
      <c r="J1894" t="inlineStr">
        <is>
          <t>CAT 3</t>
        </is>
      </c>
      <c r="K1894" t="inlineStr">
        <is>
          <t>Sim</t>
        </is>
      </c>
    </row>
    <row r="1895">
      <c r="A1895" s="1">
        <f>HYPERLINK("https://eurofarma-latam-crm.veevavault.com/#object/account__v/V4TZ025E8F6UQVT", "Silvia Dutra")</f>
        <v/>
      </c>
      <c r="B1895" s="1">
        <f>HYPERLINK("https://eurofarma-latam-crm.veevavault.com/#object/account__v/V4TZ025E8F6UQVT", "Silvia Fortini Dutra")</f>
        <v/>
      </c>
      <c r="C1895" t="inlineStr">
        <is>
          <t>MG0100442,RJ1347772</t>
        </is>
      </c>
      <c r="D1895" t="inlineStr">
        <is>
          <t>NEU</t>
        </is>
      </c>
      <c r="E1895" t="inlineStr">
        <is>
          <t>Rua Marquês de Paraná, 303</t>
        </is>
      </c>
      <c r="F1895" t="inlineStr">
        <is>
          <t>Centro</t>
        </is>
      </c>
      <c r="G1895" t="inlineStr">
        <is>
          <t>Niterói</t>
        </is>
      </c>
      <c r="H1895" t="inlineStr">
        <is>
          <t>RJ</t>
        </is>
      </c>
      <c r="I1895" t="n">
        <v>7742</v>
      </c>
      <c r="J1895" t="inlineStr">
        <is>
          <t>CAT 5</t>
        </is>
      </c>
      <c r="K1895" t="inlineStr">
        <is>
          <t>Sim</t>
        </is>
      </c>
    </row>
    <row r="1896">
      <c r="A1896" s="1">
        <f>HYPERLINK("https://eurofarma-latam-crm.veevavault.com/#object/account__v/V4TZ00001914K8X", "Simone Maria Valença")</f>
        <v/>
      </c>
      <c r="B1896" s="1">
        <f>HYPERLINK("https://eurofarma-latam-crm.veevavault.com/#object/account__v/V4TZ00001914K8X", "Simone Maria Vilela Valença")</f>
        <v/>
      </c>
      <c r="C1896" t="inlineStr">
        <is>
          <t>RJ0725153</t>
        </is>
      </c>
      <c r="D1896" t="inlineStr">
        <is>
          <t>GAS</t>
        </is>
      </c>
      <c r="E1896" t="inlineStr">
        <is>
          <t>Rua Desiderio de Oliveira, 337</t>
        </is>
      </c>
      <c r="F1896" t="inlineStr">
        <is>
          <t>Centro</t>
        </is>
      </c>
      <c r="G1896" t="inlineStr">
        <is>
          <t>Niterói</t>
        </is>
      </c>
      <c r="H1896" t="inlineStr">
        <is>
          <t>RJ</t>
        </is>
      </c>
      <c r="I1896" t="n">
        <v>7742</v>
      </c>
      <c r="J1896" t="inlineStr">
        <is>
          <t>CAT 3</t>
        </is>
      </c>
      <c r="K1896" t="inlineStr">
        <is>
          <t>Sim</t>
        </is>
      </c>
    </row>
    <row r="1897">
      <c r="A1897" s="1">
        <f>HYPERLINK("https://eurofarma-latam-crm.veevavault.com/#object/account__v/V4TZ000019135C7", "Simone Vieira")</f>
        <v/>
      </c>
      <c r="B1897" s="1">
        <f>HYPERLINK("https://eurofarma-latam-crm.veevavault.com/#object/account__v/V4TZ000019135C7", "Simone Passos de Sales Vieira")</f>
        <v/>
      </c>
      <c r="C1897" t="inlineStr">
        <is>
          <t>RJ0603020</t>
        </is>
      </c>
      <c r="D1897" t="inlineStr">
        <is>
          <t>CLG</t>
        </is>
      </c>
      <c r="E1897" t="inlineStr">
        <is>
          <t>Rua Doutor Nilo Peçanha, 940</t>
        </is>
      </c>
      <c r="F1897" t="inlineStr">
        <is>
          <t>Nova Cidade</t>
        </is>
      </c>
      <c r="G1897" t="inlineStr">
        <is>
          <t>São Gonçalo</t>
        </is>
      </c>
      <c r="H1897" t="inlineStr">
        <is>
          <t>RJ</t>
        </is>
      </c>
      <c r="I1897" t="n">
        <v>7742</v>
      </c>
      <c r="J1897" t="inlineStr">
        <is>
          <t>CAT 2</t>
        </is>
      </c>
      <c r="K1897" t="inlineStr">
        <is>
          <t>Sim</t>
        </is>
      </c>
    </row>
    <row r="1898">
      <c r="A1898" s="1">
        <f>HYPERLINK("https://eurofarma-latam-crm.veevavault.com/#object/account__v/V4TZ04ASGMUC0G7", "Sofia Sá")</f>
        <v/>
      </c>
      <c r="B1898" s="1">
        <f>HYPERLINK("https://eurofarma-latam-crm.veevavault.com/#object/account__v/V4TZ04ASGMUC0G7", "Sofia Ferreira Sá")</f>
        <v/>
      </c>
      <c r="C1898" t="inlineStr">
        <is>
          <t>RJ1361317</t>
        </is>
      </c>
      <c r="D1898" t="inlineStr">
        <is>
          <t>PED</t>
        </is>
      </c>
      <c r="E1898" t="inlineStr">
        <is>
          <t>Rua Doutor Nilo Peçanha, 232</t>
        </is>
      </c>
      <c r="F1898" t="inlineStr">
        <is>
          <t>Centro</t>
        </is>
      </c>
      <c r="G1898" t="inlineStr">
        <is>
          <t>São Gonçalo</t>
        </is>
      </c>
      <c r="H1898" t="inlineStr">
        <is>
          <t>RJ</t>
        </is>
      </c>
      <c r="I1898" t="n">
        <v>7742</v>
      </c>
      <c r="J1898" t="inlineStr">
        <is>
          <t>CAT 5</t>
        </is>
      </c>
      <c r="K1898" t="inlineStr">
        <is>
          <t>N�o</t>
        </is>
      </c>
    </row>
    <row r="1899">
      <c r="A1899" s="1">
        <f>HYPERLINK("https://eurofarma-latam-crm.veevavault.com/#object/account__v/V4TZ000018NZAHX", "Sonia de Menezes")</f>
        <v/>
      </c>
      <c r="B1899" s="1">
        <f>HYPERLINK("https://eurofarma-latam-crm.veevavault.com/#object/account__v/V4TZ000018NZAHX", "Sonia Terezinha Perez de Menezes")</f>
        <v/>
      </c>
      <c r="C1899" t="inlineStr">
        <is>
          <t>RJ0605489</t>
        </is>
      </c>
      <c r="D1899" t="inlineStr">
        <is>
          <t>PED</t>
        </is>
      </c>
      <c r="E1899" t="inlineStr">
        <is>
          <t>Avenida Presidente Kennedy, 735 - Sala 1320 e 1321</t>
        </is>
      </c>
      <c r="F1899" t="inlineStr">
        <is>
          <t>Estrela do Norte</t>
        </is>
      </c>
      <c r="G1899" t="inlineStr">
        <is>
          <t>São Gonçalo</t>
        </is>
      </c>
      <c r="H1899" t="inlineStr">
        <is>
          <t>RJ</t>
        </is>
      </c>
      <c r="I1899" t="n">
        <v>7742</v>
      </c>
      <c r="J1899" t="inlineStr">
        <is>
          <t>CAT 5</t>
        </is>
      </c>
      <c r="K1899" t="inlineStr">
        <is>
          <t>N�o</t>
        </is>
      </c>
    </row>
    <row r="1900">
      <c r="A1900" s="1">
        <f>HYPERLINK("https://eurofarma-latam-crm.veevavault.com/#object/account__v/V4TZ00001915UBU", "Sonia Maria Alves")</f>
        <v/>
      </c>
      <c r="B1900" s="1">
        <f>HYPERLINK("https://eurofarma-latam-crm.veevavault.com/#object/account__v/V4TZ00001915UBU", "Sonia Maria Silva Alves")</f>
        <v/>
      </c>
      <c r="C1900" t="inlineStr">
        <is>
          <t>RJ0572255</t>
        </is>
      </c>
      <c r="D1900" t="inlineStr">
        <is>
          <t>CLG</t>
        </is>
      </c>
      <c r="E1900" t="inlineStr">
        <is>
          <t>Rua Luiz Gama, 22 - Qd 205</t>
        </is>
      </c>
      <c r="F1900" t="inlineStr">
        <is>
          <t>Vista Alegre</t>
        </is>
      </c>
      <c r="G1900" t="inlineStr">
        <is>
          <t>São Gonçalo</t>
        </is>
      </c>
      <c r="H1900" t="inlineStr">
        <is>
          <t>RJ</t>
        </is>
      </c>
      <c r="I1900" t="n">
        <v>7742</v>
      </c>
      <c r="J1900" t="inlineStr">
        <is>
          <t>CAT 5</t>
        </is>
      </c>
      <c r="K1900" t="inlineStr">
        <is>
          <t>Sim</t>
        </is>
      </c>
    </row>
    <row r="1901">
      <c r="A1901" s="1">
        <f>HYPERLINK("https://eurofarma-latam-crm.veevavault.com/#object/account__v/V4TZ025E8BQ5296", "Stefany Cristina Aguiar")</f>
        <v/>
      </c>
      <c r="B1901" s="1">
        <f>HYPERLINK("https://eurofarma-latam-crm.veevavault.com/#object/account__v/V4TZ025E8BQ5296", "Stefany Cristina Rodrigues Aguiar")</f>
        <v/>
      </c>
      <c r="C1901" t="inlineStr">
        <is>
          <t>RJ1357700</t>
        </is>
      </c>
      <c r="D1901" t="inlineStr">
        <is>
          <t>CLG / PA</t>
        </is>
      </c>
      <c r="E1901" t="inlineStr">
        <is>
          <t>Rua Baster Pillar, S/N</t>
        </is>
      </c>
      <c r="F1901" t="inlineStr">
        <is>
          <t>Parque Hotel</t>
        </is>
      </c>
      <c r="G1901" t="inlineStr">
        <is>
          <t>Araruama</t>
        </is>
      </c>
      <c r="H1901" t="inlineStr">
        <is>
          <t>RJ</t>
        </is>
      </c>
      <c r="I1901" t="n">
        <v>7742</v>
      </c>
      <c r="J1901" t="inlineStr">
        <is>
          <t>CAT 5</t>
        </is>
      </c>
      <c r="K1901" t="inlineStr">
        <is>
          <t>N�o</t>
        </is>
      </c>
    </row>
    <row r="1902">
      <c r="A1902" s="1">
        <f>HYPERLINK("https://eurofarma-latam-crm.veevavault.com/#object/account__v/V4TZ000018NXNEW", "Sueli Camaz")</f>
        <v/>
      </c>
      <c r="B1902" s="1">
        <f>HYPERLINK("https://eurofarma-latam-crm.veevavault.com/#object/account__v/V4TZ000018NXNEW", "Sueli Jupiara Moreira Camaz")</f>
        <v/>
      </c>
      <c r="C1902" t="inlineStr">
        <is>
          <t>RJ0574366</t>
        </is>
      </c>
      <c r="D1902" t="inlineStr">
        <is>
          <t>PED</t>
        </is>
      </c>
      <c r="E1902" t="inlineStr">
        <is>
          <t>Rua Jurunas, 240</t>
        </is>
      </c>
      <c r="F1902" t="inlineStr">
        <is>
          <t>Engenho de Dentro</t>
        </is>
      </c>
      <c r="G1902" t="inlineStr">
        <is>
          <t>Rio de Janeiro</t>
        </is>
      </c>
      <c r="H1902" t="inlineStr">
        <is>
          <t>RJ</t>
        </is>
      </c>
      <c r="I1902" t="n">
        <v>7742</v>
      </c>
      <c r="J1902" t="inlineStr">
        <is>
          <t>CAT 4</t>
        </is>
      </c>
      <c r="K1902" t="inlineStr">
        <is>
          <t>Sim</t>
        </is>
      </c>
    </row>
    <row r="1903">
      <c r="A1903" s="1">
        <f>HYPERLINK("https://eurofarma-latam-crm.veevavault.com/#object/account__v/V4TZ00001913NOX", "Sylvio Picanço Netto")</f>
        <v/>
      </c>
      <c r="B1903" s="1">
        <f>HYPERLINK("https://eurofarma-latam-crm.veevavault.com/#object/account__v/V4TZ00001913NOX", "Sylvio Picanço Netto")</f>
        <v/>
      </c>
      <c r="C1903" t="inlineStr">
        <is>
          <t>RJ0609398</t>
        </is>
      </c>
      <c r="D1903" t="inlineStr">
        <is>
          <t>ORL</t>
        </is>
      </c>
      <c r="E1903" t="inlineStr">
        <is>
          <t>Rua Manuel João Gonçalves, 204</t>
        </is>
      </c>
      <c r="F1903" t="inlineStr">
        <is>
          <t>Alcântara</t>
        </is>
      </c>
      <c r="G1903" t="inlineStr">
        <is>
          <t>São Gonçalo</t>
        </is>
      </c>
      <c r="H1903" t="inlineStr">
        <is>
          <t>RJ</t>
        </is>
      </c>
      <c r="I1903" t="n">
        <v>7742</v>
      </c>
      <c r="J1903" t="inlineStr">
        <is>
          <t>CAT 4</t>
        </is>
      </c>
      <c r="K1903" t="inlineStr">
        <is>
          <t>Sim</t>
        </is>
      </c>
    </row>
    <row r="1904">
      <c r="A1904" s="1">
        <f>HYPERLINK("https://eurofarma-latam-crm.veevavault.com/#object/account__v/V4TZ000018NXPMU", "Tania Lúcia dos Santos")</f>
        <v/>
      </c>
      <c r="B1904" s="1">
        <f>HYPERLINK("https://eurofarma-latam-crm.veevavault.com/#object/account__v/V4TZ000018NXPMU", "Tania Lúcia dos Santos")</f>
        <v/>
      </c>
      <c r="C1904" t="inlineStr">
        <is>
          <t>RJ0456793</t>
        </is>
      </c>
      <c r="D1904" t="inlineStr">
        <is>
          <t>PED</t>
        </is>
      </c>
      <c r="E1904" t="inlineStr">
        <is>
          <t>Rua Doutor Nilo Peçanha, 1076</t>
        </is>
      </c>
      <c r="F1904" t="inlineStr">
        <is>
          <t>Estrela do Norte</t>
        </is>
      </c>
      <c r="G1904" t="inlineStr">
        <is>
          <t>São Gonçalo</t>
        </is>
      </c>
      <c r="H1904" t="inlineStr">
        <is>
          <t>RJ</t>
        </is>
      </c>
      <c r="I1904" t="n">
        <v>7742</v>
      </c>
      <c r="J1904" t="inlineStr">
        <is>
          <t>CAT 5</t>
        </is>
      </c>
      <c r="K1904" t="inlineStr">
        <is>
          <t>Sim</t>
        </is>
      </c>
    </row>
    <row r="1905">
      <c r="A1905" s="1">
        <f>HYPERLINK("https://eurofarma-latam-crm.veevavault.com/#object/account__v/V4TZ000018NXMQW", "Tatiana Freitas")</f>
        <v/>
      </c>
      <c r="B1905" s="1">
        <f>HYPERLINK("https://eurofarma-latam-crm.veevavault.com/#object/account__v/V4TZ000018NXMQW", "Tatiana Gilaberte Freitas")</f>
        <v/>
      </c>
      <c r="C1905" t="inlineStr">
        <is>
          <t>RJ0632678</t>
        </is>
      </c>
      <c r="D1905" t="inlineStr">
        <is>
          <t>PED</t>
        </is>
      </c>
      <c r="E1905" t="inlineStr">
        <is>
          <t>Praça Estefania de Carvalho, S/N</t>
        </is>
      </c>
      <c r="F1905" t="inlineStr">
        <is>
          <t>Zé Garoto</t>
        </is>
      </c>
      <c r="G1905" t="inlineStr">
        <is>
          <t>São Gonçalo</t>
        </is>
      </c>
      <c r="H1905" t="inlineStr">
        <is>
          <t>RJ</t>
        </is>
      </c>
      <c r="I1905" t="n">
        <v>7742</v>
      </c>
      <c r="J1905" t="inlineStr">
        <is>
          <t>CAT 5</t>
        </is>
      </c>
      <c r="K1905" t="inlineStr">
        <is>
          <t>Sim</t>
        </is>
      </c>
    </row>
    <row r="1906">
      <c r="A1906" s="1">
        <f>HYPERLINK("https://eurofarma-latam-crm.veevavault.com/#object/account__v/V4TZ000018NXQ7J", "Tatiana Martins")</f>
        <v/>
      </c>
      <c r="B1906" s="1">
        <f>HYPERLINK("https://eurofarma-latam-crm.veevavault.com/#object/account__v/V4TZ000018NXQ7J", "Tatiana Felix Leitao Rosa Martins")</f>
        <v/>
      </c>
      <c r="C1906" t="inlineStr">
        <is>
          <t>RJ0719390</t>
        </is>
      </c>
      <c r="D1906" t="inlineStr">
        <is>
          <t>CLG</t>
        </is>
      </c>
      <c r="E1906" t="inlineStr">
        <is>
          <t>Rua Doutor Nilo Peçanha, 391</t>
        </is>
      </c>
      <c r="F1906" t="inlineStr">
        <is>
          <t>Antonina</t>
        </is>
      </c>
      <c r="G1906" t="inlineStr">
        <is>
          <t>São Gonçalo</t>
        </is>
      </c>
      <c r="H1906" t="inlineStr">
        <is>
          <t>RJ</t>
        </is>
      </c>
      <c r="I1906" t="n">
        <v>7742</v>
      </c>
      <c r="J1906" t="inlineStr">
        <is>
          <t>CAT 4</t>
        </is>
      </c>
      <c r="K1906" t="inlineStr">
        <is>
          <t>Sim</t>
        </is>
      </c>
    </row>
    <row r="1907">
      <c r="A1907" s="1">
        <f>HYPERLINK("https://eurofarma-latam-crm.veevavault.com/#object/account__v/V4TZ000018NZ9GY", "Tatiane Alves")</f>
        <v/>
      </c>
      <c r="B1907" s="1">
        <f>HYPERLINK("https://eurofarma-latam-crm.veevavault.com/#object/account__v/V4TZ000018NZ9GY", "Tatiane Carneiro Alcantara Alves")</f>
        <v/>
      </c>
      <c r="C1907" t="inlineStr">
        <is>
          <t>RJ0851116</t>
        </is>
      </c>
      <c r="D1907" t="inlineStr">
        <is>
          <t>END</t>
        </is>
      </c>
      <c r="E1907" t="inlineStr">
        <is>
          <t>Rua Doutor Nilo Peçanha, 110 - Sala 1109</t>
        </is>
      </c>
      <c r="F1907" t="inlineStr">
        <is>
          <t>Centro</t>
        </is>
      </c>
      <c r="G1907" t="inlineStr">
        <is>
          <t>São Gonçalo</t>
        </is>
      </c>
      <c r="H1907" t="inlineStr">
        <is>
          <t>RJ</t>
        </is>
      </c>
      <c r="I1907" t="n">
        <v>7742</v>
      </c>
      <c r="J1907" t="inlineStr">
        <is>
          <t>CAT 3</t>
        </is>
      </c>
      <c r="K1907" t="inlineStr">
        <is>
          <t>Sim</t>
        </is>
      </c>
    </row>
    <row r="1908">
      <c r="A1908" s="1">
        <f>HYPERLINK("https://eurofarma-latam-crm.veevavault.com/#object/account__v/V4TZ00001914YEP", "Tatiane Wottrich")</f>
        <v/>
      </c>
      <c r="B1908" s="1">
        <f>HYPERLINK("https://eurofarma-latam-crm.veevavault.com/#object/account__v/V4TZ00001914YEP", "Tatiane Wottrich")</f>
        <v/>
      </c>
      <c r="C1908" t="inlineStr">
        <is>
          <t>RJ1309854</t>
        </is>
      </c>
      <c r="D1908" t="inlineStr">
        <is>
          <t>ORL</t>
        </is>
      </c>
      <c r="E1908" t="inlineStr">
        <is>
          <t>Rua Sá Barreto, 107</t>
        </is>
      </c>
      <c r="F1908" t="inlineStr">
        <is>
          <t>Fonseca</t>
        </is>
      </c>
      <c r="G1908" t="inlineStr">
        <is>
          <t>Niterói</t>
        </is>
      </c>
      <c r="H1908" t="inlineStr">
        <is>
          <t>RJ</t>
        </is>
      </c>
      <c r="I1908" t="n">
        <v>7742</v>
      </c>
      <c r="J1908" t="inlineStr">
        <is>
          <t>CAT 5</t>
        </is>
      </c>
      <c r="K1908" t="inlineStr">
        <is>
          <t>N�o</t>
        </is>
      </c>
    </row>
    <row r="1909">
      <c r="A1909" s="1">
        <f>HYPERLINK("https://eurofarma-latam-crm.veevavault.com/#object/account__v/V4TZ025E8F6UOVM", "Tatianne Alves")</f>
        <v/>
      </c>
      <c r="B1909" s="1">
        <f>HYPERLINK("https://eurofarma-latam-crm.veevavault.com/#object/account__v/V4TZ025E8F6UOVM", "Tatianne de Sousa Alves")</f>
        <v/>
      </c>
      <c r="C1909" t="inlineStr">
        <is>
          <t>MA0013806,RJ1344412</t>
        </is>
      </c>
      <c r="D1909" t="inlineStr">
        <is>
          <t>NEU</t>
        </is>
      </c>
      <c r="E1909" t="inlineStr">
        <is>
          <t>Rua Marquês de Paraná, 303</t>
        </is>
      </c>
      <c r="F1909" t="inlineStr">
        <is>
          <t>Centro</t>
        </is>
      </c>
      <c r="G1909" t="inlineStr">
        <is>
          <t>Niterói</t>
        </is>
      </c>
      <c r="H1909" t="inlineStr">
        <is>
          <t>RJ</t>
        </is>
      </c>
      <c r="I1909" t="n">
        <v>7742</v>
      </c>
      <c r="J1909" t="inlineStr"/>
      <c r="K1909" t="inlineStr"/>
    </row>
    <row r="1910">
      <c r="A1910" s="1">
        <f>HYPERLINK("https://eurofarma-latam-crm.veevavault.com/#object/account__v/V4TZ0000191FSXG", "Temyson Kleber da Silva Filho")</f>
        <v/>
      </c>
      <c r="B1910" s="1">
        <f>HYPERLINK("https://eurofarma-latam-crm.veevavault.com/#object/account__v/V4TZ0000191FSXG", "Temyson Kleber da Silva Filho")</f>
        <v/>
      </c>
      <c r="C1910" t="inlineStr">
        <is>
          <t>RJ1308734</t>
        </is>
      </c>
      <c r="D1910" t="inlineStr">
        <is>
          <t>PED</t>
        </is>
      </c>
      <c r="E1910" t="inlineStr">
        <is>
          <t>Rua Doutor Nilo Peçanha, 232</t>
        </is>
      </c>
      <c r="F1910" t="inlineStr">
        <is>
          <t>Centro</t>
        </is>
      </c>
      <c r="G1910" t="inlineStr">
        <is>
          <t>São Gonçalo</t>
        </is>
      </c>
      <c r="H1910" t="inlineStr">
        <is>
          <t>RJ</t>
        </is>
      </c>
      <c r="I1910" t="n">
        <v>7742</v>
      </c>
      <c r="J1910" t="inlineStr">
        <is>
          <t>CAT 4</t>
        </is>
      </c>
      <c r="K1910" t="inlineStr">
        <is>
          <t>N�o</t>
        </is>
      </c>
    </row>
    <row r="1911">
      <c r="A1911" s="1">
        <f>HYPERLINK("https://eurofarma-latam-crm.veevavault.com/#object/account__v/V4TZ000019150I9", "Thainá Paresque")</f>
        <v/>
      </c>
      <c r="B1911" s="1">
        <f>HYPERLINK("https://eurofarma-latam-crm.veevavault.com/#object/account__v/V4TZ000019150I9", "Thainá Braga Paresque")</f>
        <v/>
      </c>
      <c r="C1911" t="inlineStr">
        <is>
          <t>RJ1252062</t>
        </is>
      </c>
      <c r="D1911" t="inlineStr">
        <is>
          <t>PED</t>
        </is>
      </c>
      <c r="E1911" t="inlineStr">
        <is>
          <t>Rua Vicente de Lima Cleto, 296</t>
        </is>
      </c>
      <c r="F1911" t="inlineStr">
        <is>
          <t>Nova Cidade</t>
        </is>
      </c>
      <c r="G1911" t="inlineStr">
        <is>
          <t>São Gonçalo</t>
        </is>
      </c>
      <c r="H1911" t="inlineStr">
        <is>
          <t>RJ</t>
        </is>
      </c>
      <c r="I1911" t="n">
        <v>7742</v>
      </c>
      <c r="J1911" t="inlineStr">
        <is>
          <t>CAT 5</t>
        </is>
      </c>
      <c r="K1911" t="inlineStr">
        <is>
          <t>N�o</t>
        </is>
      </c>
    </row>
    <row r="1912">
      <c r="A1912" s="1">
        <f>HYPERLINK("https://eurofarma-latam-crm.veevavault.com/#object/account__v/V4TZ025E8FB3QDD", "Thais Guerra")</f>
        <v/>
      </c>
      <c r="B1912" s="1">
        <f>HYPERLINK("https://eurofarma-latam-crm.veevavault.com/#object/account__v/V4TZ025E8FB3QDD", "Thais de Rezende Bessa Guerra")</f>
        <v/>
      </c>
      <c r="C1912" t="inlineStr">
        <is>
          <t>RJ1387180</t>
        </is>
      </c>
      <c r="D1912" t="inlineStr">
        <is>
          <t>CLG / PA</t>
        </is>
      </c>
      <c r="E1912" t="inlineStr">
        <is>
          <t>Avenida Albino Imparato, S/N</t>
        </is>
      </c>
      <c r="F1912" t="inlineStr">
        <is>
          <t>Centro</t>
        </is>
      </c>
      <c r="G1912" t="inlineStr">
        <is>
          <t>São Gonçalo</t>
        </is>
      </c>
      <c r="H1912" t="inlineStr">
        <is>
          <t>RJ</t>
        </is>
      </c>
      <c r="I1912" t="n">
        <v>7742</v>
      </c>
      <c r="J1912" t="inlineStr">
        <is>
          <t>CAT 5</t>
        </is>
      </c>
      <c r="K1912" t="inlineStr">
        <is>
          <t>N�o</t>
        </is>
      </c>
    </row>
    <row r="1913">
      <c r="A1913" s="1">
        <f>HYPERLINK("https://eurofarma-latam-crm.veevavault.com/#object/account__v/V4TZ00001913SYG", "Thalita Rangel")</f>
        <v/>
      </c>
      <c r="B1913" s="1">
        <f>HYPERLINK("https://eurofarma-latam-crm.veevavault.com/#object/account__v/V4TZ00001913SYG", "Thalita Costa Ponte Rangel")</f>
        <v/>
      </c>
      <c r="C1913" t="inlineStr">
        <is>
          <t>RJ0882348</t>
        </is>
      </c>
      <c r="D1913" t="inlineStr">
        <is>
          <t>PED</t>
        </is>
      </c>
      <c r="E1913" t="inlineStr">
        <is>
          <t>Rua Marquês de Paraná, 233</t>
        </is>
      </c>
      <c r="F1913" t="inlineStr">
        <is>
          <t>Centro</t>
        </is>
      </c>
      <c r="G1913" t="inlineStr">
        <is>
          <t>Niterói</t>
        </is>
      </c>
      <c r="H1913" t="inlineStr">
        <is>
          <t>RJ</t>
        </is>
      </c>
      <c r="I1913" t="n">
        <v>7742</v>
      </c>
      <c r="J1913" t="inlineStr">
        <is>
          <t>CAT 3</t>
        </is>
      </c>
      <c r="K1913" t="inlineStr">
        <is>
          <t>Sim</t>
        </is>
      </c>
    </row>
    <row r="1914">
      <c r="A1914" s="1">
        <f>HYPERLINK("https://eurofarma-latam-crm.veevavault.com/#object/account__v/V4TZ00001914NYK", "Thatiana Fernandes")</f>
        <v/>
      </c>
      <c r="B1914" s="1">
        <f>HYPERLINK("https://eurofarma-latam-crm.veevavault.com/#object/account__v/V4TZ00001914NYK", "Thatiana Carvalho Borba Fernandes")</f>
        <v/>
      </c>
      <c r="C1914" t="inlineStr">
        <is>
          <t>PB0015012,RJ1401030</t>
        </is>
      </c>
      <c r="D1914" t="inlineStr">
        <is>
          <t>ORL</t>
        </is>
      </c>
      <c r="E1914" t="inlineStr">
        <is>
          <t>Rua Marquês de Paraná, 303</t>
        </is>
      </c>
      <c r="F1914" t="inlineStr">
        <is>
          <t>Centro</t>
        </is>
      </c>
      <c r="G1914" t="inlineStr">
        <is>
          <t>Niterói</t>
        </is>
      </c>
      <c r="H1914" t="inlineStr">
        <is>
          <t>RJ</t>
        </is>
      </c>
      <c r="I1914" t="n">
        <v>7742</v>
      </c>
      <c r="J1914" t="inlineStr">
        <is>
          <t>CAT 5</t>
        </is>
      </c>
      <c r="K1914" t="inlineStr">
        <is>
          <t>N�o</t>
        </is>
      </c>
    </row>
    <row r="1915">
      <c r="A1915" s="1">
        <f>HYPERLINK("https://eurofarma-latam-crm.veevavault.com/#object/account__v/V4TZ00001916HW3", "Thays Assumpção")</f>
        <v/>
      </c>
      <c r="B1915" s="1">
        <f>HYPERLINK("https://eurofarma-latam-crm.veevavault.com/#object/account__v/V4TZ00001916HW3", "Thays Amazonense Machado Assumpção")</f>
        <v/>
      </c>
      <c r="C1915" t="inlineStr">
        <is>
          <t>RJ1179454</t>
        </is>
      </c>
      <c r="D1915" t="inlineStr">
        <is>
          <t>CLG / PA</t>
        </is>
      </c>
      <c r="E1915" t="inlineStr">
        <is>
          <t>Alameda São Boaventura, 321</t>
        </is>
      </c>
      <c r="F1915" t="inlineStr">
        <is>
          <t>Fonseca</t>
        </is>
      </c>
      <c r="G1915" t="inlineStr">
        <is>
          <t>Niterói</t>
        </is>
      </c>
      <c r="H1915" t="inlineStr">
        <is>
          <t>RJ</t>
        </is>
      </c>
      <c r="I1915" t="n">
        <v>7742</v>
      </c>
      <c r="J1915" t="inlineStr">
        <is>
          <t>CAT 4</t>
        </is>
      </c>
      <c r="K1915" t="inlineStr">
        <is>
          <t>Sim</t>
        </is>
      </c>
    </row>
    <row r="1916">
      <c r="A1916" s="1">
        <f>HYPERLINK("https://eurofarma-latam-crm.veevavault.com/#object/account__v/V4TZ00001915M88", "Thiago Guimaraes")</f>
        <v/>
      </c>
      <c r="B1916" s="1">
        <f>HYPERLINK("https://eurofarma-latam-crm.veevavault.com/#object/account__v/V4TZ00001915M88", "Thiago Pereira Guimaraes")</f>
        <v/>
      </c>
      <c r="C1916" t="inlineStr">
        <is>
          <t>RJ0997510,SP0290525</t>
        </is>
      </c>
      <c r="D1916" t="inlineStr">
        <is>
          <t>ORT</t>
        </is>
      </c>
      <c r="E1916" t="inlineStr">
        <is>
          <t>Estrada Intendente Magalhães, 488</t>
        </is>
      </c>
      <c r="F1916" t="inlineStr">
        <is>
          <t>Oswaldo Cruz</t>
        </is>
      </c>
      <c r="G1916" t="inlineStr">
        <is>
          <t>Rio de Janeiro</t>
        </is>
      </c>
      <c r="H1916" t="inlineStr">
        <is>
          <t>RJ</t>
        </is>
      </c>
      <c r="I1916" t="n">
        <v>7742</v>
      </c>
      <c r="J1916" t="inlineStr">
        <is>
          <t>CAT 5</t>
        </is>
      </c>
      <c r="K1916" t="inlineStr">
        <is>
          <t>Sim</t>
        </is>
      </c>
    </row>
    <row r="1917">
      <c r="A1917" s="1">
        <f>HYPERLINK("https://eurofarma-latam-crm.veevavault.com/#object/account__v/V4TZ000018NYCHP", "Tiago de Souza")</f>
        <v/>
      </c>
      <c r="B1917" s="1">
        <f>HYPERLINK("https://eurofarma-latam-crm.veevavault.com/#object/account__v/V4TZ000018NYCHP", "Tiago Ribeiro Ninis de Souza")</f>
        <v/>
      </c>
      <c r="C1917" t="inlineStr">
        <is>
          <t>RJ0852406</t>
        </is>
      </c>
      <c r="D1917" t="inlineStr">
        <is>
          <t>URO</t>
        </is>
      </c>
      <c r="E1917" t="inlineStr">
        <is>
          <t>Rua Marquês de Paraná, 303</t>
        </is>
      </c>
      <c r="F1917" t="inlineStr">
        <is>
          <t>Centro</t>
        </is>
      </c>
      <c r="G1917" t="inlineStr">
        <is>
          <t>Niterói</t>
        </is>
      </c>
      <c r="H1917" t="inlineStr">
        <is>
          <t>RJ</t>
        </is>
      </c>
      <c r="I1917" t="n">
        <v>7742</v>
      </c>
      <c r="J1917" t="inlineStr">
        <is>
          <t>CAT 5</t>
        </is>
      </c>
      <c r="K1917" t="inlineStr">
        <is>
          <t>Sim</t>
        </is>
      </c>
    </row>
    <row r="1918">
      <c r="A1918" s="1">
        <f>HYPERLINK("https://eurofarma-latam-crm.veevavault.com/#object/account__v/V4TZ00001916511", "Tiago Maia")</f>
        <v/>
      </c>
      <c r="B1918" s="1">
        <f>HYPERLINK("https://eurofarma-latam-crm.veevavault.com/#object/account__v/V4TZ00001916511", "Tiago Santos Maia")</f>
        <v/>
      </c>
      <c r="C1918" t="inlineStr">
        <is>
          <t>RJ1023985</t>
        </is>
      </c>
      <c r="D1918" t="inlineStr">
        <is>
          <t>ORT</t>
        </is>
      </c>
      <c r="E1918" t="inlineStr">
        <is>
          <t>Rua Leopoldo, 280</t>
        </is>
      </c>
      <c r="F1918" t="inlineStr">
        <is>
          <t>Andaraí</t>
        </is>
      </c>
      <c r="G1918" t="inlineStr">
        <is>
          <t>Rio de Janeiro</t>
        </is>
      </c>
      <c r="H1918" t="inlineStr">
        <is>
          <t>RJ</t>
        </is>
      </c>
      <c r="I1918" t="n">
        <v>7742</v>
      </c>
      <c r="J1918" t="inlineStr">
        <is>
          <t>CAT 5</t>
        </is>
      </c>
      <c r="K1918" t="inlineStr">
        <is>
          <t>Sim</t>
        </is>
      </c>
    </row>
    <row r="1919">
      <c r="A1919" s="1">
        <f>HYPERLINK("https://eurofarma-latam-crm.veevavault.com/#object/account__v/V4TZ000018NYA2F", "Vania Corda")</f>
        <v/>
      </c>
      <c r="B1919" s="1">
        <f>HYPERLINK("https://eurofarma-latam-crm.veevavault.com/#object/account__v/V4TZ000018NYA2F", "Vania Mara Alonso Corda")</f>
        <v/>
      </c>
      <c r="C1919" t="inlineStr">
        <is>
          <t>RJ0477306</t>
        </is>
      </c>
      <c r="D1919" t="inlineStr">
        <is>
          <t>PED</t>
        </is>
      </c>
      <c r="E1919" t="inlineStr">
        <is>
          <t>Rua Sá Barreto, 107</t>
        </is>
      </c>
      <c r="F1919" t="inlineStr">
        <is>
          <t>Fonseca</t>
        </is>
      </c>
      <c r="G1919" t="inlineStr">
        <is>
          <t>Niterói</t>
        </is>
      </c>
      <c r="H1919" t="inlineStr">
        <is>
          <t>RJ</t>
        </is>
      </c>
      <c r="I1919" t="n">
        <v>7742</v>
      </c>
      <c r="J1919" t="inlineStr">
        <is>
          <t>CAT 5</t>
        </is>
      </c>
      <c r="K1919" t="inlineStr">
        <is>
          <t>Sim</t>
        </is>
      </c>
    </row>
    <row r="1920">
      <c r="A1920" s="1">
        <f>HYPERLINK("https://eurofarma-latam-crm.veevavault.com/#object/account__v/V4TZ025E8B5UKKI", "Vania Rodriguez")</f>
        <v/>
      </c>
      <c r="B1920" s="1">
        <f>HYPERLINK("https://eurofarma-latam-crm.veevavault.com/#object/account__v/V4TZ025E8B5UKKI", "Vania Vanessa Gonzales Rodriguez")</f>
        <v/>
      </c>
      <c r="C1920" t="inlineStr">
        <is>
          <t>RJ1358324</t>
        </is>
      </c>
      <c r="D1920" t="inlineStr">
        <is>
          <t>CLG / PA</t>
        </is>
      </c>
      <c r="E1920" t="inlineStr">
        <is>
          <t>Rua Osório Costa, S/N</t>
        </is>
      </c>
      <c r="F1920" t="inlineStr">
        <is>
          <t>Colubande</t>
        </is>
      </c>
      <c r="G1920" t="inlineStr">
        <is>
          <t>São Gonçalo</t>
        </is>
      </c>
      <c r="H1920" t="inlineStr">
        <is>
          <t>RJ</t>
        </is>
      </c>
      <c r="I1920" t="n">
        <v>7742</v>
      </c>
      <c r="J1920" t="inlineStr">
        <is>
          <t>CAT 4</t>
        </is>
      </c>
      <c r="K1920" t="inlineStr">
        <is>
          <t>N�o</t>
        </is>
      </c>
    </row>
    <row r="1921">
      <c r="A1921" s="1">
        <f>HYPERLINK("https://eurofarma-latam-crm.veevavault.com/#object/account__v/V4TZ025E868RZ5I", "Victor Hugo Borges")</f>
        <v/>
      </c>
      <c r="B1921" s="1">
        <f>HYPERLINK("https://eurofarma-latam-crm.veevavault.com/#object/account__v/V4TZ025E868RZ5I", "Victor Hugo Delarue Noccioli Borges")</f>
        <v/>
      </c>
      <c r="C1921" t="inlineStr">
        <is>
          <t>RJ1312421,SP0284890</t>
        </is>
      </c>
      <c r="D1921" t="inlineStr">
        <is>
          <t>CLG / PA</t>
        </is>
      </c>
      <c r="E1921" t="inlineStr">
        <is>
          <t>Estrada do Pacheco, 7</t>
        </is>
      </c>
      <c r="F1921" t="inlineStr">
        <is>
          <t>Lagoinha</t>
        </is>
      </c>
      <c r="G1921" t="inlineStr">
        <is>
          <t>São Gonçalo</t>
        </is>
      </c>
      <c r="H1921" t="inlineStr">
        <is>
          <t>RJ</t>
        </is>
      </c>
      <c r="I1921" t="n">
        <v>7742</v>
      </c>
      <c r="J1921" t="inlineStr">
        <is>
          <t>CAT 5</t>
        </is>
      </c>
      <c r="K1921" t="inlineStr">
        <is>
          <t>Sim</t>
        </is>
      </c>
    </row>
    <row r="1922">
      <c r="A1922" s="1">
        <f>HYPERLINK("https://eurofarma-latam-crm.veevavault.com/#object/account__v/V4TZ00001913JID", "Victor Rodrigues")</f>
        <v/>
      </c>
      <c r="B1922" s="1">
        <f>HYPERLINK("https://eurofarma-latam-crm.veevavault.com/#object/account__v/V4TZ00001913JID", "Victor Rabello Cabral Rodrigues")</f>
        <v/>
      </c>
      <c r="C1922" t="inlineStr">
        <is>
          <t>RJ0962856</t>
        </is>
      </c>
      <c r="D1922" t="inlineStr">
        <is>
          <t>CLG / PA</t>
        </is>
      </c>
      <c r="E1922" t="inlineStr">
        <is>
          <t>Rua Luiz Leopoldo Fernandes Pinheiro, 521 Sala 909</t>
        </is>
      </c>
      <c r="F1922" t="inlineStr">
        <is>
          <t>Centro</t>
        </is>
      </c>
      <c r="G1922" t="inlineStr">
        <is>
          <t>Niterói</t>
        </is>
      </c>
      <c r="H1922" t="inlineStr">
        <is>
          <t>RJ</t>
        </is>
      </c>
      <c r="I1922" t="n">
        <v>7742</v>
      </c>
      <c r="J1922" t="inlineStr">
        <is>
          <t>CAT 5</t>
        </is>
      </c>
      <c r="K1922" t="inlineStr">
        <is>
          <t>Sim</t>
        </is>
      </c>
    </row>
    <row r="1923">
      <c r="A1923" s="1">
        <f>HYPERLINK("https://eurofarma-latam-crm.veevavault.com/#object/account__v/V4TZ025E85OT561", "Vinicius de Souza")</f>
        <v/>
      </c>
      <c r="B1923" s="1">
        <f>HYPERLINK("https://eurofarma-latam-crm.veevavault.com/#object/account__v/V4TZ025E85OT561", "Vinicius Possidente Bastos de Souza")</f>
        <v/>
      </c>
      <c r="C1923" t="inlineStr">
        <is>
          <t>RJ1317750</t>
        </is>
      </c>
      <c r="D1923" t="inlineStr">
        <is>
          <t>CLG / PA</t>
        </is>
      </c>
      <c r="E1923" t="inlineStr">
        <is>
          <t>Avenida Bispo Dom João da Mata, S/N</t>
        </is>
      </c>
      <c r="F1923" t="inlineStr">
        <is>
          <t>Laranjal</t>
        </is>
      </c>
      <c r="G1923" t="inlineStr">
        <is>
          <t>São Gonçalo</t>
        </is>
      </c>
      <c r="H1923" t="inlineStr">
        <is>
          <t>RJ</t>
        </is>
      </c>
      <c r="I1923" t="n">
        <v>7742</v>
      </c>
      <c r="J1923" t="inlineStr"/>
      <c r="K1923" t="inlineStr"/>
    </row>
    <row r="1924">
      <c r="A1924" s="1">
        <f>HYPERLINK("https://eurofarma-latam-crm.veevavault.com/#object/account__v/V4TZ000018NY8RP", "Vitor Vieira")</f>
        <v/>
      </c>
      <c r="B1924" s="1">
        <f>HYPERLINK("https://eurofarma-latam-crm.veevavault.com/#object/account__v/V4TZ000018NY8RP", "Vitor Vinder de Oliveira Vieira")</f>
        <v/>
      </c>
      <c r="C1924" t="inlineStr">
        <is>
          <t>RJ0868418</t>
        </is>
      </c>
      <c r="D1924" t="inlineStr">
        <is>
          <t>PSQ</t>
        </is>
      </c>
      <c r="E1924" t="inlineStr">
        <is>
          <t>Avenida Presidente Kennedy, 735 - Sala 1104</t>
        </is>
      </c>
      <c r="F1924" t="inlineStr">
        <is>
          <t>Estrela do Norte</t>
        </is>
      </c>
      <c r="G1924" t="inlineStr">
        <is>
          <t>São Gonçalo</t>
        </is>
      </c>
      <c r="H1924" t="inlineStr">
        <is>
          <t>RJ</t>
        </is>
      </c>
      <c r="I1924" t="n">
        <v>7742</v>
      </c>
      <c r="J1924" t="inlineStr">
        <is>
          <t>CAT 3</t>
        </is>
      </c>
      <c r="K1924" t="inlineStr">
        <is>
          <t>Sim</t>
        </is>
      </c>
    </row>
    <row r="1925">
      <c r="A1925" s="1">
        <f>HYPERLINK("https://eurofarma-latam-crm.veevavault.com/#object/account__v/V4TZ025E88O8UVH", "Vitória Freitas")</f>
        <v/>
      </c>
      <c r="B1925" s="1">
        <f>HYPERLINK("https://eurofarma-latam-crm.veevavault.com/#object/account__v/V4TZ025E88O8UVH", "Vitória Cabral de Freitas")</f>
        <v/>
      </c>
      <c r="C1925" t="inlineStr">
        <is>
          <t>RJ1327887</t>
        </is>
      </c>
      <c r="D1925" t="inlineStr">
        <is>
          <t>CLG / PA</t>
        </is>
      </c>
      <c r="E1925" t="inlineStr">
        <is>
          <t>Avenida Bispo Dom João da Mata, S/N</t>
        </is>
      </c>
      <c r="F1925" t="inlineStr">
        <is>
          <t>Laranjal</t>
        </is>
      </c>
      <c r="G1925" t="inlineStr">
        <is>
          <t>São Gonçalo</t>
        </is>
      </c>
      <c r="H1925" t="inlineStr">
        <is>
          <t>RJ</t>
        </is>
      </c>
      <c r="I1925" t="n">
        <v>7742</v>
      </c>
      <c r="J1925" t="inlineStr">
        <is>
          <t>CAT 4</t>
        </is>
      </c>
      <c r="K1925" t="inlineStr">
        <is>
          <t>Sim</t>
        </is>
      </c>
    </row>
    <row r="1926">
      <c r="A1926" s="1">
        <f>HYPERLINK("https://eurofarma-latam-crm.veevavault.com/#object/account__v/V4TZ0000191FSZ2", "Wanda Cardoso")</f>
        <v/>
      </c>
      <c r="B1926" s="1">
        <f>HYPERLINK("https://eurofarma-latam-crm.veevavault.com/#object/account__v/V4TZ0000191FSZ2", "Wanda Claudia Massiere Correa Cardoso")</f>
        <v/>
      </c>
      <c r="C1926" t="inlineStr">
        <is>
          <t>RJ0920517</t>
        </is>
      </c>
      <c r="D1926" t="inlineStr">
        <is>
          <t>CLG / PA</t>
        </is>
      </c>
      <c r="E1926" t="inlineStr">
        <is>
          <t>Rua Sá Barreto, 107</t>
        </is>
      </c>
      <c r="F1926" t="inlineStr">
        <is>
          <t>Fonseca</t>
        </is>
      </c>
      <c r="G1926" t="inlineStr">
        <is>
          <t>Niterói</t>
        </is>
      </c>
      <c r="H1926" t="inlineStr">
        <is>
          <t>RJ</t>
        </is>
      </c>
      <c r="I1926" t="n">
        <v>7742</v>
      </c>
      <c r="J1926" t="inlineStr">
        <is>
          <t>CAT 5</t>
        </is>
      </c>
      <c r="K1926" t="inlineStr">
        <is>
          <t>Sim</t>
        </is>
      </c>
    </row>
    <row r="1927">
      <c r="A1927" s="1">
        <f>HYPERLINK("https://eurofarma-latam-crm.veevavault.com/#object/account__v/V4TZ00001913BE8", "Wander Luis Cordeiro")</f>
        <v/>
      </c>
      <c r="B1927" s="1">
        <f>HYPERLINK("https://eurofarma-latam-crm.veevavault.com/#object/account__v/V4TZ00001913BE8", "Wander Luis Batista Cordeiro")</f>
        <v/>
      </c>
      <c r="C1927" t="inlineStr">
        <is>
          <t>RJ0614838</t>
        </is>
      </c>
      <c r="D1927" t="inlineStr">
        <is>
          <t>CLG</t>
        </is>
      </c>
      <c r="E1927" t="inlineStr">
        <is>
          <t>Alameda Pio XII, S/N</t>
        </is>
      </c>
      <c r="F1927" t="inlineStr">
        <is>
          <t>Centro</t>
        </is>
      </c>
      <c r="G1927" t="inlineStr">
        <is>
          <t>São Gonçalo</t>
        </is>
      </c>
      <c r="H1927" t="inlineStr">
        <is>
          <t>RJ</t>
        </is>
      </c>
      <c r="I1927" t="n">
        <v>7742</v>
      </c>
      <c r="J1927" t="inlineStr">
        <is>
          <t>CAT 4</t>
        </is>
      </c>
      <c r="K1927" t="inlineStr">
        <is>
          <t>Sim</t>
        </is>
      </c>
    </row>
    <row r="1928">
      <c r="A1928" s="1">
        <f>HYPERLINK("https://eurofarma-latam-crm.veevavault.com/#object/account__v/V4TZ00001913XH7", "Washington Araujo")</f>
        <v/>
      </c>
      <c r="B1928" s="1">
        <f>HYPERLINK("https://eurofarma-latam-crm.veevavault.com/#object/account__v/V4TZ00001913XH7", "Washington Barbosa de Araujo")</f>
        <v/>
      </c>
      <c r="C1928" t="inlineStr">
        <is>
          <t>RJ0335744</t>
        </is>
      </c>
      <c r="D1928" t="inlineStr">
        <is>
          <t>CLG</t>
        </is>
      </c>
      <c r="E1928" t="inlineStr">
        <is>
          <t>Rua Doutor Nilo Peçanha, 346</t>
        </is>
      </c>
      <c r="F1928" t="inlineStr">
        <is>
          <t>Estrela do Norte</t>
        </is>
      </c>
      <c r="G1928" t="inlineStr">
        <is>
          <t>São Gonçalo</t>
        </is>
      </c>
      <c r="H1928" t="inlineStr">
        <is>
          <t>RJ</t>
        </is>
      </c>
      <c r="I1928" t="n">
        <v>7742</v>
      </c>
      <c r="J1928" t="inlineStr">
        <is>
          <t>CAT 5</t>
        </is>
      </c>
      <c r="K1928" t="inlineStr">
        <is>
          <t>N�o</t>
        </is>
      </c>
    </row>
    <row r="1929">
      <c r="A1929" s="1">
        <f>HYPERLINK("https://eurofarma-latam-crm.veevavault.com/#object/account__v/V4TZ000018NXICB", "Weslem Rabelo")</f>
        <v/>
      </c>
      <c r="B1929" s="1">
        <f>HYPERLINK("https://eurofarma-latam-crm.veevavault.com/#object/account__v/V4TZ000018NXICB", "Weslem Silva Rabelo")</f>
        <v/>
      </c>
      <c r="C1929" t="inlineStr">
        <is>
          <t>RJ0032127</t>
        </is>
      </c>
      <c r="D1929" t="inlineStr">
        <is>
          <t>CLG</t>
        </is>
      </c>
      <c r="E1929" t="inlineStr">
        <is>
          <t>Travessa Jorge Soares, 196</t>
        </is>
      </c>
      <c r="F1929" t="inlineStr">
        <is>
          <t>Clínica Saadi Instituto De Saúde Ctr</t>
        </is>
      </c>
      <c r="G1929" t="inlineStr">
        <is>
          <t>São Gonçalo</t>
        </is>
      </c>
      <c r="H1929" t="inlineStr">
        <is>
          <t>RJ</t>
        </is>
      </c>
      <c r="I1929" t="n">
        <v>7742</v>
      </c>
      <c r="J1929" t="inlineStr">
        <is>
          <t>CAT 4</t>
        </is>
      </c>
      <c r="K1929" t="inlineStr">
        <is>
          <t>Sim</t>
        </is>
      </c>
    </row>
    <row r="1930">
      <c r="A1930" s="1">
        <f>HYPERLINK("https://eurofarma-latam-crm.veevavault.com/#object/account__v/V4TZ025E84D9V1V", "Yan Barbosa")</f>
        <v/>
      </c>
      <c r="B1930" s="1">
        <f>HYPERLINK("https://eurofarma-latam-crm.veevavault.com/#object/account__v/V4TZ025E84D9V1V", "Yan Barcelos Barbosa")</f>
        <v/>
      </c>
      <c r="C1930" t="inlineStr">
        <is>
          <t>RJ1154516</t>
        </is>
      </c>
      <c r="D1930" t="inlineStr">
        <is>
          <t>URO</t>
        </is>
      </c>
      <c r="E1930" t="inlineStr">
        <is>
          <t>Rua Teixeira de Freitas, 30</t>
        </is>
      </c>
      <c r="F1930" t="inlineStr">
        <is>
          <t>Fonseca</t>
        </is>
      </c>
      <c r="G1930" t="inlineStr">
        <is>
          <t>Niterói</t>
        </is>
      </c>
      <c r="H1930" t="inlineStr">
        <is>
          <t>RJ</t>
        </is>
      </c>
      <c r="I1930" t="n">
        <v>7742</v>
      </c>
      <c r="J1930" t="inlineStr">
        <is>
          <t>CAT 5</t>
        </is>
      </c>
      <c r="K1930" t="inlineStr">
        <is>
          <t>N�o</t>
        </is>
      </c>
    </row>
    <row r="1931">
      <c r="A1931" s="1">
        <f>HYPERLINK("https://eurofarma-latam-crm.veevavault.com/#object/account__v/V4TZ025E8EU6RLS", "Ylana Freitas")</f>
        <v/>
      </c>
      <c r="B1931" s="1">
        <f>HYPERLINK("https://eurofarma-latam-crm.veevavault.com/#object/account__v/V4TZ025E8EU6RLS", "Ylana Gonçalves Freitas")</f>
        <v/>
      </c>
      <c r="C1931" t="inlineStr">
        <is>
          <t>RJ1342169</t>
        </is>
      </c>
      <c r="D1931" t="inlineStr">
        <is>
          <t>CLG / PA</t>
        </is>
      </c>
      <c r="E1931" t="inlineStr">
        <is>
          <t>Rodovia Washington Luiz, 3200</t>
        </is>
      </c>
      <c r="F1931" t="inlineStr">
        <is>
          <t>Vila São Luís</t>
        </is>
      </c>
      <c r="G1931" t="inlineStr">
        <is>
          <t>Duque de Caxias</t>
        </is>
      </c>
      <c r="H1931" t="inlineStr">
        <is>
          <t>RJ</t>
        </is>
      </c>
      <c r="I1931" t="n">
        <v>7742</v>
      </c>
      <c r="J1931" t="inlineStr">
        <is>
          <t>CAT 4</t>
        </is>
      </c>
      <c r="K1931" t="inlineStr">
        <is>
          <t>Sim</t>
        </is>
      </c>
    </row>
    <row r="1932">
      <c r="A1932" s="1">
        <f>HYPERLINK("https://eurofarma-latam-crm.veevavault.com/#object/account__v/V4TZ000018NXZ9F", "Yrapua Gama")</f>
        <v/>
      </c>
      <c r="B1932" s="1">
        <f>HYPERLINK("https://eurofarma-latam-crm.veevavault.com/#object/account__v/V4TZ000018NXZ9F", "Yrapua Lourival de Araujo Gama")</f>
        <v/>
      </c>
      <c r="C1932" t="inlineStr">
        <is>
          <t>RJ0695262</t>
        </is>
      </c>
      <c r="D1932" t="inlineStr">
        <is>
          <t>ORT</t>
        </is>
      </c>
      <c r="E1932" t="inlineStr">
        <is>
          <t>Rua Senador Fernando Mendes, 1346</t>
        </is>
      </c>
      <c r="F1932" t="inlineStr">
        <is>
          <t>Centro</t>
        </is>
      </c>
      <c r="G1932" t="inlineStr">
        <is>
          <t>Nilópolis</t>
        </is>
      </c>
      <c r="H1932" t="inlineStr">
        <is>
          <t>RJ</t>
        </is>
      </c>
      <c r="I1932" t="n">
        <v>7742</v>
      </c>
      <c r="J1932" t="inlineStr">
        <is>
          <t>CAT 2</t>
        </is>
      </c>
      <c r="K1932" t="inlineStr">
        <is>
          <t>Sim</t>
        </is>
      </c>
    </row>
    <row r="1933">
      <c r="A1933" s="1">
        <f>HYPERLINK("https://eurofarma-latam-crm.veevavault.com/#object/account__v/V4TZ00001915WU6", "Adayr de Oliveira")</f>
        <v/>
      </c>
      <c r="B1933" s="1">
        <f>HYPERLINK("https://eurofarma-latam-crm.veevavault.com/#object/account__v/V4TZ00001915WU6", "Adayr de Oliveira")</f>
        <v/>
      </c>
      <c r="C1933" t="inlineStr">
        <is>
          <t>RJ0325183</t>
        </is>
      </c>
      <c r="D1933" t="inlineStr">
        <is>
          <t>NEU</t>
        </is>
      </c>
      <c r="E1933" t="inlineStr">
        <is>
          <t>Avenida Rio Branco, 156 - Sala 1413 e 1414</t>
        </is>
      </c>
      <c r="F1933" t="inlineStr">
        <is>
          <t>Centro</t>
        </is>
      </c>
      <c r="G1933" t="inlineStr">
        <is>
          <t>Rio de Janeiro</t>
        </is>
      </c>
      <c r="H1933" t="inlineStr">
        <is>
          <t>RJ</t>
        </is>
      </c>
      <c r="I1933" t="n">
        <v>7745</v>
      </c>
      <c r="J1933" t="inlineStr">
        <is>
          <t>CAT 3</t>
        </is>
      </c>
      <c r="K1933" t="inlineStr">
        <is>
          <t>Sim</t>
        </is>
      </c>
    </row>
    <row r="1934">
      <c r="A1934" s="1">
        <f>HYPERLINK("https://eurofarma-latam-crm.veevavault.com/#object/account__v/V4TZ000019161JF", "Akysa Borges")</f>
        <v/>
      </c>
      <c r="B1934" s="1">
        <f>HYPERLINK("https://eurofarma-latam-crm.veevavault.com/#object/account__v/V4TZ000019161JF", "Akysa Kyvia Amado Borges")</f>
        <v/>
      </c>
      <c r="C1934" t="inlineStr">
        <is>
          <t>RJ1127667</t>
        </is>
      </c>
      <c r="D1934" t="inlineStr">
        <is>
          <t>PED</t>
        </is>
      </c>
      <c r="E1934" t="inlineStr">
        <is>
          <t>Rua da Conceição, 188 - 1304B</t>
        </is>
      </c>
      <c r="F1934" t="inlineStr">
        <is>
          <t>Centro</t>
        </is>
      </c>
      <c r="G1934" t="inlineStr">
        <is>
          <t>Niterói</t>
        </is>
      </c>
      <c r="H1934" t="inlineStr">
        <is>
          <t>RJ</t>
        </is>
      </c>
      <c r="I1934" t="n">
        <v>7745</v>
      </c>
      <c r="J1934" t="inlineStr">
        <is>
          <t>CAT 4</t>
        </is>
      </c>
      <c r="K1934" t="inlineStr">
        <is>
          <t>Sim</t>
        </is>
      </c>
    </row>
    <row r="1935">
      <c r="A1935" s="1">
        <f>HYPERLINK("https://eurofarma-latam-crm.veevavault.com/#object/account__v/V4TZ000018NYQGF", "Albertina Capelo")</f>
        <v/>
      </c>
      <c r="B1935" s="1">
        <f>HYPERLINK("https://eurofarma-latam-crm.veevavault.com/#object/account__v/V4TZ000018NYQGF", "Albertina Varandas Capelo")</f>
        <v/>
      </c>
      <c r="C1935" t="inlineStr">
        <is>
          <t>RJ0534480</t>
        </is>
      </c>
      <c r="D1935" t="inlineStr">
        <is>
          <t>ORL</t>
        </is>
      </c>
      <c r="E1935" t="inlineStr">
        <is>
          <t>Rua Mariz e Barros, 775</t>
        </is>
      </c>
      <c r="F1935" t="inlineStr">
        <is>
          <t>Maracanã</t>
        </is>
      </c>
      <c r="G1935" t="inlineStr">
        <is>
          <t>Rio de Janeiro</t>
        </is>
      </c>
      <c r="H1935" t="inlineStr">
        <is>
          <t>RJ</t>
        </is>
      </c>
      <c r="I1935" t="n">
        <v>7745</v>
      </c>
      <c r="J1935" t="inlineStr">
        <is>
          <t>CAT 3</t>
        </is>
      </c>
      <c r="K1935" t="inlineStr">
        <is>
          <t>Sim</t>
        </is>
      </c>
    </row>
    <row r="1936">
      <c r="A1936" s="1">
        <f>HYPERLINK("https://eurofarma-latam-crm.veevavault.com/#object/account__v/V4TZ0000191634Q", "Alejandro Francisco Chacon")</f>
        <v/>
      </c>
      <c r="B1936" s="1">
        <f>HYPERLINK("https://eurofarma-latam-crm.veevavault.com/#object/account__v/V4TZ0000191634Q", "Alejandro Francisco Narvaez Chacon")</f>
        <v/>
      </c>
      <c r="C1936" t="inlineStr">
        <is>
          <t>RJ0556664</t>
        </is>
      </c>
      <c r="D1936" t="inlineStr">
        <is>
          <t>URO</t>
        </is>
      </c>
      <c r="E1936" t="inlineStr">
        <is>
          <t>Avenida Nossa Senhora de Copacabana, 647, 647 - Sala 1115</t>
        </is>
      </c>
      <c r="F1936" t="inlineStr">
        <is>
          <t>Copacabana</t>
        </is>
      </c>
      <c r="G1936" t="inlineStr">
        <is>
          <t>Rio de Janeiro</t>
        </is>
      </c>
      <c r="H1936" t="inlineStr">
        <is>
          <t>RJ</t>
        </is>
      </c>
      <c r="I1936" t="n">
        <v>7745</v>
      </c>
      <c r="J1936" t="inlineStr">
        <is>
          <t>CAT 5</t>
        </is>
      </c>
      <c r="K1936" t="inlineStr">
        <is>
          <t>Sim</t>
        </is>
      </c>
    </row>
    <row r="1937">
      <c r="A1937" s="1">
        <f>HYPERLINK("https://eurofarma-latam-crm.veevavault.com/#object/account__v/V4TZ025E831TG22", "Alex Flavio de Chiara")</f>
        <v/>
      </c>
      <c r="B1937" s="1">
        <f>HYPERLINK("https://eurofarma-latam-crm.veevavault.com/#object/account__v/V4TZ025E831TG22", "Alex Flavio Mare de Chiara")</f>
        <v/>
      </c>
      <c r="C1937" t="inlineStr">
        <is>
          <t>RJ0685933</t>
        </is>
      </c>
      <c r="D1937" t="inlineStr">
        <is>
          <t>URO</t>
        </is>
      </c>
      <c r="E1937" t="inlineStr">
        <is>
          <t>Rua Barata Ribeiro, 543 - Sala 503</t>
        </is>
      </c>
      <c r="F1937" t="inlineStr">
        <is>
          <t>Copacabana</t>
        </is>
      </c>
      <c r="G1937" t="inlineStr">
        <is>
          <t>Rio de Janeiro</t>
        </is>
      </c>
      <c r="H1937" t="inlineStr">
        <is>
          <t>RJ</t>
        </is>
      </c>
      <c r="I1937" t="n">
        <v>7745</v>
      </c>
      <c r="J1937" t="inlineStr">
        <is>
          <t>CAT 5</t>
        </is>
      </c>
      <c r="K1937" t="inlineStr">
        <is>
          <t>Sim</t>
        </is>
      </c>
    </row>
    <row r="1938">
      <c r="A1938" s="1">
        <f>HYPERLINK("https://eurofarma-latam-crm.veevavault.com/#object/account__v/V4TZ000018NYXVA", "Aline Felicidade")</f>
        <v/>
      </c>
      <c r="B1938" s="1">
        <f>HYPERLINK("https://eurofarma-latam-crm.veevavault.com/#object/account__v/V4TZ000018NYXVA", "Aline Caroline Freitas da Felicidade")</f>
        <v/>
      </c>
      <c r="C1938" t="inlineStr">
        <is>
          <t>RJ1017578</t>
        </is>
      </c>
      <c r="D1938" t="inlineStr">
        <is>
          <t>PSQ</t>
        </is>
      </c>
      <c r="E1938" t="inlineStr">
        <is>
          <t>Rua Dom Marcos Barbosa, 2 - Sala 201</t>
        </is>
      </c>
      <c r="F1938" t="inlineStr">
        <is>
          <t>Cidade Nova</t>
        </is>
      </c>
      <c r="G1938" t="inlineStr">
        <is>
          <t>Rio de Janeiro</t>
        </is>
      </c>
      <c r="H1938" t="inlineStr">
        <is>
          <t>RJ</t>
        </is>
      </c>
      <c r="I1938" t="n">
        <v>7745</v>
      </c>
      <c r="J1938" t="inlineStr">
        <is>
          <t>CAT 2</t>
        </is>
      </c>
      <c r="K1938" t="inlineStr">
        <is>
          <t>Sim</t>
        </is>
      </c>
    </row>
    <row r="1939">
      <c r="A1939" s="1">
        <f>HYPERLINK("https://eurofarma-latam-crm.veevavault.com/#object/account__v/V4TZ0000191512S", "Aloísio de Schueler Junior")</f>
        <v/>
      </c>
      <c r="B1939" s="1">
        <f>HYPERLINK("https://eurofarma-latam-crm.veevavault.com/#object/account__v/V4TZ0000191512S", "Aloísio de Schueler Junior")</f>
        <v/>
      </c>
      <c r="C1939" t="inlineStr">
        <is>
          <t>RJ0424971</t>
        </is>
      </c>
      <c r="D1939" t="inlineStr">
        <is>
          <t>GAS</t>
        </is>
      </c>
      <c r="E1939" t="inlineStr">
        <is>
          <t>Rua da Capela, 96</t>
        </is>
      </c>
      <c r="F1939" t="inlineStr">
        <is>
          <t>Piedade</t>
        </is>
      </c>
      <c r="G1939" t="inlineStr">
        <is>
          <t>Rio de Janeiro</t>
        </is>
      </c>
      <c r="H1939" t="inlineStr">
        <is>
          <t>RJ</t>
        </is>
      </c>
      <c r="I1939" t="n">
        <v>7745</v>
      </c>
      <c r="J1939" t="inlineStr">
        <is>
          <t>CAT 3</t>
        </is>
      </c>
      <c r="K1939" t="inlineStr">
        <is>
          <t>Sim</t>
        </is>
      </c>
    </row>
    <row r="1940">
      <c r="A1940" s="1">
        <f>HYPERLINK("https://eurofarma-latam-crm.veevavault.com/#object/account__v/V4TZ000019142DE", "Alzira de Fátima Ferreira")</f>
        <v/>
      </c>
      <c r="B1940" s="1">
        <f>HYPERLINK("https://eurofarma-latam-crm.veevavault.com/#object/account__v/V4TZ000019142DE", "Alzira de Fátima Nascimento Ferreira")</f>
        <v/>
      </c>
      <c r="C1940" t="inlineStr">
        <is>
          <t>RJ0395404</t>
        </is>
      </c>
      <c r="D1940" t="inlineStr">
        <is>
          <t>CLG</t>
        </is>
      </c>
      <c r="E1940" t="inlineStr">
        <is>
          <t>Avenida Rio Branco, 120 - 14 Andar</t>
        </is>
      </c>
      <c r="F1940" t="inlineStr">
        <is>
          <t>Centro</t>
        </is>
      </c>
      <c r="G1940" t="inlineStr">
        <is>
          <t>Rio de Janeiro</t>
        </is>
      </c>
      <c r="H1940" t="inlineStr">
        <is>
          <t>RJ</t>
        </is>
      </c>
      <c r="I1940" t="n">
        <v>7745</v>
      </c>
      <c r="J1940" t="inlineStr">
        <is>
          <t>CAT 5</t>
        </is>
      </c>
      <c r="K1940" t="inlineStr">
        <is>
          <t>Sim</t>
        </is>
      </c>
    </row>
    <row r="1941">
      <c r="A1941" s="1">
        <f>HYPERLINK("https://eurofarma-latam-crm.veevavault.com/#object/account__v/V4TZ025E859YOXY", "Amannda Andrade")</f>
        <v/>
      </c>
      <c r="B1941" s="1">
        <f>HYPERLINK("https://eurofarma-latam-crm.veevavault.com/#object/account__v/V4TZ025E859YOXY", "Amannda Oliveira Rodrigues Andrade")</f>
        <v/>
      </c>
      <c r="C1941" t="inlineStr">
        <is>
          <t>RJ1008145</t>
        </is>
      </c>
      <c r="D1941" t="inlineStr">
        <is>
          <t>PED</t>
        </is>
      </c>
      <c r="E1941" t="inlineStr">
        <is>
          <t>Avenida Luiz Fernando de Oliveira Nanci, S/N - Lote 18 Quadra 4</t>
        </is>
      </c>
      <c r="F1941" t="inlineStr">
        <is>
          <t>Nancilândia</t>
        </is>
      </c>
      <c r="G1941" t="inlineStr">
        <is>
          <t>Itaboraí</t>
        </is>
      </c>
      <c r="H1941" t="inlineStr">
        <is>
          <t>RJ</t>
        </is>
      </c>
      <c r="I1941" t="n">
        <v>7745</v>
      </c>
      <c r="J1941" t="inlineStr">
        <is>
          <t>CAT 4</t>
        </is>
      </c>
      <c r="K1941" t="inlineStr">
        <is>
          <t>Sim</t>
        </is>
      </c>
    </row>
    <row r="1942">
      <c r="A1942" s="1">
        <f>HYPERLINK("https://eurofarma-latam-crm.veevavault.com/#object/account__v/V4TZ025E8EXZQMM", "Ana Araujo")</f>
        <v/>
      </c>
      <c r="B1942" s="1">
        <f>HYPERLINK("https://eurofarma-latam-crm.veevavault.com/#object/account__v/V4TZ025E8EXZQMM", "Ana Carolina Amorim Possas de Araujo")</f>
        <v/>
      </c>
      <c r="C1942" t="inlineStr">
        <is>
          <t>RJ0742708</t>
        </is>
      </c>
      <c r="D1942" t="inlineStr"/>
      <c r="E1942" t="inlineStr">
        <is>
          <t>Rua Doutor Celestino, 122 - Sala 916</t>
        </is>
      </c>
      <c r="F1942" t="inlineStr">
        <is>
          <t>Centro</t>
        </is>
      </c>
      <c r="G1942" t="inlineStr">
        <is>
          <t>Niterói</t>
        </is>
      </c>
      <c r="H1942" t="inlineStr">
        <is>
          <t>RJ</t>
        </is>
      </c>
      <c r="I1942" t="n">
        <v>7745</v>
      </c>
      <c r="J1942" t="inlineStr"/>
      <c r="K1942" t="inlineStr"/>
    </row>
    <row r="1943">
      <c r="A1943" s="1">
        <f>HYPERLINK("https://eurofarma-latam-crm.veevavault.com/#object/account__v/V4TZ00001914XJG", "Ana Bernardes")</f>
        <v/>
      </c>
      <c r="B1943" s="1">
        <f>HYPERLINK("https://eurofarma-latam-crm.veevavault.com/#object/account__v/V4TZ00001914XJG", "Ana Paula Cutri de Barros Bernardes")</f>
        <v/>
      </c>
      <c r="C1943" t="inlineStr">
        <is>
          <t>RJ0619480</t>
        </is>
      </c>
      <c r="D1943" t="inlineStr">
        <is>
          <t>ORT</t>
        </is>
      </c>
      <c r="E1943" t="inlineStr">
        <is>
          <t>Rua da Assembléia, 40 - 2 E 3 Andar</t>
        </is>
      </c>
      <c r="F1943" t="inlineStr">
        <is>
          <t>Centro</t>
        </is>
      </c>
      <c r="G1943" t="inlineStr">
        <is>
          <t>Rio de Janeiro</t>
        </is>
      </c>
      <c r="H1943" t="inlineStr">
        <is>
          <t>RJ</t>
        </is>
      </c>
      <c r="I1943" t="n">
        <v>7745</v>
      </c>
      <c r="J1943" t="inlineStr">
        <is>
          <t>CAT 2</t>
        </is>
      </c>
      <c r="K1943" t="inlineStr">
        <is>
          <t>Sim</t>
        </is>
      </c>
    </row>
    <row r="1944">
      <c r="A1944" s="1">
        <f>HYPERLINK("https://eurofarma-latam-crm.veevavault.com/#object/account__v/V4TZ000018NXNPY", "Ana Carolina Radun")</f>
        <v/>
      </c>
      <c r="B1944" s="1">
        <f>HYPERLINK("https://eurofarma-latam-crm.veevavault.com/#object/account__v/V4TZ000018NXNPY", "Ana Carolina Filgueiras Teles Radun")</f>
        <v/>
      </c>
      <c r="C1944" t="inlineStr">
        <is>
          <t>RJ0934267</t>
        </is>
      </c>
      <c r="D1944" t="inlineStr">
        <is>
          <t>ORL</t>
        </is>
      </c>
      <c r="E1944" t="inlineStr">
        <is>
          <t>Largo do Ibam, 01 - 1 e 2 Andar</t>
        </is>
      </c>
      <c r="F1944" t="inlineStr">
        <is>
          <t>Humaitá</t>
        </is>
      </c>
      <c r="G1944" t="inlineStr">
        <is>
          <t>Rio de Janeiro</t>
        </is>
      </c>
      <c r="H1944" t="inlineStr">
        <is>
          <t>RJ</t>
        </is>
      </c>
      <c r="I1944" t="n">
        <v>7745</v>
      </c>
      <c r="J1944" t="inlineStr">
        <is>
          <t>CAT 3</t>
        </is>
      </c>
      <c r="K1944" t="inlineStr">
        <is>
          <t>Sim</t>
        </is>
      </c>
    </row>
    <row r="1945">
      <c r="A1945" s="1">
        <f>HYPERLINK("https://eurofarma-latam-crm.veevavault.com/#object/account__v/V4TZ00001914CQ2", "Ana Carolina Rodrigues da Cunha")</f>
        <v/>
      </c>
      <c r="B1945" s="1">
        <f>HYPERLINK("https://eurofarma-latam-crm.veevavault.com/#object/account__v/V4TZ00001914CQ2", "Ana Carolina Dias Fernandes Rodrigues da Cunha")</f>
        <v/>
      </c>
      <c r="C1945" t="inlineStr">
        <is>
          <t>RJ0860590</t>
        </is>
      </c>
      <c r="D1945" t="inlineStr">
        <is>
          <t>ORL</t>
        </is>
      </c>
      <c r="E1945" t="inlineStr">
        <is>
          <t>Rua General Severiano, 91</t>
        </is>
      </c>
      <c r="F1945" t="inlineStr">
        <is>
          <t>Botafogo</t>
        </is>
      </c>
      <c r="G1945" t="inlineStr">
        <is>
          <t>Rio de Janeiro</t>
        </is>
      </c>
      <c r="H1945" t="inlineStr">
        <is>
          <t>RJ</t>
        </is>
      </c>
      <c r="I1945" t="n">
        <v>7745</v>
      </c>
      <c r="J1945" t="inlineStr">
        <is>
          <t>CAT 3</t>
        </is>
      </c>
      <c r="K1945" t="inlineStr">
        <is>
          <t>Sim</t>
        </is>
      </c>
    </row>
    <row r="1946">
      <c r="A1946" s="1">
        <f>HYPERLINK("https://eurofarma-latam-crm.veevavault.com/#object/account__v/V4TZ000018NYDHX", "Ana Carolina Salerno")</f>
        <v/>
      </c>
      <c r="B1946" s="1">
        <f>HYPERLINK("https://eurofarma-latam-crm.veevavault.com/#object/account__v/V4TZ000018NYDHX", "Ana Carolina Mendonça Salerno")</f>
        <v/>
      </c>
      <c r="C1946" t="inlineStr">
        <is>
          <t>RJ0961728</t>
        </is>
      </c>
      <c r="D1946" t="inlineStr">
        <is>
          <t>END</t>
        </is>
      </c>
      <c r="E1946" t="inlineStr">
        <is>
          <t>Rua Visconde de Itamarati, 16 - A</t>
        </is>
      </c>
      <c r="F1946" t="inlineStr">
        <is>
          <t>Maracanã</t>
        </is>
      </c>
      <c r="G1946" t="inlineStr">
        <is>
          <t>Rio de Janeiro</t>
        </is>
      </c>
      <c r="H1946" t="inlineStr">
        <is>
          <t>RJ</t>
        </is>
      </c>
      <c r="I1946" t="n">
        <v>7745</v>
      </c>
      <c r="J1946" t="inlineStr">
        <is>
          <t>CAT 2</t>
        </is>
      </c>
      <c r="K1946" t="inlineStr">
        <is>
          <t>Sim</t>
        </is>
      </c>
    </row>
    <row r="1947">
      <c r="A1947" s="1">
        <f>HYPERLINK("https://eurofarma-latam-crm.veevavault.com/#object/account__v/V4TZ00001915XCJ", "Ana da Fonseca")</f>
        <v/>
      </c>
      <c r="B1947" s="1">
        <f>HYPERLINK("https://eurofarma-latam-crm.veevavault.com/#object/account__v/V4TZ00001915XCJ", "Ana Monica Siqueira da Fonseca")</f>
        <v/>
      </c>
      <c r="C1947" t="inlineStr">
        <is>
          <t>RJ0532155</t>
        </is>
      </c>
      <c r="D1947" t="inlineStr">
        <is>
          <t>ORL</t>
        </is>
      </c>
      <c r="E1947" t="inlineStr">
        <is>
          <t>Rua Sete de Setembro, 92</t>
        </is>
      </c>
      <c r="F1947" t="inlineStr">
        <is>
          <t>Centro</t>
        </is>
      </c>
      <c r="G1947" t="inlineStr">
        <is>
          <t>Rio de Janeiro</t>
        </is>
      </c>
      <c r="H1947" t="inlineStr">
        <is>
          <t>RJ</t>
        </is>
      </c>
      <c r="I1947" t="n">
        <v>7745</v>
      </c>
      <c r="J1947" t="inlineStr">
        <is>
          <t>CAT 3</t>
        </is>
      </c>
      <c r="K1947" t="inlineStr">
        <is>
          <t>Sim</t>
        </is>
      </c>
    </row>
    <row r="1948">
      <c r="A1948" s="1">
        <f>HYPERLINK("https://eurofarma-latam-crm.veevavault.com/#object/account__v/V4T00000000T059", "Ana Maria Bastos")</f>
        <v/>
      </c>
      <c r="B1948" s="1">
        <f>HYPERLINK("https://eurofarma-latam-crm.veevavault.com/#object/account__v/V4T00000000T059", "Ana Maria Coelho Bastos")</f>
        <v/>
      </c>
      <c r="C1948" t="inlineStr">
        <is>
          <t>RJ1146084</t>
        </is>
      </c>
      <c r="D1948" t="inlineStr">
        <is>
          <t>PED</t>
        </is>
      </c>
      <c r="E1948" t="inlineStr">
        <is>
          <t>Rua Guilherme Briggs, 51</t>
        </is>
      </c>
      <c r="F1948" t="inlineStr">
        <is>
          <t>São Domingos</t>
        </is>
      </c>
      <c r="G1948" t="inlineStr">
        <is>
          <t>Niterói</t>
        </is>
      </c>
      <c r="H1948" t="inlineStr">
        <is>
          <t>RJ</t>
        </is>
      </c>
      <c r="I1948" t="n">
        <v>7745</v>
      </c>
      <c r="J1948" t="inlineStr"/>
      <c r="K1948" t="inlineStr"/>
    </row>
    <row r="1949">
      <c r="A1949" s="1">
        <f>HYPERLINK("https://eurofarma-latam-crm.veevavault.com/#object/account__v/V4TZ000018NZ22B", "Ana Pascoal")</f>
        <v/>
      </c>
      <c r="B1949" s="1">
        <f>HYPERLINK("https://eurofarma-latam-crm.veevavault.com/#object/account__v/V4TZ000018NZ22B", "Ana Carolina Machado Teixeira Pascoal")</f>
        <v/>
      </c>
      <c r="C1949" t="inlineStr">
        <is>
          <t>RJ0975982</t>
        </is>
      </c>
      <c r="D1949" t="inlineStr">
        <is>
          <t>PSQ</t>
        </is>
      </c>
      <c r="E1949" t="inlineStr">
        <is>
          <t>Avenida Rio Branco, 133 - Sal 1601</t>
        </is>
      </c>
      <c r="F1949" t="inlineStr">
        <is>
          <t>Centro</t>
        </is>
      </c>
      <c r="G1949" t="inlineStr">
        <is>
          <t>Rio de Janeiro</t>
        </is>
      </c>
      <c r="H1949" t="inlineStr">
        <is>
          <t>RJ</t>
        </is>
      </c>
      <c r="I1949" t="n">
        <v>7745</v>
      </c>
      <c r="J1949" t="inlineStr">
        <is>
          <t>CAT 3</t>
        </is>
      </c>
      <c r="K1949" t="inlineStr">
        <is>
          <t>Sim</t>
        </is>
      </c>
    </row>
    <row r="1950">
      <c r="A1950" s="1">
        <f>HYPERLINK("https://eurofarma-latam-crm.veevavault.com/#object/account__v/V4TZ000019167NW", "Ana Paula Tavares")</f>
        <v/>
      </c>
      <c r="B1950" s="1">
        <f>HYPERLINK("https://eurofarma-latam-crm.veevavault.com/#object/account__v/V4TZ000019167NW", "Ana Paula Sobral Tavares")</f>
        <v/>
      </c>
      <c r="C1950" t="inlineStr">
        <is>
          <t>RJ1126970</t>
        </is>
      </c>
      <c r="D1950" t="inlineStr">
        <is>
          <t>CLG</t>
        </is>
      </c>
      <c r="E1950" t="inlineStr">
        <is>
          <t>Avenida do Exército, 1</t>
        </is>
      </c>
      <c r="F1950" t="inlineStr">
        <is>
          <t>São Cristóvão</t>
        </is>
      </c>
      <c r="G1950" t="inlineStr">
        <is>
          <t>Rio de Janeiro</t>
        </is>
      </c>
      <c r="H1950" t="inlineStr">
        <is>
          <t>RJ</t>
        </is>
      </c>
      <c r="I1950" t="n">
        <v>7745</v>
      </c>
      <c r="J1950" t="inlineStr">
        <is>
          <t>CAT 4</t>
        </is>
      </c>
      <c r="K1950" t="inlineStr">
        <is>
          <t>Sim</t>
        </is>
      </c>
    </row>
    <row r="1951">
      <c r="A1951" s="1">
        <f>HYPERLINK("https://eurofarma-latam-crm.veevavault.com/#object/account__v/V4TZ0000191MM1M", "Ana Rafaela Erthal")</f>
        <v/>
      </c>
      <c r="B1951" s="1">
        <f>HYPERLINK("https://eurofarma-latam-crm.veevavault.com/#object/account__v/V4TZ0000191MM1M", "Ana Rafaela Erthal")</f>
        <v/>
      </c>
      <c r="C1951" t="inlineStr">
        <is>
          <t>RJ1213016</t>
        </is>
      </c>
      <c r="D1951" t="inlineStr">
        <is>
          <t>PSQ</t>
        </is>
      </c>
      <c r="E1951" t="inlineStr">
        <is>
          <t>Rua Tiradentes, 18</t>
        </is>
      </c>
      <c r="F1951" t="inlineStr">
        <is>
          <t>Ingá</t>
        </is>
      </c>
      <c r="G1951" t="inlineStr">
        <is>
          <t>Niterói</t>
        </is>
      </c>
      <c r="H1951" t="inlineStr">
        <is>
          <t>RJ</t>
        </is>
      </c>
      <c r="I1951" t="n">
        <v>7745</v>
      </c>
      <c r="J1951" t="inlineStr">
        <is>
          <t>CAT 3</t>
        </is>
      </c>
      <c r="K1951" t="inlineStr">
        <is>
          <t>Sim</t>
        </is>
      </c>
    </row>
    <row r="1952">
      <c r="A1952" s="1">
        <f>HYPERLINK("https://eurofarma-latam-crm.veevavault.com/#object/account__v/V4TZ000018NYBDQ", "Anderson Santos")</f>
        <v/>
      </c>
      <c r="B1952" s="1">
        <f>HYPERLINK("https://eurofarma-latam-crm.veevavault.com/#object/account__v/V4TZ000018NYBDQ", "Anderson de Souza Santos")</f>
        <v/>
      </c>
      <c r="C1952" t="inlineStr">
        <is>
          <t>RJ0451850</t>
        </is>
      </c>
      <c r="D1952" t="inlineStr">
        <is>
          <t>ORL</t>
        </is>
      </c>
      <c r="E1952" t="inlineStr">
        <is>
          <t>Avenida Ataulfo de Paiva, 135 - Sala 1003 E 1004</t>
        </is>
      </c>
      <c r="F1952" t="inlineStr">
        <is>
          <t>Leblon</t>
        </is>
      </c>
      <c r="G1952" t="inlineStr">
        <is>
          <t>Rio de Janeiro</t>
        </is>
      </c>
      <c r="H1952" t="inlineStr">
        <is>
          <t>RJ</t>
        </is>
      </c>
      <c r="I1952" t="n">
        <v>7745</v>
      </c>
      <c r="J1952" t="inlineStr">
        <is>
          <t>CAT 3</t>
        </is>
      </c>
      <c r="K1952" t="inlineStr">
        <is>
          <t>Sim</t>
        </is>
      </c>
    </row>
    <row r="1953">
      <c r="A1953" s="1">
        <f>HYPERLINK("https://eurofarma-latam-crm.veevavault.com/#object/account__v/V4TZ00001915AFJ", "Andre Barcellos")</f>
        <v/>
      </c>
      <c r="B1953" s="1">
        <f>HYPERLINK("https://eurofarma-latam-crm.veevavault.com/#object/account__v/V4TZ00001915AFJ", "Andre Luiz Loyelo Barcellos")</f>
        <v/>
      </c>
      <c r="C1953" t="inlineStr">
        <is>
          <t>RJ0575800</t>
        </is>
      </c>
      <c r="D1953" t="inlineStr">
        <is>
          <t>ORT</t>
        </is>
      </c>
      <c r="E1953" t="inlineStr">
        <is>
          <t>Rua Doutor Celestino, 122</t>
        </is>
      </c>
      <c r="F1953" t="inlineStr">
        <is>
          <t>Centro</t>
        </is>
      </c>
      <c r="G1953" t="inlineStr">
        <is>
          <t>Niterói</t>
        </is>
      </c>
      <c r="H1953" t="inlineStr">
        <is>
          <t>RJ</t>
        </is>
      </c>
      <c r="I1953" t="n">
        <v>7745</v>
      </c>
      <c r="J1953" t="inlineStr">
        <is>
          <t>CAT 5</t>
        </is>
      </c>
      <c r="K1953" t="inlineStr">
        <is>
          <t>Sim</t>
        </is>
      </c>
    </row>
    <row r="1954">
      <c r="A1954" s="1">
        <f>HYPERLINK("https://eurofarma-latam-crm.veevavault.com/#object/account__v/V4TZ00001915MBU", "Andrea Alegria")</f>
        <v/>
      </c>
      <c r="B1954" s="1">
        <f>HYPERLINK("https://eurofarma-latam-crm.veevavault.com/#object/account__v/V4TZ00001915MBU", "Andrea Ruiz Alegria")</f>
        <v/>
      </c>
      <c r="C1954" t="inlineStr">
        <is>
          <t>RJ0654469</t>
        </is>
      </c>
      <c r="D1954" t="inlineStr">
        <is>
          <t>END</t>
        </is>
      </c>
      <c r="E1954" t="inlineStr">
        <is>
          <t>Rua Afonso Cavalcanti, 455 - 8 Andar</t>
        </is>
      </c>
      <c r="F1954" t="inlineStr">
        <is>
          <t>Cidade Nova</t>
        </is>
      </c>
      <c r="G1954" t="inlineStr">
        <is>
          <t>Rio de Janeiro</t>
        </is>
      </c>
      <c r="H1954" t="inlineStr">
        <is>
          <t>RJ</t>
        </is>
      </c>
      <c r="I1954" t="n">
        <v>7745</v>
      </c>
      <c r="J1954" t="inlineStr">
        <is>
          <t>CAT 3</t>
        </is>
      </c>
      <c r="K1954" t="inlineStr">
        <is>
          <t>Sim</t>
        </is>
      </c>
    </row>
    <row r="1955">
      <c r="A1955" s="1">
        <f>HYPERLINK("https://eurofarma-latam-crm.veevavault.com/#object/account__v/V4TZ00001914D7F", "Andrea Basto")</f>
        <v/>
      </c>
      <c r="B1955" s="1">
        <f>HYPERLINK("https://eurofarma-latam-crm.veevavault.com/#object/account__v/V4TZ00001914D7F", "Andrea Maria de Oliveira Basto")</f>
        <v/>
      </c>
      <c r="C1955" t="inlineStr">
        <is>
          <t>RJ0404603</t>
        </is>
      </c>
      <c r="D1955" t="inlineStr">
        <is>
          <t>END</t>
        </is>
      </c>
      <c r="E1955" t="inlineStr">
        <is>
          <t>Rua Senador Dantas, 20 - Sala 1412</t>
        </is>
      </c>
      <c r="F1955" t="inlineStr">
        <is>
          <t>Centro</t>
        </is>
      </c>
      <c r="G1955" t="inlineStr">
        <is>
          <t>Rio de Janeiro</t>
        </is>
      </c>
      <c r="H1955" t="inlineStr">
        <is>
          <t>RJ</t>
        </is>
      </c>
      <c r="I1955" t="n">
        <v>7745</v>
      </c>
      <c r="J1955" t="inlineStr">
        <is>
          <t>CAT 3</t>
        </is>
      </c>
      <c r="K1955" t="inlineStr">
        <is>
          <t>Sim</t>
        </is>
      </c>
    </row>
    <row r="1956">
      <c r="A1956" s="1">
        <f>HYPERLINK("https://eurofarma-latam-crm.veevavault.com/#object/account__v/V4TZ00001914G15", "Andreia Lamberti")</f>
        <v/>
      </c>
      <c r="B1956" s="1">
        <f>HYPERLINK("https://eurofarma-latam-crm.veevavault.com/#object/account__v/V4TZ00001914G15", "Andreia Rotmeister Santos da Costa Lamberti")</f>
        <v/>
      </c>
      <c r="C1956" t="inlineStr">
        <is>
          <t>RJ0657000</t>
        </is>
      </c>
      <c r="D1956" t="inlineStr">
        <is>
          <t>NEU</t>
        </is>
      </c>
      <c r="E1956" t="inlineStr">
        <is>
          <t>Rua Dom Marcos Barbosa, 2 - Sala 201</t>
        </is>
      </c>
      <c r="F1956" t="inlineStr">
        <is>
          <t>Cidade Nova</t>
        </is>
      </c>
      <c r="G1956" t="inlineStr">
        <is>
          <t>Rio de Janeiro</t>
        </is>
      </c>
      <c r="H1956" t="inlineStr">
        <is>
          <t>RJ</t>
        </is>
      </c>
      <c r="I1956" t="n">
        <v>7745</v>
      </c>
      <c r="J1956" t="inlineStr">
        <is>
          <t>CAT 2</t>
        </is>
      </c>
      <c r="K1956" t="inlineStr">
        <is>
          <t>Sim</t>
        </is>
      </c>
    </row>
    <row r="1957">
      <c r="A1957" s="1">
        <f>HYPERLINK("https://eurofarma-latam-crm.veevavault.com/#object/account__v/V4TZ000019156WC", "Anelise Sales")</f>
        <v/>
      </c>
      <c r="B1957" s="1">
        <f>HYPERLINK("https://eurofarma-latam-crm.veevavault.com/#object/account__v/V4TZ000019156WC", "Anelise Peixoto Franca Ferreira Sales")</f>
        <v/>
      </c>
      <c r="C1957" t="inlineStr">
        <is>
          <t>RJ1162411</t>
        </is>
      </c>
      <c r="D1957" t="inlineStr">
        <is>
          <t>END</t>
        </is>
      </c>
      <c r="E1957" t="inlineStr">
        <is>
          <t>Rua Dezenove de Fevereiro, 138 - A 140</t>
        </is>
      </c>
      <c r="F1957" t="inlineStr">
        <is>
          <t>Botafogo</t>
        </is>
      </c>
      <c r="G1957" t="inlineStr">
        <is>
          <t>Rio de Janeiro</t>
        </is>
      </c>
      <c r="H1957" t="inlineStr">
        <is>
          <t>RJ</t>
        </is>
      </c>
      <c r="I1957" t="n">
        <v>7745</v>
      </c>
      <c r="J1957" t="inlineStr">
        <is>
          <t>CAT 2</t>
        </is>
      </c>
      <c r="K1957" t="inlineStr">
        <is>
          <t>Sim</t>
        </is>
      </c>
    </row>
    <row r="1958">
      <c r="A1958" s="1">
        <f>HYPERLINK("https://eurofarma-latam-crm.veevavault.com/#object/account__v/V4TZ000018NYIF2", "Angelo Accetta")</f>
        <v/>
      </c>
      <c r="B1958" s="1">
        <f>HYPERLINK("https://eurofarma-latam-crm.veevavault.com/#object/account__v/V4TZ000018NYIF2", "Angelo Accetta")</f>
        <v/>
      </c>
      <c r="C1958" t="inlineStr">
        <is>
          <t>RJ0335276</t>
        </is>
      </c>
      <c r="D1958" t="inlineStr">
        <is>
          <t>URO</t>
        </is>
      </c>
      <c r="E1958" t="inlineStr">
        <is>
          <t>Rua Doutor Borman, 37 - Sala 814</t>
        </is>
      </c>
      <c r="F1958" t="inlineStr">
        <is>
          <t>Centro</t>
        </is>
      </c>
      <c r="G1958" t="inlineStr">
        <is>
          <t>Niterói</t>
        </is>
      </c>
      <c r="H1958" t="inlineStr">
        <is>
          <t>RJ</t>
        </is>
      </c>
      <c r="I1958" t="n">
        <v>7745</v>
      </c>
      <c r="J1958" t="inlineStr">
        <is>
          <t>CAT 4</t>
        </is>
      </c>
      <c r="K1958" t="inlineStr">
        <is>
          <t>Sim</t>
        </is>
      </c>
    </row>
    <row r="1959">
      <c r="A1959" s="1">
        <f>HYPERLINK("https://eurofarma-latam-crm.veevavault.com/#object/account__v/V4TZ00001913HNP", "Anna Carolina Aragao")</f>
        <v/>
      </c>
      <c r="B1959" s="1">
        <f>HYPERLINK("https://eurofarma-latam-crm.veevavault.com/#object/account__v/V4TZ00001913HNP", "Anna Carolina Alves Guimarães Aragao")</f>
        <v/>
      </c>
      <c r="C1959" t="inlineStr">
        <is>
          <t>RJ0837270</t>
        </is>
      </c>
      <c r="D1959" t="inlineStr">
        <is>
          <t>ORL</t>
        </is>
      </c>
      <c r="E1959" t="inlineStr">
        <is>
          <t>Avenida Rio Branco, 156 - Sala 1413 e 1414</t>
        </is>
      </c>
      <c r="F1959" t="inlineStr">
        <is>
          <t>Centro</t>
        </is>
      </c>
      <c r="G1959" t="inlineStr">
        <is>
          <t>Rio de Janeiro</t>
        </is>
      </c>
      <c r="H1959" t="inlineStr">
        <is>
          <t>RJ</t>
        </is>
      </c>
      <c r="I1959" t="n">
        <v>7745</v>
      </c>
      <c r="J1959" t="inlineStr">
        <is>
          <t>CAT 4</t>
        </is>
      </c>
      <c r="K1959" t="inlineStr">
        <is>
          <t>Sim</t>
        </is>
      </c>
    </row>
    <row r="1960">
      <c r="A1960" s="1">
        <f>HYPERLINK("https://eurofarma-latam-crm.veevavault.com/#object/account__v/V4TZ000018NYILQ", "Antonio Luiz Werneck Neto")</f>
        <v/>
      </c>
      <c r="B1960" s="1">
        <f>HYPERLINK("https://eurofarma-latam-crm.veevavault.com/#object/account__v/V4TZ000018NYILQ", "Antonio Luiz dos Santos Werneck Neto")</f>
        <v/>
      </c>
      <c r="C1960" t="inlineStr">
        <is>
          <t>RJ0152046</t>
        </is>
      </c>
      <c r="D1960" t="inlineStr">
        <is>
          <t>NEU</t>
        </is>
      </c>
      <c r="E1960" t="inlineStr">
        <is>
          <t>Rua Santa Luzia, 206</t>
        </is>
      </c>
      <c r="F1960" t="inlineStr">
        <is>
          <t>Centro</t>
        </is>
      </c>
      <c r="G1960" t="inlineStr">
        <is>
          <t>Rio de Janeiro</t>
        </is>
      </c>
      <c r="H1960" t="inlineStr">
        <is>
          <t>RJ</t>
        </is>
      </c>
      <c r="I1960" t="n">
        <v>7745</v>
      </c>
      <c r="J1960" t="inlineStr">
        <is>
          <t>CAT 3</t>
        </is>
      </c>
      <c r="K1960" t="inlineStr">
        <is>
          <t>Sim</t>
        </is>
      </c>
    </row>
    <row r="1961">
      <c r="A1961" s="1">
        <f>HYPERLINK("https://eurofarma-latam-crm.veevavault.com/#object/account__v/V4TZ000018NXHCK", "Ariane e Silva")</f>
        <v/>
      </c>
      <c r="B1961" s="1">
        <f>HYPERLINK("https://eurofarma-latam-crm.veevavault.com/#object/account__v/V4TZ000018NXHCK", "Ariane Pagnoncelli Silva e Silva")</f>
        <v/>
      </c>
      <c r="C1961" t="inlineStr">
        <is>
          <t>RJ1089102</t>
        </is>
      </c>
      <c r="D1961" t="inlineStr">
        <is>
          <t>END</t>
        </is>
      </c>
      <c r="E1961" t="inlineStr">
        <is>
          <t>Rua Senador Dantas, 20 - Sala 501 à 503</t>
        </is>
      </c>
      <c r="F1961" t="inlineStr">
        <is>
          <t>Centro</t>
        </is>
      </c>
      <c r="G1961" t="inlineStr">
        <is>
          <t>Rio de Janeiro</t>
        </is>
      </c>
      <c r="H1961" t="inlineStr">
        <is>
          <t>RJ</t>
        </is>
      </c>
      <c r="I1961" t="n">
        <v>7745</v>
      </c>
      <c r="J1961" t="inlineStr">
        <is>
          <t>CAT 3</t>
        </is>
      </c>
      <c r="K1961" t="inlineStr">
        <is>
          <t>Sim</t>
        </is>
      </c>
    </row>
    <row r="1962">
      <c r="A1962" s="1">
        <f>HYPERLINK("https://eurofarma-latam-crm.veevavault.com/#object/account__v/V4TZ000018NYGNG", "Arthur Rosas")</f>
        <v/>
      </c>
      <c r="B1962" s="1">
        <f>HYPERLINK("https://eurofarma-latam-crm.veevavault.com/#object/account__v/V4TZ000018NYGNG", "Arthur Ferreira da Silva Rosas")</f>
        <v/>
      </c>
      <c r="C1962" t="inlineStr">
        <is>
          <t>RJ0382821</t>
        </is>
      </c>
      <c r="D1962" t="inlineStr">
        <is>
          <t>CLG</t>
        </is>
      </c>
      <c r="E1962" t="inlineStr">
        <is>
          <t>Avenida Lobo Júnior, 2293</t>
        </is>
      </c>
      <c r="F1962" t="inlineStr">
        <is>
          <t>Penha Circular</t>
        </is>
      </c>
      <c r="G1962" t="inlineStr">
        <is>
          <t>Rio de Janeiro</t>
        </is>
      </c>
      <c r="H1962" t="inlineStr">
        <is>
          <t>RJ</t>
        </is>
      </c>
      <c r="I1962" t="n">
        <v>7745</v>
      </c>
      <c r="J1962" t="inlineStr">
        <is>
          <t>CAT 5</t>
        </is>
      </c>
      <c r="K1962" t="inlineStr">
        <is>
          <t>N�o</t>
        </is>
      </c>
    </row>
    <row r="1963">
      <c r="A1963" s="1">
        <f>HYPERLINK("https://eurofarma-latam-crm.veevavault.com/#object/account__v/V4TZ000018NXH5A", "Barbara Buissa")</f>
        <v/>
      </c>
      <c r="B1963" s="1">
        <f>HYPERLINK("https://eurofarma-latam-crm.veevavault.com/#object/account__v/V4TZ000018NXH5A", "Barbara Alves Buissa")</f>
        <v/>
      </c>
      <c r="C1963" t="inlineStr">
        <is>
          <t>RJ0743615</t>
        </is>
      </c>
      <c r="D1963" t="inlineStr">
        <is>
          <t>PSQ</t>
        </is>
      </c>
      <c r="E1963" t="inlineStr">
        <is>
          <t>Rua Frei Caneca, 50</t>
        </is>
      </c>
      <c r="F1963" t="inlineStr">
        <is>
          <t>Centro</t>
        </is>
      </c>
      <c r="G1963" t="inlineStr">
        <is>
          <t>Rio de Janeiro</t>
        </is>
      </c>
      <c r="H1963" t="inlineStr">
        <is>
          <t>RJ</t>
        </is>
      </c>
      <c r="I1963" t="n">
        <v>7745</v>
      </c>
      <c r="J1963" t="inlineStr">
        <is>
          <t>CAT 3</t>
        </is>
      </c>
      <c r="K1963" t="inlineStr">
        <is>
          <t>Sim</t>
        </is>
      </c>
    </row>
    <row r="1964">
      <c r="A1964" s="1">
        <f>HYPERLINK("https://eurofarma-latam-crm.veevavault.com/#object/account__v/V4TZ00001915T4D", "Bernardo Santos")</f>
        <v/>
      </c>
      <c r="B1964" s="1">
        <f>HYPERLINK("https://eurofarma-latam-crm.veevavault.com/#object/account__v/V4TZ00001915T4D", "Bernardo Ely Cordeiro dos Santos")</f>
        <v/>
      </c>
      <c r="C1964" t="inlineStr">
        <is>
          <t>RJ0754757</t>
        </is>
      </c>
      <c r="D1964" t="inlineStr">
        <is>
          <t>ORT</t>
        </is>
      </c>
      <c r="E1964" t="inlineStr">
        <is>
          <t>Rua São José, 90 - Sala 706</t>
        </is>
      </c>
      <c r="F1964" t="inlineStr">
        <is>
          <t>Centro</t>
        </is>
      </c>
      <c r="G1964" t="inlineStr">
        <is>
          <t>Rio de Janeiro</t>
        </is>
      </c>
      <c r="H1964" t="inlineStr">
        <is>
          <t>RJ</t>
        </is>
      </c>
      <c r="I1964" t="n">
        <v>7745</v>
      </c>
      <c r="J1964" t="inlineStr">
        <is>
          <t>CAT 4</t>
        </is>
      </c>
      <c r="K1964" t="inlineStr">
        <is>
          <t>Sim</t>
        </is>
      </c>
    </row>
    <row r="1965">
      <c r="A1965" s="1">
        <f>HYPERLINK("https://eurofarma-latam-crm.veevavault.com/#object/account__v/V4TZ000019140OL", "Bruna de Luna")</f>
        <v/>
      </c>
      <c r="B1965" s="1">
        <f>HYPERLINK("https://eurofarma-latam-crm.veevavault.com/#object/account__v/V4TZ000019140OL", "Bruna Evangelista de Luna")</f>
        <v/>
      </c>
      <c r="C1965" t="inlineStr">
        <is>
          <t>RJ1155148</t>
        </is>
      </c>
      <c r="D1965" t="inlineStr">
        <is>
          <t>PSQ</t>
        </is>
      </c>
      <c r="E1965" t="inlineStr">
        <is>
          <t>Rua Muniz Barreto, 535</t>
        </is>
      </c>
      <c r="F1965" t="inlineStr">
        <is>
          <t>Botafogo</t>
        </is>
      </c>
      <c r="G1965" t="inlineStr">
        <is>
          <t>Rio de Janeiro</t>
        </is>
      </c>
      <c r="H1965" t="inlineStr">
        <is>
          <t>RJ</t>
        </is>
      </c>
      <c r="I1965" t="n">
        <v>7745</v>
      </c>
      <c r="J1965" t="inlineStr">
        <is>
          <t>CAT 5</t>
        </is>
      </c>
      <c r="K1965" t="inlineStr">
        <is>
          <t>N�o</t>
        </is>
      </c>
    </row>
    <row r="1966">
      <c r="A1966" s="1">
        <f>HYPERLINK("https://eurofarma-latam-crm.veevavault.com/#object/account__v/V4TZ000018NYBS2", "Bruno Augusto Karnos")</f>
        <v/>
      </c>
      <c r="B1966" s="1">
        <f>HYPERLINK("https://eurofarma-latam-crm.veevavault.com/#object/account__v/V4TZ000018NYBS2", "Bruno Augusto Costa Karnos")</f>
        <v/>
      </c>
      <c r="C1966" t="inlineStr">
        <is>
          <t>RJ1034430</t>
        </is>
      </c>
      <c r="D1966" t="inlineStr">
        <is>
          <t>PSQ</t>
        </is>
      </c>
      <c r="E1966" t="inlineStr">
        <is>
          <t>Rua Waldir Ribeiro Novaes, 167</t>
        </is>
      </c>
      <c r="F1966" t="inlineStr">
        <is>
          <t>Centro</t>
        </is>
      </c>
      <c r="G1966" t="inlineStr">
        <is>
          <t>Itaguaí</t>
        </is>
      </c>
      <c r="H1966" t="inlineStr">
        <is>
          <t>RJ</t>
        </is>
      </c>
      <c r="I1966" t="n">
        <v>7745</v>
      </c>
      <c r="J1966" t="inlineStr">
        <is>
          <t>CAT 2</t>
        </is>
      </c>
      <c r="K1966" t="inlineStr">
        <is>
          <t>Sim</t>
        </is>
      </c>
    </row>
    <row r="1967">
      <c r="A1967" s="1">
        <f>HYPERLINK("https://eurofarma-latam-crm.veevavault.com/#object/account__v/V4TZ00001915WHH", "Bruno Cézar Corrêa")</f>
        <v/>
      </c>
      <c r="B1967" s="1">
        <f>HYPERLINK("https://eurofarma-latam-crm.veevavault.com/#object/account__v/V4TZ00001915WHH", "Bruno Cézar José Corrêa")</f>
        <v/>
      </c>
      <c r="C1967" t="inlineStr">
        <is>
          <t>RJ1137395</t>
        </is>
      </c>
      <c r="D1967" t="inlineStr">
        <is>
          <t>CLG / END</t>
        </is>
      </c>
      <c r="E1967" t="inlineStr">
        <is>
          <t>Rua Azamor José da Silva, 229</t>
        </is>
      </c>
      <c r="F1967" t="inlineStr">
        <is>
          <t>Araçatiba</t>
        </is>
      </c>
      <c r="G1967" t="inlineStr">
        <is>
          <t>Maricá</t>
        </is>
      </c>
      <c r="H1967" t="inlineStr">
        <is>
          <t>RJ</t>
        </is>
      </c>
      <c r="I1967" t="n">
        <v>7745</v>
      </c>
      <c r="J1967" t="inlineStr">
        <is>
          <t>CAT 4</t>
        </is>
      </c>
      <c r="K1967" t="inlineStr">
        <is>
          <t>Sim</t>
        </is>
      </c>
    </row>
    <row r="1968">
      <c r="A1968" s="1">
        <f>HYPERLINK("https://eurofarma-latam-crm.veevavault.com/#object/account__v/V4TZ00001915RD0", "Bruno da Cunha")</f>
        <v/>
      </c>
      <c r="B1968" s="1">
        <f>HYPERLINK("https://eurofarma-latam-crm.veevavault.com/#object/account__v/V4TZ00001915RD0", "Bruno Leme da Cunha")</f>
        <v/>
      </c>
      <c r="C1968" t="inlineStr">
        <is>
          <t>RJ0753726</t>
        </is>
      </c>
      <c r="D1968" t="inlineStr">
        <is>
          <t>ORT</t>
        </is>
      </c>
      <c r="E1968" t="inlineStr">
        <is>
          <t>Rua Lauro Muller, 116 - Salas 1302 à 1304</t>
        </is>
      </c>
      <c r="F1968" t="inlineStr">
        <is>
          <t>Botafogo</t>
        </is>
      </c>
      <c r="G1968" t="inlineStr">
        <is>
          <t>Rio de Janeiro</t>
        </is>
      </c>
      <c r="H1968" t="inlineStr">
        <is>
          <t>RJ</t>
        </is>
      </c>
      <c r="I1968" t="n">
        <v>7745</v>
      </c>
      <c r="J1968" t="inlineStr">
        <is>
          <t>CAT 5</t>
        </is>
      </c>
      <c r="K1968" t="inlineStr">
        <is>
          <t>Sim</t>
        </is>
      </c>
    </row>
    <row r="1969">
      <c r="A1969" s="1">
        <f>HYPERLINK("https://eurofarma-latam-crm.veevavault.com/#object/account__v/V4TZ000018NYTP6", "Carla dos Santos")</f>
        <v/>
      </c>
      <c r="B1969" s="1">
        <f>HYPERLINK("https://eurofarma-latam-crm.veevavault.com/#object/account__v/V4TZ000018NYTP6", "Carla Trachez Garcia dos Santos")</f>
        <v/>
      </c>
      <c r="C1969" t="inlineStr">
        <is>
          <t>RJ0399514</t>
        </is>
      </c>
      <c r="D1969" t="inlineStr">
        <is>
          <t>PED</t>
        </is>
      </c>
      <c r="E1969" t="inlineStr">
        <is>
          <t>Rua Luiz Leopoldo Fernandes Pinheiro, 551 - Sala 510</t>
        </is>
      </c>
      <c r="F1969" t="inlineStr">
        <is>
          <t>Centro</t>
        </is>
      </c>
      <c r="G1969" t="inlineStr">
        <is>
          <t>Niterói</t>
        </is>
      </c>
      <c r="H1969" t="inlineStr">
        <is>
          <t>RJ</t>
        </is>
      </c>
      <c r="I1969" t="n">
        <v>7745</v>
      </c>
      <c r="J1969" t="inlineStr">
        <is>
          <t>CAT 4</t>
        </is>
      </c>
      <c r="K1969" t="inlineStr">
        <is>
          <t>N�o</t>
        </is>
      </c>
    </row>
    <row r="1970">
      <c r="A1970" s="1">
        <f>HYPERLINK("https://eurofarma-latam-crm.veevavault.com/#object/account__v/V4TZ00001916B0N", "Carla Rabelo")</f>
        <v/>
      </c>
      <c r="B1970" s="1">
        <f>HYPERLINK("https://eurofarma-latam-crm.veevavault.com/#object/account__v/V4TZ00001916B0N", "Carla Alves Rabelo")</f>
        <v/>
      </c>
      <c r="C1970" t="inlineStr">
        <is>
          <t>MG0075369,RJ1102664</t>
        </is>
      </c>
      <c r="D1970" t="inlineStr">
        <is>
          <t>PSQ</t>
        </is>
      </c>
      <c r="E1970" t="inlineStr">
        <is>
          <t>Rua Rodrigo Alves Abreu Rangel, 89</t>
        </is>
      </c>
      <c r="F1970" t="inlineStr">
        <is>
          <t>Centro</t>
        </is>
      </c>
      <c r="G1970" t="inlineStr">
        <is>
          <t>Maricá</t>
        </is>
      </c>
      <c r="H1970" t="inlineStr">
        <is>
          <t>RJ</t>
        </is>
      </c>
      <c r="I1970" t="n">
        <v>7745</v>
      </c>
      <c r="J1970" t="inlineStr">
        <is>
          <t>CAT 2</t>
        </is>
      </c>
      <c r="K1970" t="inlineStr">
        <is>
          <t>Sim</t>
        </is>
      </c>
    </row>
    <row r="1971">
      <c r="A1971" s="1">
        <f>HYPERLINK("https://eurofarma-latam-crm.veevavault.com/#object/account__v/V4TZ000018NZBN9", "Carlos Alberto Machado")</f>
        <v/>
      </c>
      <c r="B1971" s="1">
        <f>HYPERLINK("https://eurofarma-latam-crm.veevavault.com/#object/account__v/V4TZ000018NZBN9", "Carlos Alberto Machado")</f>
        <v/>
      </c>
      <c r="C1971" t="inlineStr">
        <is>
          <t>RJ0224111</t>
        </is>
      </c>
      <c r="D1971" t="inlineStr">
        <is>
          <t>ORT</t>
        </is>
      </c>
      <c r="E1971" t="inlineStr">
        <is>
          <t>Avenida Treze de Maio, 23 - Salas 910 911 912</t>
        </is>
      </c>
      <c r="F1971" t="inlineStr">
        <is>
          <t>Centro</t>
        </is>
      </c>
      <c r="G1971" t="inlineStr">
        <is>
          <t>Rio de Janeiro</t>
        </is>
      </c>
      <c r="H1971" t="inlineStr">
        <is>
          <t>RJ</t>
        </is>
      </c>
      <c r="I1971" t="n">
        <v>7745</v>
      </c>
      <c r="J1971" t="inlineStr">
        <is>
          <t>CAT 1</t>
        </is>
      </c>
      <c r="K1971" t="inlineStr">
        <is>
          <t>Sim</t>
        </is>
      </c>
    </row>
    <row r="1972">
      <c r="A1972" s="1">
        <f>HYPERLINK("https://eurofarma-latam-crm.veevavault.com/#object/account__v/V4TZ000018NXSKG", "Carlos Antonio Rodrigues")</f>
        <v/>
      </c>
      <c r="B1972" s="1">
        <f>HYPERLINK("https://eurofarma-latam-crm.veevavault.com/#object/account__v/V4TZ000018NXSKG", "Carlos Antonio Marques Rodrigues")</f>
        <v/>
      </c>
      <c r="C1972" t="inlineStr">
        <is>
          <t>RJ0169638</t>
        </is>
      </c>
      <c r="D1972" t="inlineStr">
        <is>
          <t>END</t>
        </is>
      </c>
      <c r="E1972" t="inlineStr">
        <is>
          <t>Avenida Rio Branco, 257 - Sala 702</t>
        </is>
      </c>
      <c r="F1972" t="inlineStr">
        <is>
          <t>Centro</t>
        </is>
      </c>
      <c r="G1972" t="inlineStr">
        <is>
          <t>Rio de Janeiro</t>
        </is>
      </c>
      <c r="H1972" t="inlineStr">
        <is>
          <t>RJ</t>
        </is>
      </c>
      <c r="I1972" t="n">
        <v>7745</v>
      </c>
      <c r="J1972" t="inlineStr">
        <is>
          <t>CAT 3</t>
        </is>
      </c>
      <c r="K1972" t="inlineStr">
        <is>
          <t>Sim</t>
        </is>
      </c>
    </row>
    <row r="1973">
      <c r="A1973" s="1">
        <f>HYPERLINK("https://eurofarma-latam-crm.veevavault.com/#object/account__v/V4TZ000018NY6LY", "Carlos Barone Junior")</f>
        <v/>
      </c>
      <c r="B1973" s="1">
        <f>HYPERLINK("https://eurofarma-latam-crm.veevavault.com/#object/account__v/V4TZ000018NY6LY", "Carlos Barone Junior")</f>
        <v/>
      </c>
      <c r="C1973" t="inlineStr">
        <is>
          <t>RJ0928925</t>
        </is>
      </c>
      <c r="D1973" t="inlineStr">
        <is>
          <t>ORL</t>
        </is>
      </c>
      <c r="E1973" t="inlineStr">
        <is>
          <t>Avenida Londres, 616</t>
        </is>
      </c>
      <c r="F1973" t="inlineStr">
        <is>
          <t>Bonsucesso</t>
        </is>
      </c>
      <c r="G1973" t="inlineStr">
        <is>
          <t>Rio de Janeiro</t>
        </is>
      </c>
      <c r="H1973" t="inlineStr">
        <is>
          <t>RJ</t>
        </is>
      </c>
      <c r="I1973" t="n">
        <v>7745</v>
      </c>
      <c r="J1973" t="inlineStr">
        <is>
          <t>CAT 4</t>
        </is>
      </c>
      <c r="K1973" t="inlineStr">
        <is>
          <t>Sim</t>
        </is>
      </c>
    </row>
    <row r="1974">
      <c r="A1974" s="1">
        <f>HYPERLINK("https://eurofarma-latam-crm.veevavault.com/#object/account__v/V4TZ000018NYXLW", "Carlos Eduardo Mascarenhas")</f>
        <v/>
      </c>
      <c r="B1974" s="1">
        <f>HYPERLINK("https://eurofarma-latam-crm.veevavault.com/#object/account__v/V4TZ000018NYXLW", "Carlos Eduardo Mascarenhas")</f>
        <v/>
      </c>
      <c r="C1974" t="inlineStr">
        <is>
          <t>RJ1078402</t>
        </is>
      </c>
      <c r="D1974" t="inlineStr">
        <is>
          <t>PSQ</t>
        </is>
      </c>
      <c r="E1974" t="inlineStr">
        <is>
          <t>Avenida Pastor Martin Luther King Jr, 10976</t>
        </is>
      </c>
      <c r="F1974" t="inlineStr">
        <is>
          <t>Acari</t>
        </is>
      </c>
      <c r="G1974" t="inlineStr">
        <is>
          <t>Rio de Janeiro</t>
        </is>
      </c>
      <c r="H1974" t="inlineStr">
        <is>
          <t>RJ</t>
        </is>
      </c>
      <c r="I1974" t="n">
        <v>7745</v>
      </c>
      <c r="J1974" t="inlineStr">
        <is>
          <t>CAT 2</t>
        </is>
      </c>
      <c r="K1974" t="inlineStr">
        <is>
          <t>Sim</t>
        </is>
      </c>
    </row>
    <row r="1975">
      <c r="A1975" s="1">
        <f>HYPERLINK("https://eurofarma-latam-crm.veevavault.com/#object/account__v/V4T000000012166", "Carlos Pinto")</f>
        <v/>
      </c>
      <c r="B1975" s="1">
        <f>HYPERLINK("https://eurofarma-latam-crm.veevavault.com/#object/account__v/V4T000000012166", "Carlos Eduardo Rocha Pinto")</f>
        <v/>
      </c>
      <c r="C1975" t="inlineStr">
        <is>
          <t>RJ1214454</t>
        </is>
      </c>
      <c r="D1975" t="inlineStr">
        <is>
          <t>GAS</t>
        </is>
      </c>
      <c r="E1975" t="inlineStr">
        <is>
          <t>Rua Uruguaiana, 10 - Sala 1304</t>
        </is>
      </c>
      <c r="F1975" t="inlineStr">
        <is>
          <t>Centro</t>
        </is>
      </c>
      <c r="G1975" t="inlineStr">
        <is>
          <t>Rio de Janeiro</t>
        </is>
      </c>
      <c r="H1975" t="inlineStr">
        <is>
          <t>RJ</t>
        </is>
      </c>
      <c r="I1975" t="n">
        <v>7745</v>
      </c>
      <c r="J1975" t="inlineStr"/>
      <c r="K1975" t="inlineStr"/>
    </row>
    <row r="1976">
      <c r="A1976" s="1">
        <f>HYPERLINK("https://eurofarma-latam-crm.veevavault.com/#object/account__v/V4TZ000018NYQLF", "Carlson Cruz")</f>
        <v/>
      </c>
      <c r="B1976" s="1">
        <f>HYPERLINK("https://eurofarma-latam-crm.veevavault.com/#object/account__v/V4TZ000018NYQLF", "Carlson Antonio Carvalho da Cruz")</f>
        <v/>
      </c>
      <c r="C1976" t="inlineStr">
        <is>
          <t>RJ0469821</t>
        </is>
      </c>
      <c r="D1976" t="inlineStr">
        <is>
          <t>URO</t>
        </is>
      </c>
      <c r="E1976" t="inlineStr">
        <is>
          <t>Rua Riachuelo, 43</t>
        </is>
      </c>
      <c r="F1976" t="inlineStr">
        <is>
          <t>Centro</t>
        </is>
      </c>
      <c r="G1976" t="inlineStr">
        <is>
          <t>Rio de Janeiro</t>
        </is>
      </c>
      <c r="H1976" t="inlineStr">
        <is>
          <t>RJ</t>
        </is>
      </c>
      <c r="I1976" t="n">
        <v>7745</v>
      </c>
      <c r="J1976" t="inlineStr">
        <is>
          <t>CAT 5</t>
        </is>
      </c>
      <c r="K1976" t="inlineStr">
        <is>
          <t>Sim</t>
        </is>
      </c>
    </row>
    <row r="1977">
      <c r="A1977" s="1">
        <f>HYPERLINK("https://eurofarma-latam-crm.veevavault.com/#object/account__v/V4TZ025E8CZQKE2", "Carolina Corcino")</f>
        <v/>
      </c>
      <c r="B1977" s="1">
        <f>HYPERLINK("https://eurofarma-latam-crm.veevavault.com/#object/account__v/V4TZ025E8CZQKE2", "Carolina Martins Corcino")</f>
        <v/>
      </c>
      <c r="C1977" t="inlineStr">
        <is>
          <t>RJ0833096</t>
        </is>
      </c>
      <c r="D1977" t="inlineStr">
        <is>
          <t>END</t>
        </is>
      </c>
      <c r="E1977" t="inlineStr">
        <is>
          <t>Estrada dos Bandeirantes, 363</t>
        </is>
      </c>
      <c r="F1977" t="inlineStr">
        <is>
          <t>Taquara</t>
        </is>
      </c>
      <c r="G1977" t="inlineStr">
        <is>
          <t>Rio de Janeiro</t>
        </is>
      </c>
      <c r="H1977" t="inlineStr">
        <is>
          <t>RJ</t>
        </is>
      </c>
      <c r="I1977" t="n">
        <v>7745</v>
      </c>
      <c r="J1977" t="inlineStr">
        <is>
          <t>CAT 5</t>
        </is>
      </c>
      <c r="K1977" t="inlineStr">
        <is>
          <t>Sim</t>
        </is>
      </c>
    </row>
    <row r="1978">
      <c r="A1978" s="1">
        <f>HYPERLINK("https://eurofarma-latam-crm.veevavault.com/#object/account__v/V4TZ025E8BZMPHG", "Carolina Perlingeiro")</f>
        <v/>
      </c>
      <c r="B1978" s="1">
        <f>HYPERLINK("https://eurofarma-latam-crm.veevavault.com/#object/account__v/V4TZ025E8BZMPHG", "Carolina Pereira Lima Perlingeiro")</f>
        <v/>
      </c>
      <c r="C1978" t="inlineStr">
        <is>
          <t>RJ1158627</t>
        </is>
      </c>
      <c r="D1978" t="inlineStr">
        <is>
          <t>PED</t>
        </is>
      </c>
      <c r="E1978" t="inlineStr">
        <is>
          <t>Rua Manoel de Abreu, 9 - Parte</t>
        </is>
      </c>
      <c r="F1978" t="inlineStr">
        <is>
          <t>Centro</t>
        </is>
      </c>
      <c r="G1978" t="inlineStr">
        <is>
          <t>Niterói</t>
        </is>
      </c>
      <c r="H1978" t="inlineStr">
        <is>
          <t>RJ</t>
        </is>
      </c>
      <c r="I1978" t="n">
        <v>7745</v>
      </c>
      <c r="J1978" t="inlineStr">
        <is>
          <t>CAT 5</t>
        </is>
      </c>
      <c r="K1978" t="inlineStr">
        <is>
          <t>N�o</t>
        </is>
      </c>
    </row>
    <row r="1979">
      <c r="A1979" s="1">
        <f>HYPERLINK("https://eurofarma-latam-crm.veevavault.com/#object/account__v/V4TZ00001912XFY", "Carolina Santos")</f>
        <v/>
      </c>
      <c r="B1979" s="1">
        <f>HYPERLINK("https://eurofarma-latam-crm.veevavault.com/#object/account__v/V4TZ00001912XFY", "Carolina Oliveira Santos")</f>
        <v/>
      </c>
      <c r="C1979" t="inlineStr">
        <is>
          <t>RJ0949523</t>
        </is>
      </c>
      <c r="D1979" t="inlineStr"/>
      <c r="E1979" t="inlineStr">
        <is>
          <t>Praça Estefania de Carvalho, S/N</t>
        </is>
      </c>
      <c r="F1979" t="inlineStr">
        <is>
          <t>Zé Garoto</t>
        </is>
      </c>
      <c r="G1979" t="inlineStr">
        <is>
          <t>São Gonçalo</t>
        </is>
      </c>
      <c r="H1979" t="inlineStr">
        <is>
          <t>RJ</t>
        </is>
      </c>
      <c r="I1979" t="n">
        <v>7745</v>
      </c>
      <c r="J1979" t="inlineStr"/>
      <c r="K1979" t="inlineStr"/>
    </row>
    <row r="1980">
      <c r="A1980" s="1">
        <f>HYPERLINK("https://eurofarma-latam-crm.veevavault.com/#object/account__v/V4TZ000018NY2L7", "Catia Cristina Vergara Palma")</f>
        <v/>
      </c>
      <c r="B1980" s="1">
        <f>HYPERLINK("https://eurofarma-latam-crm.veevavault.com/#object/account__v/V4TZ000018NY2L7", "Catia Cristina Silva Sousa Vergara Palma")</f>
        <v/>
      </c>
      <c r="C1980" t="inlineStr">
        <is>
          <t>RJ0750417</t>
        </is>
      </c>
      <c r="D1980" t="inlineStr">
        <is>
          <t>END</t>
        </is>
      </c>
      <c r="E1980" t="inlineStr">
        <is>
          <t>Boulevard Vinte e Oito de Setembro, 77, 77 - Hupe Sala 126</t>
        </is>
      </c>
      <c r="F1980" t="inlineStr">
        <is>
          <t>Vila Isabel</t>
        </is>
      </c>
      <c r="G1980" t="inlineStr">
        <is>
          <t>Rio de Janeiro</t>
        </is>
      </c>
      <c r="H1980" t="inlineStr">
        <is>
          <t>RJ</t>
        </is>
      </c>
      <c r="I1980" t="n">
        <v>7745</v>
      </c>
      <c r="J1980" t="inlineStr">
        <is>
          <t>CAT 2</t>
        </is>
      </c>
      <c r="K1980" t="inlineStr">
        <is>
          <t>Sim</t>
        </is>
      </c>
    </row>
    <row r="1981">
      <c r="A1981" s="1">
        <f>HYPERLINK("https://eurofarma-latam-crm.veevavault.com/#object/account__v/V4TZ000018NXYT7", "Cecília de Faria")</f>
        <v/>
      </c>
      <c r="B1981" s="1">
        <f>HYPERLINK("https://eurofarma-latam-crm.veevavault.com/#object/account__v/V4TZ000018NXYT7", "Cecília Alves Costa de Castro Pache de Faria")</f>
        <v/>
      </c>
      <c r="C1981" t="inlineStr">
        <is>
          <t>RJ0703796</t>
        </is>
      </c>
      <c r="D1981" t="inlineStr">
        <is>
          <t>PED</t>
        </is>
      </c>
      <c r="E1981" t="inlineStr">
        <is>
          <t>Avenida Ataulfo de Paiva, 1079 - Sala 702</t>
        </is>
      </c>
      <c r="F1981" t="inlineStr">
        <is>
          <t>Leblon</t>
        </is>
      </c>
      <c r="G1981" t="inlineStr">
        <is>
          <t>Rio de Janeiro</t>
        </is>
      </c>
      <c r="H1981" t="inlineStr">
        <is>
          <t>RJ</t>
        </is>
      </c>
      <c r="I1981" t="n">
        <v>7745</v>
      </c>
      <c r="J1981" t="inlineStr">
        <is>
          <t>CAT 4</t>
        </is>
      </c>
      <c r="K1981" t="inlineStr">
        <is>
          <t>Sim</t>
        </is>
      </c>
    </row>
    <row r="1982">
      <c r="A1982" s="1">
        <f>HYPERLINK("https://eurofarma-latam-crm.veevavault.com/#object/account__v/V4TZ000018NYR3Q", "Celia Regina de Bragança")</f>
        <v/>
      </c>
      <c r="B1982" s="1">
        <f>HYPERLINK("https://eurofarma-latam-crm.veevavault.com/#object/account__v/V4TZ000018NYR3Q", "Celia Regina Ranzeiro de Bragança")</f>
        <v/>
      </c>
      <c r="C1982" t="inlineStr">
        <is>
          <t>RJ0378200</t>
        </is>
      </c>
      <c r="D1982" t="inlineStr">
        <is>
          <t>PED</t>
        </is>
      </c>
      <c r="E1982" t="inlineStr">
        <is>
          <t>Rua da Conceição, 188 / 1901</t>
        </is>
      </c>
      <c r="F1982" t="inlineStr">
        <is>
          <t>Centro</t>
        </is>
      </c>
      <c r="G1982" t="inlineStr">
        <is>
          <t>Niterói</t>
        </is>
      </c>
      <c r="H1982" t="inlineStr">
        <is>
          <t>RJ</t>
        </is>
      </c>
      <c r="I1982" t="n">
        <v>7745</v>
      </c>
      <c r="J1982" t="inlineStr">
        <is>
          <t>CAT 5</t>
        </is>
      </c>
      <c r="K1982" t="inlineStr">
        <is>
          <t>N�o</t>
        </is>
      </c>
    </row>
    <row r="1983">
      <c r="A1983" s="1">
        <f>HYPERLINK("https://eurofarma-latam-crm.veevavault.com/#object/account__v/V4TZ000018NZ46M", "Christine Barreiro")</f>
        <v/>
      </c>
      <c r="B1983" s="1">
        <f>HYPERLINK("https://eurofarma-latam-crm.veevavault.com/#object/account__v/V4TZ000018NZ46M", "Christine Tamar Vieira Barreiro")</f>
        <v/>
      </c>
      <c r="C1983" t="inlineStr">
        <is>
          <t>RJ0725471</t>
        </is>
      </c>
      <c r="D1983" t="inlineStr">
        <is>
          <t>PED</t>
        </is>
      </c>
      <c r="E1983" t="inlineStr">
        <is>
          <t>Rua Manoel de Abreu, 9 - Parte</t>
        </is>
      </c>
      <c r="F1983" t="inlineStr">
        <is>
          <t>Centro</t>
        </is>
      </c>
      <c r="G1983" t="inlineStr">
        <is>
          <t>Niterói</t>
        </is>
      </c>
      <c r="H1983" t="inlineStr">
        <is>
          <t>RJ</t>
        </is>
      </c>
      <c r="I1983" t="n">
        <v>7745</v>
      </c>
      <c r="J1983" t="inlineStr">
        <is>
          <t>CAT 5</t>
        </is>
      </c>
      <c r="K1983" t="inlineStr">
        <is>
          <t>Sim</t>
        </is>
      </c>
    </row>
    <row r="1984">
      <c r="A1984" s="1">
        <f>HYPERLINK("https://eurofarma-latam-crm.veevavault.com/#object/account__v/V4TZ000018NYBCF", "Cicero Antonio de Souza")</f>
        <v/>
      </c>
      <c r="B1984" s="1">
        <f>HYPERLINK("https://eurofarma-latam-crm.veevavault.com/#object/account__v/V4TZ000018NYBCF", "Cicero Antonio Monteiro de Souza")</f>
        <v/>
      </c>
      <c r="C1984" t="inlineStr">
        <is>
          <t>RJ0293052</t>
        </is>
      </c>
      <c r="D1984" t="inlineStr">
        <is>
          <t>PSQ</t>
        </is>
      </c>
      <c r="E1984" t="inlineStr">
        <is>
          <t>Avenida Rio Branco, 156 - Sal 602</t>
        </is>
      </c>
      <c r="F1984" t="inlineStr">
        <is>
          <t>Centro</t>
        </is>
      </c>
      <c r="G1984" t="inlineStr">
        <is>
          <t>Rio de Janeiro</t>
        </is>
      </c>
      <c r="H1984" t="inlineStr">
        <is>
          <t>RJ</t>
        </is>
      </c>
      <c r="I1984" t="n">
        <v>7745</v>
      </c>
      <c r="J1984" t="inlineStr">
        <is>
          <t>CAT 1</t>
        </is>
      </c>
      <c r="K1984" t="inlineStr">
        <is>
          <t>Sim</t>
        </is>
      </c>
    </row>
    <row r="1985">
      <c r="A1985" s="1">
        <f>HYPERLINK("https://eurofarma-latam-crm.veevavault.com/#object/account__v/V4TZ025E88VKST0", "Cintia Lima")</f>
        <v/>
      </c>
      <c r="B1985" s="1">
        <f>HYPERLINK("https://eurofarma-latam-crm.veevavault.com/#object/account__v/V4TZ025E88VKST0", "Cintia Daniele Cavalcante de Lima")</f>
        <v/>
      </c>
      <c r="C1985" t="inlineStr">
        <is>
          <t>RJ3305932</t>
        </is>
      </c>
      <c r="D1985" t="inlineStr">
        <is>
          <t>CLG</t>
        </is>
      </c>
      <c r="E1985" t="inlineStr">
        <is>
          <t>Avenida Jansen de Melo, S/N</t>
        </is>
      </c>
      <c r="F1985" t="inlineStr">
        <is>
          <t>Centro</t>
        </is>
      </c>
      <c r="G1985" t="inlineStr">
        <is>
          <t>Niterói</t>
        </is>
      </c>
      <c r="H1985" t="inlineStr">
        <is>
          <t>RJ</t>
        </is>
      </c>
      <c r="I1985" t="n">
        <v>7745</v>
      </c>
      <c r="J1985" t="inlineStr">
        <is>
          <t>CAT 5</t>
        </is>
      </c>
      <c r="K1985" t="inlineStr">
        <is>
          <t>N�o</t>
        </is>
      </c>
    </row>
    <row r="1986">
      <c r="A1986" s="1">
        <f>HYPERLINK("https://eurofarma-latam-crm.veevavault.com/#object/account__v/V4TZ000018NZ0QL", "Cintia Tanaka")</f>
        <v/>
      </c>
      <c r="B1986" s="1">
        <f>HYPERLINK("https://eurofarma-latam-crm.veevavault.com/#object/account__v/V4TZ000018NZ0QL", "Cintia Tiemi Tanaka")</f>
        <v/>
      </c>
      <c r="C1986" t="inlineStr">
        <is>
          <t>RJ0832782</t>
        </is>
      </c>
      <c r="D1986" t="inlineStr">
        <is>
          <t>PSQ</t>
        </is>
      </c>
      <c r="E1986" t="inlineStr">
        <is>
          <t>Alameda Corretores, 41</t>
        </is>
      </c>
      <c r="F1986" t="inlineStr">
        <is>
          <t>Chácaras Rio-Petrópolis</t>
        </is>
      </c>
      <c r="G1986" t="inlineStr">
        <is>
          <t>Duque de Caxias</t>
        </is>
      </c>
      <c r="H1986" t="inlineStr">
        <is>
          <t>RJ</t>
        </is>
      </c>
      <c r="I1986" t="n">
        <v>7745</v>
      </c>
      <c r="J1986" t="inlineStr">
        <is>
          <t>CAT 3</t>
        </is>
      </c>
      <c r="K1986" t="inlineStr">
        <is>
          <t>Sim</t>
        </is>
      </c>
    </row>
    <row r="1987">
      <c r="A1987" s="1">
        <f>HYPERLINK("https://eurofarma-latam-crm.veevavault.com/#object/account__v/V4TZ00001912YBI", "Cláudia de Araújo")</f>
        <v/>
      </c>
      <c r="B1987" s="1">
        <f>HYPERLINK("https://eurofarma-latam-crm.veevavault.com/#object/account__v/V4TZ00001912YBI", "Cláudia Teixeira de Araújo")</f>
        <v/>
      </c>
      <c r="C1987" t="inlineStr">
        <is>
          <t>RJ0547949</t>
        </is>
      </c>
      <c r="D1987" t="inlineStr">
        <is>
          <t>NEU</t>
        </is>
      </c>
      <c r="E1987" t="inlineStr">
        <is>
          <t>Rua Senador Dantas, 75, 75 - Sal 605</t>
        </is>
      </c>
      <c r="F1987" t="inlineStr">
        <is>
          <t>Centro</t>
        </is>
      </c>
      <c r="G1987" t="inlineStr">
        <is>
          <t>Rio de Janeiro</t>
        </is>
      </c>
      <c r="H1987" t="inlineStr">
        <is>
          <t>RJ</t>
        </is>
      </c>
      <c r="I1987" t="n">
        <v>7745</v>
      </c>
      <c r="J1987" t="inlineStr">
        <is>
          <t>CAT 3</t>
        </is>
      </c>
      <c r="K1987" t="inlineStr">
        <is>
          <t>Sim</t>
        </is>
      </c>
    </row>
    <row r="1988">
      <c r="A1988" s="1">
        <f>HYPERLINK("https://eurofarma-latam-crm.veevavault.com/#object/account__v/V4TZ00001914UBB", "Cláudia Garrido")</f>
        <v/>
      </c>
      <c r="B1988" s="1">
        <f>HYPERLINK("https://eurofarma-latam-crm.veevavault.com/#object/account__v/V4TZ00001914UBB", "Cláudia da Silva Garrido")</f>
        <v/>
      </c>
      <c r="C1988" t="inlineStr">
        <is>
          <t>RJ0595807</t>
        </is>
      </c>
      <c r="D1988" t="inlineStr">
        <is>
          <t>CLG</t>
        </is>
      </c>
      <c r="E1988" t="inlineStr">
        <is>
          <t>Rua Dr Mattos, 348 - Loja 107 Edif Serra do Sambe</t>
        </is>
      </c>
      <c r="F1988" t="inlineStr">
        <is>
          <t>Centro</t>
        </is>
      </c>
      <c r="G1988" t="inlineStr">
        <is>
          <t>Rio Bonito</t>
        </is>
      </c>
      <c r="H1988" t="inlineStr">
        <is>
          <t>RJ</t>
        </is>
      </c>
      <c r="I1988" t="n">
        <v>7745</v>
      </c>
      <c r="J1988" t="inlineStr">
        <is>
          <t>CAT 4</t>
        </is>
      </c>
      <c r="K1988" t="inlineStr">
        <is>
          <t>Sim</t>
        </is>
      </c>
    </row>
    <row r="1989">
      <c r="A1989" s="1">
        <f>HYPERLINK("https://eurofarma-latam-crm.veevavault.com/#object/account__v/V4TZ000018NYM0V", "Claudia Mule")</f>
        <v/>
      </c>
      <c r="B1989" s="1">
        <f>HYPERLINK("https://eurofarma-latam-crm.veevavault.com/#object/account__v/V4TZ000018NYM0V", "Claudia Brandao Mule")</f>
        <v/>
      </c>
      <c r="C1989" t="inlineStr">
        <is>
          <t>RJ0550450</t>
        </is>
      </c>
      <c r="D1989" t="inlineStr">
        <is>
          <t>END</t>
        </is>
      </c>
      <c r="E1989" t="inlineStr">
        <is>
          <t>Rua Cândido Reis, 89</t>
        </is>
      </c>
      <c r="F1989" t="inlineStr">
        <is>
          <t>Coelho</t>
        </is>
      </c>
      <c r="G1989" t="inlineStr">
        <is>
          <t>São Gonçalo</t>
        </is>
      </c>
      <c r="H1989" t="inlineStr">
        <is>
          <t>RJ</t>
        </is>
      </c>
      <c r="I1989" t="n">
        <v>7745</v>
      </c>
      <c r="J1989" t="inlineStr">
        <is>
          <t>CAT 4</t>
        </is>
      </c>
      <c r="K1989" t="inlineStr">
        <is>
          <t>Sim</t>
        </is>
      </c>
    </row>
    <row r="1990">
      <c r="A1990" s="1">
        <f>HYPERLINK("https://eurofarma-latam-crm.veevavault.com/#object/account__v/V4TZ00001912XJE", "Cristiane Azevedo")</f>
        <v/>
      </c>
      <c r="B1990" s="1">
        <f>HYPERLINK("https://eurofarma-latam-crm.veevavault.com/#object/account__v/V4TZ00001912XJE", "Cristiane da Rocha Azevedo")</f>
        <v/>
      </c>
      <c r="C1990" t="inlineStr">
        <is>
          <t>RJ0793299</t>
        </is>
      </c>
      <c r="D1990" t="inlineStr">
        <is>
          <t>END</t>
        </is>
      </c>
      <c r="E1990" t="inlineStr">
        <is>
          <t>Estrada dos Bandeirantes, 363</t>
        </is>
      </c>
      <c r="F1990" t="inlineStr">
        <is>
          <t>Taquara</t>
        </is>
      </c>
      <c r="G1990" t="inlineStr">
        <is>
          <t>Rio de Janeiro</t>
        </is>
      </c>
      <c r="H1990" t="inlineStr">
        <is>
          <t>RJ</t>
        </is>
      </c>
      <c r="I1990" t="n">
        <v>7745</v>
      </c>
      <c r="J1990" t="inlineStr">
        <is>
          <t>CAT 3</t>
        </is>
      </c>
      <c r="K1990" t="inlineStr">
        <is>
          <t>Sim</t>
        </is>
      </c>
    </row>
    <row r="1991">
      <c r="A1991" s="1">
        <f>HYPERLINK("https://eurofarma-latam-crm.veevavault.com/#object/account__v/V4TZ025E83T74ZZ", "Cristiane Perazo")</f>
        <v/>
      </c>
      <c r="B1991" s="1">
        <f>HYPERLINK("https://eurofarma-latam-crm.veevavault.com/#object/account__v/V4TZ025E83T74ZZ", "Cristiane Lemos dos Reis Perazo")</f>
        <v/>
      </c>
      <c r="C1991" t="inlineStr">
        <is>
          <t>RJ0769380</t>
        </is>
      </c>
      <c r="D1991" t="inlineStr">
        <is>
          <t>END</t>
        </is>
      </c>
      <c r="E1991" t="inlineStr">
        <is>
          <t>Avenida Presidente Vargas, 583 - Sala 910</t>
        </is>
      </c>
      <c r="F1991" t="inlineStr">
        <is>
          <t>Centro</t>
        </is>
      </c>
      <c r="G1991" t="inlineStr">
        <is>
          <t>Rio de Janeiro</t>
        </is>
      </c>
      <c r="H1991" t="inlineStr">
        <is>
          <t>RJ</t>
        </is>
      </c>
      <c r="I1991" t="n">
        <v>7745</v>
      </c>
      <c r="J1991" t="inlineStr">
        <is>
          <t>CAT 3</t>
        </is>
      </c>
      <c r="K1991" t="inlineStr">
        <is>
          <t>Sim</t>
        </is>
      </c>
    </row>
    <row r="1992">
      <c r="A1992" s="1">
        <f>HYPERLINK("https://eurofarma-latam-crm.veevavault.com/#object/account__v/V4TZ000018NY7IL", "Cyrla Zaltman")</f>
        <v/>
      </c>
      <c r="B1992" s="1">
        <f>HYPERLINK("https://eurofarma-latam-crm.veevavault.com/#object/account__v/V4TZ000018NY7IL", "Cyrla Zaltman")</f>
        <v/>
      </c>
      <c r="C1992" t="inlineStr">
        <is>
          <t>RJ0335715</t>
        </is>
      </c>
      <c r="D1992" t="inlineStr">
        <is>
          <t>GAS</t>
        </is>
      </c>
      <c r="E1992" t="inlineStr">
        <is>
          <t>Rua Visconde de Pirajá, 511</t>
        </is>
      </c>
      <c r="F1992" t="inlineStr">
        <is>
          <t>Ipanema</t>
        </is>
      </c>
      <c r="G1992" t="inlineStr">
        <is>
          <t>Rio de Janeiro</t>
        </is>
      </c>
      <c r="H1992" t="inlineStr">
        <is>
          <t>RJ</t>
        </is>
      </c>
      <c r="I1992" t="n">
        <v>7745</v>
      </c>
      <c r="J1992" t="inlineStr"/>
      <c r="K1992" t="inlineStr"/>
    </row>
    <row r="1993">
      <c r="A1993" s="1">
        <f>HYPERLINK("https://eurofarma-latam-crm.veevavault.com/#object/account__v/V4TZ0000191571A", "Daiana de Sousa")</f>
        <v/>
      </c>
      <c r="B1993" s="1">
        <f>HYPERLINK("https://eurofarma-latam-crm.veevavault.com/#object/account__v/V4TZ0000191571A", "Daiana Gomes de Sousa")</f>
        <v/>
      </c>
      <c r="C1993" t="inlineStr">
        <is>
          <t>RJ1366947,SC0033999</t>
        </is>
      </c>
      <c r="D1993" t="inlineStr">
        <is>
          <t>END</t>
        </is>
      </c>
      <c r="E1993" t="inlineStr">
        <is>
          <t>Rua Carlos Seidl, 785</t>
        </is>
      </c>
      <c r="F1993" t="inlineStr">
        <is>
          <t>Caju</t>
        </is>
      </c>
      <c r="G1993" t="inlineStr">
        <is>
          <t>Rio de Janeiro</t>
        </is>
      </c>
      <c r="H1993" t="inlineStr">
        <is>
          <t>RJ</t>
        </is>
      </c>
      <c r="I1993" t="n">
        <v>7745</v>
      </c>
      <c r="J1993" t="inlineStr">
        <is>
          <t>CAT 5</t>
        </is>
      </c>
      <c r="K1993" t="inlineStr">
        <is>
          <t>Sim</t>
        </is>
      </c>
    </row>
    <row r="1994">
      <c r="A1994" s="1">
        <f>HYPERLINK("https://eurofarma-latam-crm.veevavault.com/#object/account__v/V4TZ00001914X3O", "Daniela Matos")</f>
        <v/>
      </c>
      <c r="B1994" s="1">
        <f>HYPERLINK("https://eurofarma-latam-crm.veevavault.com/#object/account__v/V4TZ00001914X3O", "Daniela de Luna Matos")</f>
        <v/>
      </c>
      <c r="C1994" t="inlineStr">
        <is>
          <t>RJ0585921</t>
        </is>
      </c>
      <c r="D1994" t="inlineStr">
        <is>
          <t>ORL</t>
        </is>
      </c>
      <c r="E1994" t="inlineStr">
        <is>
          <t>Rua Senador Dantas, 75 - Salas 808 e 809</t>
        </is>
      </c>
      <c r="F1994" t="inlineStr">
        <is>
          <t>Centro</t>
        </is>
      </c>
      <c r="G1994" t="inlineStr">
        <is>
          <t>Rio de Janeiro</t>
        </is>
      </c>
      <c r="H1994" t="inlineStr">
        <is>
          <t>RJ</t>
        </is>
      </c>
      <c r="I1994" t="n">
        <v>7745</v>
      </c>
      <c r="J1994" t="inlineStr">
        <is>
          <t>CAT 4</t>
        </is>
      </c>
      <c r="K1994" t="inlineStr">
        <is>
          <t>Sim</t>
        </is>
      </c>
    </row>
    <row r="1995">
      <c r="A1995" s="1">
        <f>HYPERLINK("https://eurofarma-latam-crm.veevavault.com/#object/account__v/V4TZ00001913YMS", "Denise e Cunha")</f>
        <v/>
      </c>
      <c r="B1995" s="1">
        <f>HYPERLINK("https://eurofarma-latam-crm.veevavault.com/#object/account__v/V4TZ00001913YMS", "Denise Pinto da Fonseca e Cunha")</f>
        <v/>
      </c>
      <c r="C1995" t="inlineStr">
        <is>
          <t>RJ0559036</t>
        </is>
      </c>
      <c r="D1995" t="inlineStr">
        <is>
          <t>CLG / END</t>
        </is>
      </c>
      <c r="E1995" t="inlineStr">
        <is>
          <t>Avenida Dona Amélia, 645 - Sala 805</t>
        </is>
      </c>
      <c r="F1995" t="inlineStr">
        <is>
          <t>Centro</t>
        </is>
      </c>
      <c r="G1995" t="inlineStr">
        <is>
          <t>Niterói</t>
        </is>
      </c>
      <c r="H1995" t="inlineStr">
        <is>
          <t>RJ</t>
        </is>
      </c>
      <c r="I1995" t="n">
        <v>7745</v>
      </c>
      <c r="J1995" t="inlineStr">
        <is>
          <t>CAT 5</t>
        </is>
      </c>
      <c r="K1995" t="inlineStr">
        <is>
          <t>N�o</t>
        </is>
      </c>
    </row>
    <row r="1996">
      <c r="A1996" s="1">
        <f>HYPERLINK("https://eurofarma-latam-crm.veevavault.com/#object/account__v/V4TZ000018NZ207", "Denise Helena Chevrand")</f>
        <v/>
      </c>
      <c r="B1996" s="1">
        <f>HYPERLINK("https://eurofarma-latam-crm.veevavault.com/#object/account__v/V4TZ000018NZ207", "Denise Helena Stroligo Chevrand")</f>
        <v/>
      </c>
      <c r="C1996" t="inlineStr">
        <is>
          <t>RJ0403242</t>
        </is>
      </c>
      <c r="D1996" t="inlineStr">
        <is>
          <t>PED</t>
        </is>
      </c>
      <c r="E1996" t="inlineStr">
        <is>
          <t>Rua Tiradentes, 12-18</t>
        </is>
      </c>
      <c r="F1996" t="inlineStr">
        <is>
          <t>Ingá</t>
        </is>
      </c>
      <c r="G1996" t="inlineStr">
        <is>
          <t>Niterói</t>
        </is>
      </c>
      <c r="H1996" t="inlineStr">
        <is>
          <t>RJ</t>
        </is>
      </c>
      <c r="I1996" t="n">
        <v>7745</v>
      </c>
      <c r="J1996" t="inlineStr">
        <is>
          <t>CAT 5</t>
        </is>
      </c>
      <c r="K1996" t="inlineStr">
        <is>
          <t>N�o</t>
        </is>
      </c>
    </row>
    <row r="1997">
      <c r="A1997" s="1">
        <f>HYPERLINK("https://eurofarma-latam-crm.veevavault.com/#object/account__v/V4TZ025E89JHFLN", "Denise Nascimento")</f>
        <v/>
      </c>
      <c r="B1997" s="1">
        <f>HYPERLINK("https://eurofarma-latam-crm.veevavault.com/#object/account__v/V4TZ025E89JHFLN", "Denise Medeiros do Nascimento")</f>
        <v/>
      </c>
      <c r="C1997" t="inlineStr">
        <is>
          <t>RJ0643041</t>
        </is>
      </c>
      <c r="D1997" t="inlineStr">
        <is>
          <t>END</t>
        </is>
      </c>
      <c r="E1997" t="inlineStr">
        <is>
          <t>Avenida Nelson Mufarrej, 255</t>
        </is>
      </c>
      <c r="F1997" t="inlineStr">
        <is>
          <t>Barra da Tijuca</t>
        </is>
      </c>
      <c r="G1997" t="inlineStr">
        <is>
          <t>Rio de Janeiro</t>
        </is>
      </c>
      <c r="H1997" t="inlineStr">
        <is>
          <t>RJ</t>
        </is>
      </c>
      <c r="I1997" t="n">
        <v>7745</v>
      </c>
      <c r="J1997" t="inlineStr">
        <is>
          <t>CAT 4</t>
        </is>
      </c>
      <c r="K1997" t="inlineStr">
        <is>
          <t>Sim</t>
        </is>
      </c>
    </row>
    <row r="1998">
      <c r="A1998" s="1">
        <f>HYPERLINK("https://eurofarma-latam-crm.veevavault.com/#object/account__v/V4TZ000019148WY", "Denise Nicaretta")</f>
        <v/>
      </c>
      <c r="B1998" s="1">
        <f>HYPERLINK("https://eurofarma-latam-crm.veevavault.com/#object/account__v/V4TZ000019148WY", "Denise Hack Nicaretta")</f>
        <v/>
      </c>
      <c r="C1998" t="inlineStr">
        <is>
          <t>RJ0454593</t>
        </is>
      </c>
      <c r="D1998" t="inlineStr">
        <is>
          <t>NEU</t>
        </is>
      </c>
      <c r="E1998" t="inlineStr">
        <is>
          <t>Rua Mariz e Barros, 775</t>
        </is>
      </c>
      <c r="F1998" t="inlineStr">
        <is>
          <t>Maracanã</t>
        </is>
      </c>
      <c r="G1998" t="inlineStr">
        <is>
          <t>Rio de Janeiro</t>
        </is>
      </c>
      <c r="H1998" t="inlineStr">
        <is>
          <t>RJ</t>
        </is>
      </c>
      <c r="I1998" t="n">
        <v>7745</v>
      </c>
      <c r="J1998" t="inlineStr">
        <is>
          <t>CAT 3</t>
        </is>
      </c>
      <c r="K1998" t="inlineStr">
        <is>
          <t>Sim</t>
        </is>
      </c>
    </row>
    <row r="1999">
      <c r="A1999" s="1">
        <f>HYPERLINK("https://eurofarma-latam-crm.veevavault.com/#object/account__v/V4TZ000019158CO", "Edilma Silva")</f>
        <v/>
      </c>
      <c r="B1999" s="1">
        <f>HYPERLINK("https://eurofarma-latam-crm.veevavault.com/#object/account__v/V4TZ000019158CO", "Edilma Mariz da Silva")</f>
        <v/>
      </c>
      <c r="C1999" t="inlineStr">
        <is>
          <t>RJ0430055</t>
        </is>
      </c>
      <c r="D1999" t="inlineStr">
        <is>
          <t>PSQ</t>
        </is>
      </c>
      <c r="E1999" t="inlineStr">
        <is>
          <t>Rua Do Ouvidor, 191</t>
        </is>
      </c>
      <c r="F1999" t="inlineStr">
        <is>
          <t>Centro</t>
        </is>
      </c>
      <c r="G1999" t="inlineStr">
        <is>
          <t>Rio de Janeiro</t>
        </is>
      </c>
      <c r="H1999" t="inlineStr">
        <is>
          <t>RJ</t>
        </is>
      </c>
      <c r="I1999" t="n">
        <v>7745</v>
      </c>
      <c r="J1999" t="inlineStr">
        <is>
          <t>CAT 3</t>
        </is>
      </c>
      <c r="K1999" t="inlineStr">
        <is>
          <t>Sim</t>
        </is>
      </c>
    </row>
    <row r="2000">
      <c r="A2000" s="1">
        <f>HYPERLINK("https://eurofarma-latam-crm.veevavault.com/#object/account__v/V4TZ000019164IN", "Edna Patrícia Ramirez")</f>
        <v/>
      </c>
      <c r="B2000" s="1">
        <f>HYPERLINK("https://eurofarma-latam-crm.veevavault.com/#object/account__v/V4TZ000019164IN", "Edna Patrícia Charry Ramirez")</f>
        <v/>
      </c>
      <c r="C2000" t="inlineStr">
        <is>
          <t>RJ0623512</t>
        </is>
      </c>
      <c r="D2000" t="inlineStr">
        <is>
          <t>PED</t>
        </is>
      </c>
      <c r="E2000" t="inlineStr">
        <is>
          <t>Rua Marquês de Paraná, 303</t>
        </is>
      </c>
      <c r="F2000" t="inlineStr">
        <is>
          <t>Centro</t>
        </is>
      </c>
      <c r="G2000" t="inlineStr">
        <is>
          <t>Niterói</t>
        </is>
      </c>
      <c r="H2000" t="inlineStr">
        <is>
          <t>RJ</t>
        </is>
      </c>
      <c r="I2000" t="n">
        <v>7745</v>
      </c>
      <c r="J2000" t="inlineStr">
        <is>
          <t>CAT 4</t>
        </is>
      </c>
      <c r="K2000" t="inlineStr">
        <is>
          <t>Sim</t>
        </is>
      </c>
    </row>
    <row r="2001">
      <c r="A2001" s="1">
        <f>HYPERLINK("https://eurofarma-latam-crm.veevavault.com/#object/account__v/V4TZ00001916FKJ", "Eduardo Gonçalves")</f>
        <v/>
      </c>
      <c r="B2001" s="1">
        <f>HYPERLINK("https://eurofarma-latam-crm.veevavault.com/#object/account__v/V4TZ00001916FKJ", "Eduardo Costa Gonçalves")</f>
        <v/>
      </c>
      <c r="C2001" t="inlineStr">
        <is>
          <t>RJ0852180</t>
        </is>
      </c>
      <c r="D2001" t="inlineStr">
        <is>
          <t>CLG / SNC</t>
        </is>
      </c>
      <c r="E2001" t="inlineStr">
        <is>
          <t>Boulevard Vinte e Oito de Setembro, 77</t>
        </is>
      </c>
      <c r="F2001" t="inlineStr">
        <is>
          <t>Vila Isabel</t>
        </is>
      </c>
      <c r="G2001" t="inlineStr">
        <is>
          <t>Rio de Janeiro</t>
        </is>
      </c>
      <c r="H2001" t="inlineStr">
        <is>
          <t>RJ</t>
        </is>
      </c>
      <c r="I2001" t="n">
        <v>7745</v>
      </c>
      <c r="J2001" t="inlineStr">
        <is>
          <t>CAT 4</t>
        </is>
      </c>
      <c r="K2001" t="inlineStr">
        <is>
          <t>Sim</t>
        </is>
      </c>
    </row>
    <row r="2002">
      <c r="A2002" s="1">
        <f>HYPERLINK("https://eurofarma-latam-crm.veevavault.com/#object/account__v/V4TZ00001915NVE", "Eduardo Luis Almeida")</f>
        <v/>
      </c>
      <c r="B2002" s="1">
        <f>HYPERLINK("https://eurofarma-latam-crm.veevavault.com/#object/account__v/V4TZ00001915NVE", "Eduardo Luis Gomes de Almeida")</f>
        <v/>
      </c>
      <c r="C2002" t="inlineStr">
        <is>
          <t>RJ0797243</t>
        </is>
      </c>
      <c r="D2002" t="inlineStr">
        <is>
          <t>ORL</t>
        </is>
      </c>
      <c r="E2002" t="inlineStr">
        <is>
          <t>Rua Rodolfo Dantas, 106 - Salas 301 A 303</t>
        </is>
      </c>
      <c r="F2002" t="inlineStr">
        <is>
          <t>Copacabana</t>
        </is>
      </c>
      <c r="G2002" t="inlineStr">
        <is>
          <t>Rio de Janeiro</t>
        </is>
      </c>
      <c r="H2002" t="inlineStr">
        <is>
          <t>RJ</t>
        </is>
      </c>
      <c r="I2002" t="n">
        <v>7745</v>
      </c>
      <c r="J2002" t="inlineStr">
        <is>
          <t>CAT 3</t>
        </is>
      </c>
      <c r="K2002" t="inlineStr">
        <is>
          <t>Sim</t>
        </is>
      </c>
    </row>
    <row r="2003">
      <c r="A2003" s="1">
        <f>HYPERLINK("https://eurofarma-latam-crm.veevavault.com/#object/account__v/V4TZ00001914BS5", "Eduardo Muniz")</f>
        <v/>
      </c>
      <c r="B2003" s="1">
        <f>HYPERLINK("https://eurofarma-latam-crm.veevavault.com/#object/account__v/V4TZ00001914BS5", "Eduardo Daflon Vinhosa Muniz")</f>
        <v/>
      </c>
      <c r="C2003" t="inlineStr">
        <is>
          <t>RJ1197932</t>
        </is>
      </c>
      <c r="D2003" t="inlineStr">
        <is>
          <t>PSQ</t>
        </is>
      </c>
      <c r="E2003" t="inlineStr">
        <is>
          <t>Rua São Sebastião, 32</t>
        </is>
      </c>
      <c r="F2003" t="inlineStr">
        <is>
          <t>Ingá</t>
        </is>
      </c>
      <c r="G2003" t="inlineStr">
        <is>
          <t>Niterói</t>
        </is>
      </c>
      <c r="H2003" t="inlineStr">
        <is>
          <t>RJ</t>
        </is>
      </c>
      <c r="I2003" t="n">
        <v>7745</v>
      </c>
      <c r="J2003" t="inlineStr">
        <is>
          <t>CAT 2</t>
        </is>
      </c>
      <c r="K2003" t="inlineStr">
        <is>
          <t>Sim</t>
        </is>
      </c>
    </row>
    <row r="2004">
      <c r="A2004" s="1">
        <f>HYPERLINK("https://eurofarma-latam-crm.veevavault.com/#object/account__v/V4TZ000018NYQKO", "Eleonora Quinhoes")</f>
        <v/>
      </c>
      <c r="B2004" s="1">
        <f>HYPERLINK("https://eurofarma-latam-crm.veevavault.com/#object/account__v/V4TZ000018NYQKO", "Eleonora Pati Quinhoes")</f>
        <v/>
      </c>
      <c r="C2004" t="inlineStr">
        <is>
          <t>RJ0451880</t>
        </is>
      </c>
      <c r="D2004" t="inlineStr">
        <is>
          <t>ORL</t>
        </is>
      </c>
      <c r="E2004" t="inlineStr">
        <is>
          <t>Avenida Nossa Senhora de Copacabana, 500 - Salas 711 e 712</t>
        </is>
      </c>
      <c r="F2004" t="inlineStr">
        <is>
          <t>Copacabana</t>
        </is>
      </c>
      <c r="G2004" t="inlineStr">
        <is>
          <t>Rio de Janeiro</t>
        </is>
      </c>
      <c r="H2004" t="inlineStr">
        <is>
          <t>RJ</t>
        </is>
      </c>
      <c r="I2004" t="n">
        <v>7745</v>
      </c>
      <c r="J2004" t="inlineStr">
        <is>
          <t>CAT 5</t>
        </is>
      </c>
      <c r="K2004" t="inlineStr">
        <is>
          <t>N�o</t>
        </is>
      </c>
    </row>
    <row r="2005">
      <c r="A2005" s="1">
        <f>HYPERLINK("https://eurofarma-latam-crm.veevavault.com/#object/account__v/V4TZ000018NZ4K3", "Elizabete Cavalcante")</f>
        <v/>
      </c>
      <c r="B2005" s="1">
        <f>HYPERLINK("https://eurofarma-latam-crm.veevavault.com/#object/account__v/V4TZ000018NZ4K3", "Elizabete Fernandes Cavalcante")</f>
        <v/>
      </c>
      <c r="C2005" t="inlineStr">
        <is>
          <t>RJ0498662</t>
        </is>
      </c>
      <c r="D2005" t="inlineStr">
        <is>
          <t>ORT</t>
        </is>
      </c>
      <c r="E2005" t="inlineStr">
        <is>
          <t>Rua Dom Marcos Barbosa, 2 - Sala 201</t>
        </is>
      </c>
      <c r="F2005" t="inlineStr">
        <is>
          <t>Cidade Nova</t>
        </is>
      </c>
      <c r="G2005" t="inlineStr">
        <is>
          <t>Rio de Janeiro</t>
        </is>
      </c>
      <c r="H2005" t="inlineStr">
        <is>
          <t>RJ</t>
        </is>
      </c>
      <c r="I2005" t="n">
        <v>7745</v>
      </c>
      <c r="J2005" t="inlineStr">
        <is>
          <t>CAT 3</t>
        </is>
      </c>
      <c r="K2005" t="inlineStr">
        <is>
          <t>Sim</t>
        </is>
      </c>
    </row>
    <row r="2006">
      <c r="A2006" s="1">
        <f>HYPERLINK("https://eurofarma-latam-crm.veevavault.com/#object/account__v/V4TZ000018NY4X9", "Elizabeth de Oliveira")</f>
        <v/>
      </c>
      <c r="B2006" s="1">
        <f>HYPERLINK("https://eurofarma-latam-crm.veevavault.com/#object/account__v/V4TZ000018NY4X9", "Elizabeth Gouveia de Oliveira")</f>
        <v/>
      </c>
      <c r="C2006" t="inlineStr">
        <is>
          <t>RJ0593375</t>
        </is>
      </c>
      <c r="D2006" t="inlineStr">
        <is>
          <t>CLG</t>
        </is>
      </c>
      <c r="E2006" t="inlineStr">
        <is>
          <t>Rua Gavião Peixoto, 148 - Sala 604</t>
        </is>
      </c>
      <c r="F2006" t="inlineStr">
        <is>
          <t>Icaraí</t>
        </is>
      </c>
      <c r="G2006" t="inlineStr">
        <is>
          <t>Niterói</t>
        </is>
      </c>
      <c r="H2006" t="inlineStr">
        <is>
          <t>RJ</t>
        </is>
      </c>
      <c r="I2006" t="n">
        <v>7745</v>
      </c>
      <c r="J2006" t="inlineStr">
        <is>
          <t>CAT 4</t>
        </is>
      </c>
      <c r="K2006" t="inlineStr">
        <is>
          <t>Sim</t>
        </is>
      </c>
    </row>
    <row r="2007">
      <c r="A2007" s="1">
        <f>HYPERLINK("https://eurofarma-latam-crm.veevavault.com/#object/account__v/V4TZ00001915Y4P", "Erika Queiroz")</f>
        <v/>
      </c>
      <c r="B2007" s="1">
        <f>HYPERLINK("https://eurofarma-latam-crm.veevavault.com/#object/account__v/V4TZ00001915Y4P", "Erika Kaltenecker Retto de Queiroz")</f>
        <v/>
      </c>
      <c r="C2007" t="inlineStr">
        <is>
          <t>RJ0583483</t>
        </is>
      </c>
      <c r="D2007" t="inlineStr">
        <is>
          <t>END</t>
        </is>
      </c>
      <c r="E2007" t="inlineStr">
        <is>
          <t>Rua Dom Marcos Barbosa, 2 - Loja I</t>
        </is>
      </c>
      <c r="F2007" t="inlineStr">
        <is>
          <t>Cidade Nova</t>
        </is>
      </c>
      <c r="G2007" t="inlineStr">
        <is>
          <t>Rio de Janeiro</t>
        </is>
      </c>
      <c r="H2007" t="inlineStr">
        <is>
          <t>RJ</t>
        </is>
      </c>
      <c r="I2007" t="n">
        <v>7745</v>
      </c>
      <c r="J2007" t="inlineStr">
        <is>
          <t>CAT 3</t>
        </is>
      </c>
      <c r="K2007" t="inlineStr">
        <is>
          <t>Sim</t>
        </is>
      </c>
    </row>
    <row r="2008">
      <c r="A2008" s="1">
        <f>HYPERLINK("https://eurofarma-latam-crm.veevavault.com/#object/account__v/V4TZ00001914TB6", "Eugenio Azevedo")</f>
        <v/>
      </c>
      <c r="B2008" s="1">
        <f>HYPERLINK("https://eurofarma-latam-crm.veevavault.com/#object/account__v/V4TZ00001914TB6", "Eugenio Bomfim de Barros e Azevedo")</f>
        <v/>
      </c>
      <c r="C2008" t="inlineStr">
        <is>
          <t>RJ0402633</t>
        </is>
      </c>
      <c r="D2008" t="inlineStr">
        <is>
          <t>ORT</t>
        </is>
      </c>
      <c r="E2008" t="inlineStr">
        <is>
          <t>Avenida Ataulfo de Paiva, 734</t>
        </is>
      </c>
      <c r="F2008" t="inlineStr">
        <is>
          <t>Leblon</t>
        </is>
      </c>
      <c r="G2008" t="inlineStr">
        <is>
          <t>Rio de Janeiro</t>
        </is>
      </c>
      <c r="H2008" t="inlineStr">
        <is>
          <t>RJ</t>
        </is>
      </c>
      <c r="I2008" t="n">
        <v>7745</v>
      </c>
      <c r="J2008" t="inlineStr">
        <is>
          <t>CAT 5</t>
        </is>
      </c>
      <c r="K2008" t="inlineStr">
        <is>
          <t>N�o</t>
        </is>
      </c>
    </row>
    <row r="2009">
      <c r="A2009" s="1">
        <f>HYPERLINK("https://eurofarma-latam-crm.veevavault.com/#object/account__v/V4TZ00001915NXW", "Evaldo Ferreira")</f>
        <v/>
      </c>
      <c r="B2009" s="1">
        <f>HYPERLINK("https://eurofarma-latam-crm.veevavault.com/#object/account__v/V4TZ00001915NXW", "Evaldo Karam de Lima Ferreira")</f>
        <v/>
      </c>
      <c r="C2009" t="inlineStr">
        <is>
          <t>RJ0884200</t>
        </is>
      </c>
      <c r="D2009" t="inlineStr">
        <is>
          <t>ORT</t>
        </is>
      </c>
      <c r="E2009" t="inlineStr">
        <is>
          <t>Rua Voluntários da Pátria, 54 - Loja C</t>
        </is>
      </c>
      <c r="F2009" t="inlineStr">
        <is>
          <t>Botafogo</t>
        </is>
      </c>
      <c r="G2009" t="inlineStr">
        <is>
          <t>Rio de Janeiro</t>
        </is>
      </c>
      <c r="H2009" t="inlineStr">
        <is>
          <t>RJ</t>
        </is>
      </c>
      <c r="I2009" t="n">
        <v>7745</v>
      </c>
      <c r="J2009" t="inlineStr">
        <is>
          <t>CAT 4</t>
        </is>
      </c>
      <c r="K2009" t="inlineStr">
        <is>
          <t>Sim</t>
        </is>
      </c>
    </row>
    <row r="2010">
      <c r="A2010" s="1">
        <f>HYPERLINK("https://eurofarma-latam-crm.veevavault.com/#object/account__v/V4TZ000019153P6", "Fabiana Correa")</f>
        <v/>
      </c>
      <c r="B2010" s="1">
        <f>HYPERLINK("https://eurofarma-latam-crm.veevavault.com/#object/account__v/V4TZ000019153P6", "Fabiana Cambraia Correa")</f>
        <v/>
      </c>
      <c r="C2010" t="inlineStr">
        <is>
          <t>RJ0817244</t>
        </is>
      </c>
      <c r="D2010" t="inlineStr">
        <is>
          <t>ORL</t>
        </is>
      </c>
      <c r="E2010" t="inlineStr">
        <is>
          <t>Rua do Ouvidor, 161 - Sala 307</t>
        </is>
      </c>
      <c r="F2010" t="inlineStr">
        <is>
          <t>Centro</t>
        </is>
      </c>
      <c r="G2010" t="inlineStr">
        <is>
          <t>Rio de Janeiro</t>
        </is>
      </c>
      <c r="H2010" t="inlineStr">
        <is>
          <t>RJ</t>
        </is>
      </c>
      <c r="I2010" t="n">
        <v>7745</v>
      </c>
      <c r="J2010" t="inlineStr">
        <is>
          <t>CAT 5</t>
        </is>
      </c>
      <c r="K2010" t="inlineStr">
        <is>
          <t>Sim</t>
        </is>
      </c>
    </row>
    <row r="2011">
      <c r="A2011" s="1">
        <f>HYPERLINK("https://eurofarma-latam-crm.veevavault.com/#object/account__v/V4TZ000018NYDOL", "Fábio Silva")</f>
        <v/>
      </c>
      <c r="B2011" s="1">
        <f>HYPERLINK("https://eurofarma-latam-crm.veevavault.com/#object/account__v/V4TZ000018NYDOL", "Fábio Mello Barbirato Nascimento Silva")</f>
        <v/>
      </c>
      <c r="C2011" t="inlineStr">
        <is>
          <t>RJ0629707</t>
        </is>
      </c>
      <c r="D2011" t="inlineStr">
        <is>
          <t>PSQ</t>
        </is>
      </c>
      <c r="E2011" t="inlineStr">
        <is>
          <t>Rua Visconde de Pirajá, 547, 547 - Sal 613</t>
        </is>
      </c>
      <c r="F2011" t="inlineStr">
        <is>
          <t>Ipanema</t>
        </is>
      </c>
      <c r="G2011" t="inlineStr">
        <is>
          <t>Rio de Janeiro</t>
        </is>
      </c>
      <c r="H2011" t="inlineStr">
        <is>
          <t>RJ</t>
        </is>
      </c>
      <c r="I2011" t="n">
        <v>7745</v>
      </c>
      <c r="J2011" t="inlineStr">
        <is>
          <t>CAT 2</t>
        </is>
      </c>
      <c r="K2011" t="inlineStr">
        <is>
          <t>Sim</t>
        </is>
      </c>
    </row>
    <row r="2012">
      <c r="A2012" s="1">
        <f>HYPERLINK("https://eurofarma-latam-crm.veevavault.com/#object/account__v/V4TZ00001915VU4", "Felipe Baptista")</f>
        <v/>
      </c>
      <c r="B2012" s="1">
        <f>HYPERLINK("https://eurofarma-latam-crm.veevavault.com/#object/account__v/V4TZ00001915VU4", "Felipe Rodrigues Baptista")</f>
        <v/>
      </c>
      <c r="C2012" t="inlineStr">
        <is>
          <t>RJ0759023</t>
        </is>
      </c>
      <c r="D2012" t="inlineStr">
        <is>
          <t>CLG</t>
        </is>
      </c>
      <c r="E2012" t="inlineStr">
        <is>
          <t>Rua Voluntários da Pátria, 445, 445 - Sal 311</t>
        </is>
      </c>
      <c r="F2012" t="inlineStr">
        <is>
          <t>Botafogo</t>
        </is>
      </c>
      <c r="G2012" t="inlineStr">
        <is>
          <t>Rio de Janeiro</t>
        </is>
      </c>
      <c r="H2012" t="inlineStr">
        <is>
          <t>RJ</t>
        </is>
      </c>
      <c r="I2012" t="n">
        <v>7745</v>
      </c>
      <c r="J2012" t="inlineStr">
        <is>
          <t>CAT 2</t>
        </is>
      </c>
      <c r="K2012" t="inlineStr">
        <is>
          <t>Sim</t>
        </is>
      </c>
    </row>
    <row r="2013">
      <c r="A2013" s="1">
        <f>HYPERLINK("https://eurofarma-latam-crm.veevavault.com/#object/account__v/V4TZ00001915G35", "Felipe da Costa")</f>
        <v/>
      </c>
      <c r="B2013" s="1">
        <f>HYPERLINK("https://eurofarma-latam-crm.veevavault.com/#object/account__v/V4TZ00001915G35", "Felipe Braga da Costa")</f>
        <v/>
      </c>
      <c r="C2013" t="inlineStr">
        <is>
          <t>RJ0927651</t>
        </is>
      </c>
      <c r="D2013" t="inlineStr">
        <is>
          <t>ORT</t>
        </is>
      </c>
      <c r="E2013" t="inlineStr">
        <is>
          <t>Rua Voluntários da Pátria, 445 - Loj 218 Loj 219</t>
        </is>
      </c>
      <c r="F2013" t="inlineStr">
        <is>
          <t>Botafogo</t>
        </is>
      </c>
      <c r="G2013" t="inlineStr">
        <is>
          <t>Rio de Janeiro</t>
        </is>
      </c>
      <c r="H2013" t="inlineStr">
        <is>
          <t>RJ</t>
        </is>
      </c>
      <c r="I2013" t="n">
        <v>7745</v>
      </c>
      <c r="J2013" t="inlineStr">
        <is>
          <t>CAT 4</t>
        </is>
      </c>
      <c r="K2013" t="inlineStr">
        <is>
          <t>Sim</t>
        </is>
      </c>
    </row>
    <row r="2014">
      <c r="A2014" s="1">
        <f>HYPERLINK("https://eurofarma-latam-crm.veevavault.com/#object/account__v/V4TZ025E86E214P", "Fernanda Serra")</f>
        <v/>
      </c>
      <c r="B2014" s="1">
        <f>HYPERLINK("https://eurofarma-latam-crm.veevavault.com/#object/account__v/V4TZ025E86E214P", "Fernanda Nunes Firmo Serra")</f>
        <v/>
      </c>
      <c r="C2014" t="inlineStr">
        <is>
          <t>RJ1313746</t>
        </is>
      </c>
      <c r="D2014" t="inlineStr">
        <is>
          <t>PSQ</t>
        </is>
      </c>
      <c r="E2014" t="inlineStr">
        <is>
          <t>Rua Aurelino Leal, 45 - Loja e Sobrado</t>
        </is>
      </c>
      <c r="F2014" t="inlineStr">
        <is>
          <t>Centro</t>
        </is>
      </c>
      <c r="G2014" t="inlineStr">
        <is>
          <t>Niterói</t>
        </is>
      </c>
      <c r="H2014" t="inlineStr">
        <is>
          <t>RJ</t>
        </is>
      </c>
      <c r="I2014" t="n">
        <v>7745</v>
      </c>
      <c r="J2014" t="inlineStr">
        <is>
          <t>CAT 3</t>
        </is>
      </c>
      <c r="K2014" t="inlineStr">
        <is>
          <t>Sim</t>
        </is>
      </c>
    </row>
    <row r="2015">
      <c r="A2015" s="1">
        <f>HYPERLINK("https://eurofarma-latam-crm.veevavault.com/#object/account__v/V4TZ000018NXH2N", "Fernando Cesar de Bragança")</f>
        <v/>
      </c>
      <c r="B2015" s="1">
        <f>HYPERLINK("https://eurofarma-latam-crm.veevavault.com/#object/account__v/V4TZ000018NXH2N", "Fernando Cesar Ranzeiro de Bragança")</f>
        <v/>
      </c>
      <c r="C2015" t="inlineStr">
        <is>
          <t>RJ0350809</t>
        </is>
      </c>
      <c r="D2015" t="inlineStr">
        <is>
          <t>PED</t>
        </is>
      </c>
      <c r="E2015" t="inlineStr">
        <is>
          <t>Rua da Conceição, 188 - Sala 1901 A</t>
        </is>
      </c>
      <c r="F2015" t="inlineStr">
        <is>
          <t>Centro</t>
        </is>
      </c>
      <c r="G2015" t="inlineStr">
        <is>
          <t>Niterói</t>
        </is>
      </c>
      <c r="H2015" t="inlineStr">
        <is>
          <t>RJ</t>
        </is>
      </c>
      <c r="I2015" t="n">
        <v>7745</v>
      </c>
      <c r="J2015" t="inlineStr">
        <is>
          <t>CAT 4</t>
        </is>
      </c>
      <c r="K2015" t="inlineStr">
        <is>
          <t>Sim</t>
        </is>
      </c>
    </row>
    <row r="2016">
      <c r="A2016" s="1">
        <f>HYPERLINK("https://eurofarma-latam-crm.veevavault.com/#object/account__v/V4TZ000019149IF", "Fernando Tadeu Vazquez")</f>
        <v/>
      </c>
      <c r="B2016" s="1">
        <f>HYPERLINK("https://eurofarma-latam-crm.veevavault.com/#object/account__v/V4TZ000019149IF", "Fernando Tadeu Brandão dos Santos Vazquez")</f>
        <v/>
      </c>
      <c r="C2016" t="inlineStr">
        <is>
          <t>RJ0785040</t>
        </is>
      </c>
      <c r="D2016" t="inlineStr">
        <is>
          <t>GAS</t>
        </is>
      </c>
      <c r="E2016" t="inlineStr">
        <is>
          <t>Rua Conceicao, 37 - Sala 104</t>
        </is>
      </c>
      <c r="F2016" t="inlineStr">
        <is>
          <t>Centro</t>
        </is>
      </c>
      <c r="G2016" t="inlineStr">
        <is>
          <t>Rio Bonito</t>
        </is>
      </c>
      <c r="H2016" t="inlineStr">
        <is>
          <t>RJ</t>
        </is>
      </c>
      <c r="I2016" t="n">
        <v>7745</v>
      </c>
      <c r="J2016" t="inlineStr">
        <is>
          <t>CAT 4</t>
        </is>
      </c>
      <c r="K2016" t="inlineStr">
        <is>
          <t>N�o</t>
        </is>
      </c>
    </row>
    <row r="2017">
      <c r="A2017" s="1">
        <f>HYPERLINK("https://eurofarma-latam-crm.veevavault.com/#object/account__v/V4TZ025E84L6WGV", "Fernando Tavares")</f>
        <v/>
      </c>
      <c r="B2017" s="1">
        <f>HYPERLINK("https://eurofarma-latam-crm.veevavault.com/#object/account__v/V4TZ025E84L6WGV", "Fernando Godinho Tavares")</f>
        <v/>
      </c>
      <c r="C2017" t="inlineStr">
        <is>
          <t>RJ0580958</t>
        </is>
      </c>
      <c r="D2017" t="inlineStr">
        <is>
          <t>PSQ</t>
        </is>
      </c>
      <c r="E2017" t="inlineStr">
        <is>
          <t>Rua Miguel de Frias, 51 - 8 Andar Sala 801</t>
        </is>
      </c>
      <c r="F2017" t="inlineStr">
        <is>
          <t>Icaraí</t>
        </is>
      </c>
      <c r="G2017" t="inlineStr">
        <is>
          <t>Niterói</t>
        </is>
      </c>
      <c r="H2017" t="inlineStr">
        <is>
          <t>RJ</t>
        </is>
      </c>
      <c r="I2017" t="n">
        <v>7745</v>
      </c>
      <c r="J2017" t="inlineStr">
        <is>
          <t>CAT 1</t>
        </is>
      </c>
      <c r="K2017" t="inlineStr">
        <is>
          <t>Sim</t>
        </is>
      </c>
    </row>
    <row r="2018">
      <c r="A2018" s="1">
        <f>HYPERLINK("https://eurofarma-latam-crm.veevavault.com/#object/account__v/V4TZ00001915UUD", "Francisca Ennes")</f>
        <v/>
      </c>
      <c r="B2018" s="1">
        <f>HYPERLINK("https://eurofarma-latam-crm.veevavault.com/#object/account__v/V4TZ00001915UUD", "Francisca Fabíola Nascimento Ennes")</f>
        <v/>
      </c>
      <c r="C2018" t="inlineStr">
        <is>
          <t>RJ0785687</t>
        </is>
      </c>
      <c r="D2018" t="inlineStr">
        <is>
          <t>END</t>
        </is>
      </c>
      <c r="E2018" t="inlineStr">
        <is>
          <t>Rua Coronel Agostinho, 76</t>
        </is>
      </c>
      <c r="F2018" t="inlineStr">
        <is>
          <t>Campo Grande</t>
        </is>
      </c>
      <c r="G2018" t="inlineStr">
        <is>
          <t>Rio de Janeiro</t>
        </is>
      </c>
      <c r="H2018" t="inlineStr">
        <is>
          <t>RJ</t>
        </is>
      </c>
      <c r="I2018" t="n">
        <v>7745</v>
      </c>
      <c r="J2018" t="inlineStr">
        <is>
          <t>CAT 2</t>
        </is>
      </c>
      <c r="K2018" t="inlineStr">
        <is>
          <t>Sim</t>
        </is>
      </c>
    </row>
    <row r="2019">
      <c r="A2019" s="1">
        <f>HYPERLINK("https://eurofarma-latam-crm.veevavault.com/#object/account__v/V4TZ00001915JCM", "Francisco Lobato Filho")</f>
        <v/>
      </c>
      <c r="B2019" s="1">
        <f>HYPERLINK("https://eurofarma-latam-crm.veevavault.com/#object/account__v/V4TZ00001915JCM", "Francisco de Paula de Negreiros Sayão Lobato Filho")</f>
        <v/>
      </c>
      <c r="C2019" t="inlineStr">
        <is>
          <t>RJ0371533</t>
        </is>
      </c>
      <c r="D2019" t="inlineStr">
        <is>
          <t>PSQ</t>
        </is>
      </c>
      <c r="E2019" t="inlineStr">
        <is>
          <t>Praça Coronel Assunção, S/N</t>
        </is>
      </c>
      <c r="F2019" t="inlineStr">
        <is>
          <t>Gamboa</t>
        </is>
      </c>
      <c r="G2019" t="inlineStr">
        <is>
          <t>Rio de Janeiro</t>
        </is>
      </c>
      <c r="H2019" t="inlineStr">
        <is>
          <t>RJ</t>
        </is>
      </c>
      <c r="I2019" t="n">
        <v>7745</v>
      </c>
      <c r="J2019" t="inlineStr">
        <is>
          <t>CAT 5</t>
        </is>
      </c>
      <c r="K2019" t="inlineStr">
        <is>
          <t>Sim</t>
        </is>
      </c>
    </row>
    <row r="2020">
      <c r="A2020" s="1">
        <f>HYPERLINK("https://eurofarma-latam-crm.veevavault.com/#object/account__v/V4TZ00001913EUQ", "Francisco Maurício Bessa")</f>
        <v/>
      </c>
      <c r="B2020" s="1">
        <f>HYPERLINK("https://eurofarma-latam-crm.veevavault.com/#object/account__v/V4TZ00001913EUQ", "Francisco Maurício Ramos Bessa")</f>
        <v/>
      </c>
      <c r="C2020" t="inlineStr">
        <is>
          <t>RJ0565290</t>
        </is>
      </c>
      <c r="D2020" t="inlineStr">
        <is>
          <t>ORL</t>
        </is>
      </c>
      <c r="E2020" t="inlineStr">
        <is>
          <t>Rua Afonso Cavalcanti, 455 - Andar 6</t>
        </is>
      </c>
      <c r="F2020" t="inlineStr">
        <is>
          <t>Cidade Nova</t>
        </is>
      </c>
      <c r="G2020" t="inlineStr">
        <is>
          <t>Rio de Janeiro</t>
        </is>
      </c>
      <c r="H2020" t="inlineStr">
        <is>
          <t>RJ</t>
        </is>
      </c>
      <c r="I2020" t="n">
        <v>7745</v>
      </c>
      <c r="J2020" t="inlineStr">
        <is>
          <t>CAT 4</t>
        </is>
      </c>
      <c r="K2020" t="inlineStr">
        <is>
          <t>Sim</t>
        </is>
      </c>
    </row>
    <row r="2021">
      <c r="A2021" s="1">
        <f>HYPERLINK("https://eurofarma-latam-crm.veevavault.com/#object/account__v/V4TZ00001913HCP", "Frederico Augusto da Silva")</f>
        <v/>
      </c>
      <c r="B2021" s="1">
        <f>HYPERLINK("https://eurofarma-latam-crm.veevavault.com/#object/account__v/V4TZ00001913HCP", "Frederico Augusto Ramos da Silva")</f>
        <v/>
      </c>
      <c r="C2021" t="inlineStr">
        <is>
          <t>RJ0971421</t>
        </is>
      </c>
      <c r="D2021" t="inlineStr">
        <is>
          <t>URO</t>
        </is>
      </c>
      <c r="E2021" t="inlineStr">
        <is>
          <t>Rua Santa Luzia, 206</t>
        </is>
      </c>
      <c r="F2021" t="inlineStr">
        <is>
          <t>Centro</t>
        </is>
      </c>
      <c r="G2021" t="inlineStr">
        <is>
          <t>Rio de Janeiro</t>
        </is>
      </c>
      <c r="H2021" t="inlineStr">
        <is>
          <t>RJ</t>
        </is>
      </c>
      <c r="I2021" t="n">
        <v>7745</v>
      </c>
      <c r="J2021" t="inlineStr">
        <is>
          <t>CAT 4</t>
        </is>
      </c>
      <c r="K2021" t="inlineStr">
        <is>
          <t>Sim</t>
        </is>
      </c>
    </row>
    <row r="2022">
      <c r="A2022" s="1">
        <f>HYPERLINK("https://eurofarma-latam-crm.veevavault.com/#object/account__v/V4TZ025E82P24UT", "Gabriel Ribeiro")</f>
        <v/>
      </c>
      <c r="B2022" s="1">
        <f>HYPERLINK("https://eurofarma-latam-crm.veevavault.com/#object/account__v/V4TZ025E82P24UT", "Gabriel Araujo Ribeiro")</f>
        <v/>
      </c>
      <c r="C2022" t="inlineStr">
        <is>
          <t>RJ1111728</t>
        </is>
      </c>
      <c r="D2022" t="inlineStr">
        <is>
          <t>ORT</t>
        </is>
      </c>
      <c r="E2022" t="inlineStr">
        <is>
          <t>Rua da Conceição, 188- Sala 1208</t>
        </is>
      </c>
      <c r="F2022" t="inlineStr">
        <is>
          <t>Centro</t>
        </is>
      </c>
      <c r="G2022" t="inlineStr">
        <is>
          <t>Niterói</t>
        </is>
      </c>
      <c r="H2022" t="inlineStr">
        <is>
          <t>RJ</t>
        </is>
      </c>
      <c r="I2022" t="n">
        <v>7745</v>
      </c>
      <c r="J2022" t="inlineStr">
        <is>
          <t>CAT 5</t>
        </is>
      </c>
      <c r="K2022" t="inlineStr">
        <is>
          <t>Sim</t>
        </is>
      </c>
    </row>
    <row r="2023">
      <c r="A2023" s="1">
        <f>HYPERLINK("https://eurofarma-latam-crm.veevavault.com/#object/account__v/V4TZ000018NXQY1", "Gabriela Marques")</f>
        <v/>
      </c>
      <c r="B2023" s="1">
        <f>HYPERLINK("https://eurofarma-latam-crm.veevavault.com/#object/account__v/V4TZ000018NXQY1", "Gabriela Chambarelli Prisco Marques")</f>
        <v/>
      </c>
      <c r="C2023" t="inlineStr">
        <is>
          <t>RJ1011324</t>
        </is>
      </c>
      <c r="D2023" t="inlineStr">
        <is>
          <t>END</t>
        </is>
      </c>
      <c r="E2023" t="inlineStr">
        <is>
          <t>Rua Santa Luzia, 206</t>
        </is>
      </c>
      <c r="F2023" t="inlineStr">
        <is>
          <t>Centro</t>
        </is>
      </c>
      <c r="G2023" t="inlineStr">
        <is>
          <t>Rio de Janeiro</t>
        </is>
      </c>
      <c r="H2023" t="inlineStr">
        <is>
          <t>RJ</t>
        </is>
      </c>
      <c r="I2023" t="n">
        <v>7745</v>
      </c>
      <c r="J2023" t="inlineStr"/>
      <c r="K2023" t="inlineStr"/>
    </row>
    <row r="2024">
      <c r="A2024" s="1">
        <f>HYPERLINK("https://eurofarma-latam-crm.veevavault.com/#object/account__v/V4TZ00001915UDF", "George Rudge")</f>
        <v/>
      </c>
      <c r="B2024" s="1">
        <f>HYPERLINK("https://eurofarma-latam-crm.veevavault.com/#object/account__v/V4TZ00001915UDF", "George Vieira de Mello Rudge")</f>
        <v/>
      </c>
      <c r="C2024" t="inlineStr">
        <is>
          <t>RJ0739502</t>
        </is>
      </c>
      <c r="D2024" t="inlineStr">
        <is>
          <t>END</t>
        </is>
      </c>
      <c r="E2024" t="inlineStr">
        <is>
          <t>Rua Professora Luiza Nogueira Gonçalves, 350 -  Bloco 2 Salas 201 a 235</t>
        </is>
      </c>
      <c r="F2024" t="inlineStr">
        <is>
          <t>Recreio dos Bandeirantes</t>
        </is>
      </c>
      <c r="G2024" t="inlineStr">
        <is>
          <t>Rio de Janeiro</t>
        </is>
      </c>
      <c r="H2024" t="inlineStr">
        <is>
          <t>RJ</t>
        </is>
      </c>
      <c r="I2024" t="n">
        <v>7745</v>
      </c>
      <c r="J2024" t="inlineStr">
        <is>
          <t>CAT 3</t>
        </is>
      </c>
      <c r="K2024" t="inlineStr">
        <is>
          <t>Sim</t>
        </is>
      </c>
    </row>
    <row r="2025">
      <c r="A2025" s="1">
        <f>HYPERLINK("https://eurofarma-latam-crm.veevavault.com/#object/account__v/V4TZ00001914YT4", "Geraldo Anjos")</f>
        <v/>
      </c>
      <c r="B2025" s="1">
        <f>HYPERLINK("https://eurofarma-latam-crm.veevavault.com/#object/account__v/V4TZ00001914YT4", "Geraldo Mendes dos Anjos")</f>
        <v/>
      </c>
      <c r="C2025" t="inlineStr">
        <is>
          <t>RJ0028769</t>
        </is>
      </c>
      <c r="D2025" t="inlineStr">
        <is>
          <t>ORT</t>
        </is>
      </c>
      <c r="E2025" t="inlineStr">
        <is>
          <t>Rua Professor Ismael Coutinho, S/N - Edificio</t>
        </is>
      </c>
      <c r="F2025" t="inlineStr">
        <is>
          <t>Centro</t>
        </is>
      </c>
      <c r="G2025" t="inlineStr">
        <is>
          <t>Niterói</t>
        </is>
      </c>
      <c r="H2025" t="inlineStr">
        <is>
          <t>RJ</t>
        </is>
      </c>
      <c r="I2025" t="n">
        <v>7745</v>
      </c>
      <c r="J2025" t="inlineStr">
        <is>
          <t>CAT 3</t>
        </is>
      </c>
      <c r="K2025" t="inlineStr">
        <is>
          <t>Sim</t>
        </is>
      </c>
    </row>
    <row r="2026">
      <c r="A2026" s="1">
        <f>HYPERLINK("https://eurofarma-latam-crm.veevavault.com/#object/account__v/V4TZ00001915H74", "Geraldo Brito")</f>
        <v/>
      </c>
      <c r="B2026" s="1">
        <f>HYPERLINK("https://eurofarma-latam-crm.veevavault.com/#object/account__v/V4TZ00001915H74", "Geraldo Brito")</f>
        <v/>
      </c>
      <c r="C2026" t="inlineStr">
        <is>
          <t>RJ0258311</t>
        </is>
      </c>
      <c r="D2026" t="inlineStr">
        <is>
          <t>END</t>
        </is>
      </c>
      <c r="E2026" t="inlineStr">
        <is>
          <t>Rua Professor Hernani Melo, 103</t>
        </is>
      </c>
      <c r="F2026" t="inlineStr">
        <is>
          <t>São Domingos</t>
        </is>
      </c>
      <c r="G2026" t="inlineStr">
        <is>
          <t>Niterói</t>
        </is>
      </c>
      <c r="H2026" t="inlineStr">
        <is>
          <t>RJ</t>
        </is>
      </c>
      <c r="I2026" t="n">
        <v>7745</v>
      </c>
      <c r="J2026" t="inlineStr">
        <is>
          <t>CAT 3</t>
        </is>
      </c>
      <c r="K2026" t="inlineStr">
        <is>
          <t>Sim</t>
        </is>
      </c>
    </row>
    <row r="2027">
      <c r="A2027" s="1">
        <f>HYPERLINK("https://eurofarma-latam-crm.veevavault.com/#object/account__v/V4TZ000018NXHUQ", "Giampiero Binello")</f>
        <v/>
      </c>
      <c r="B2027" s="1">
        <f>HYPERLINK("https://eurofarma-latam-crm.veevavault.com/#object/account__v/V4TZ000018NXHUQ", "Giampiero Binello")</f>
        <v/>
      </c>
      <c r="C2027" t="inlineStr">
        <is>
          <t>RJ0396740</t>
        </is>
      </c>
      <c r="D2027" t="inlineStr">
        <is>
          <t>ORL</t>
        </is>
      </c>
      <c r="E2027" t="inlineStr">
        <is>
          <t>Rua Gabriel Henrique de Farias Júnior, 61 - Quadra 81 Lote 07</t>
        </is>
      </c>
      <c r="F2027" t="inlineStr">
        <is>
          <t>Centro</t>
        </is>
      </c>
      <c r="G2027" t="inlineStr">
        <is>
          <t>Maricá</t>
        </is>
      </c>
      <c r="H2027" t="inlineStr">
        <is>
          <t>RJ</t>
        </is>
      </c>
      <c r="I2027" t="n">
        <v>7745</v>
      </c>
      <c r="J2027" t="inlineStr">
        <is>
          <t>CAT 3</t>
        </is>
      </c>
      <c r="K2027" t="inlineStr">
        <is>
          <t>Sim</t>
        </is>
      </c>
    </row>
    <row r="2028">
      <c r="A2028" s="1">
        <f>HYPERLINK("https://eurofarma-latam-crm.veevavault.com/#object/account__v/V4TZ000019132HY", "Gilda Penha")</f>
        <v/>
      </c>
      <c r="B2028" s="1">
        <f>HYPERLINK("https://eurofarma-latam-crm.veevavault.com/#object/account__v/V4TZ000019132HY", "Gilda Moura Penha")</f>
        <v/>
      </c>
      <c r="C2028" t="inlineStr">
        <is>
          <t>RJ0378386</t>
        </is>
      </c>
      <c r="D2028" t="inlineStr">
        <is>
          <t>GER</t>
        </is>
      </c>
      <c r="E2028" t="inlineStr">
        <is>
          <t>Rua México , 21 - Sala 1902</t>
        </is>
      </c>
      <c r="F2028" t="inlineStr">
        <is>
          <t>Centro</t>
        </is>
      </c>
      <c r="G2028" t="inlineStr">
        <is>
          <t>Rio de Janeiro</t>
        </is>
      </c>
      <c r="H2028" t="inlineStr">
        <is>
          <t>RJ</t>
        </is>
      </c>
      <c r="I2028" t="n">
        <v>7745</v>
      </c>
      <c r="J2028" t="inlineStr">
        <is>
          <t>CAT 4</t>
        </is>
      </c>
      <c r="K2028" t="inlineStr">
        <is>
          <t>Sim</t>
        </is>
      </c>
    </row>
    <row r="2029">
      <c r="A2029" s="1">
        <f>HYPERLINK("https://eurofarma-latam-crm.veevavault.com/#object/account__v/V4TZ00001913A21", "Gisele Calvert")</f>
        <v/>
      </c>
      <c r="B2029" s="1">
        <f>HYPERLINK("https://eurofarma-latam-crm.veevavault.com/#object/account__v/V4TZ00001913A21", "Gisele Soares Calvert")</f>
        <v/>
      </c>
      <c r="C2029" t="inlineStr">
        <is>
          <t>RJ0779172</t>
        </is>
      </c>
      <c r="D2029" t="inlineStr">
        <is>
          <t>PED</t>
        </is>
      </c>
      <c r="E2029" t="inlineStr">
        <is>
          <t>Rua Manoel de Abreu, 9 - Parte</t>
        </is>
      </c>
      <c r="F2029" t="inlineStr">
        <is>
          <t>Centro</t>
        </is>
      </c>
      <c r="G2029" t="inlineStr">
        <is>
          <t>Niterói</t>
        </is>
      </c>
      <c r="H2029" t="inlineStr">
        <is>
          <t>RJ</t>
        </is>
      </c>
      <c r="I2029" t="n">
        <v>7745</v>
      </c>
      <c r="J2029" t="inlineStr">
        <is>
          <t>CAT 5</t>
        </is>
      </c>
      <c r="K2029" t="inlineStr">
        <is>
          <t>N�o</t>
        </is>
      </c>
    </row>
    <row r="2030">
      <c r="A2030" s="1">
        <f>HYPERLINK("https://eurofarma-latam-crm.veevavault.com/#object/account__v/V4TZ00001913JDP", "Gislaine Florido")</f>
        <v/>
      </c>
      <c r="B2030" s="1">
        <f>HYPERLINK("https://eurofarma-latam-crm.veevavault.com/#object/account__v/V4TZ00001913JDP", "Gislaine Rocha de Figueiredo Rimes Florido")</f>
        <v/>
      </c>
      <c r="C2030" t="inlineStr">
        <is>
          <t>RJ0561464</t>
        </is>
      </c>
      <c r="D2030" t="inlineStr">
        <is>
          <t>PSQ</t>
        </is>
      </c>
      <c r="E2030" t="inlineStr">
        <is>
          <t>Rua General Andrade Neves, 9 - Sala 619</t>
        </is>
      </c>
      <c r="F2030" t="inlineStr">
        <is>
          <t>São Domingos</t>
        </is>
      </c>
      <c r="G2030" t="inlineStr">
        <is>
          <t>Niterói</t>
        </is>
      </c>
      <c r="H2030" t="inlineStr">
        <is>
          <t>RJ</t>
        </is>
      </c>
      <c r="I2030" t="n">
        <v>7745</v>
      </c>
      <c r="J2030" t="inlineStr">
        <is>
          <t>CAT 2</t>
        </is>
      </c>
      <c r="K2030" t="inlineStr">
        <is>
          <t>Sim</t>
        </is>
      </c>
    </row>
    <row r="2031">
      <c r="A2031" s="1">
        <f>HYPERLINK("https://eurofarma-latam-crm.veevavault.com/#object/account__v/V4TZ00001913HB0", "Glaucus Martins")</f>
        <v/>
      </c>
      <c r="B2031" s="1">
        <f>HYPERLINK("https://eurofarma-latam-crm.veevavault.com/#object/account__v/V4TZ00001913HB0", "Glaucus Cajaty dos Santos Martins")</f>
        <v/>
      </c>
      <c r="C2031" t="inlineStr">
        <is>
          <t>RJ0570061</t>
        </is>
      </c>
      <c r="D2031" t="inlineStr">
        <is>
          <t>ORT</t>
        </is>
      </c>
      <c r="E2031" t="inlineStr">
        <is>
          <t>Avenida das Américas, 3939 - Bloco 1 Sala 210</t>
        </is>
      </c>
      <c r="F2031" t="inlineStr">
        <is>
          <t>Barra da Tijuca</t>
        </is>
      </c>
      <c r="G2031" t="inlineStr">
        <is>
          <t>Rio de Janeiro</t>
        </is>
      </c>
      <c r="H2031" t="inlineStr">
        <is>
          <t>RJ</t>
        </is>
      </c>
      <c r="I2031" t="n">
        <v>7745</v>
      </c>
      <c r="J2031" t="inlineStr">
        <is>
          <t>CAT 5</t>
        </is>
      </c>
      <c r="K2031" t="inlineStr">
        <is>
          <t>Sim</t>
        </is>
      </c>
    </row>
    <row r="2032">
      <c r="A2032" s="1">
        <f>HYPERLINK("https://eurofarma-latam-crm.veevavault.com/#object/account__v/V4TZ000018NYH1M", "Guilherme Fernandes Filho")</f>
        <v/>
      </c>
      <c r="B2032" s="1">
        <f>HYPERLINK("https://eurofarma-latam-crm.veevavault.com/#object/account__v/V4TZ000018NYH1M", "Guilherme Rodrigues Fernandes Filho")</f>
        <v/>
      </c>
      <c r="C2032" t="inlineStr">
        <is>
          <t>RJ0607614</t>
        </is>
      </c>
      <c r="D2032" t="inlineStr">
        <is>
          <t>NEU</t>
        </is>
      </c>
      <c r="E2032" t="inlineStr">
        <is>
          <t>Rua São Sebastião, 32</t>
        </is>
      </c>
      <c r="F2032" t="inlineStr">
        <is>
          <t>Ingá</t>
        </is>
      </c>
      <c r="G2032" t="inlineStr">
        <is>
          <t>Niterói</t>
        </is>
      </c>
      <c r="H2032" t="inlineStr">
        <is>
          <t>RJ</t>
        </is>
      </c>
      <c r="I2032" t="n">
        <v>7745</v>
      </c>
      <c r="J2032" t="inlineStr">
        <is>
          <t>CAT 2</t>
        </is>
      </c>
      <c r="K2032" t="inlineStr">
        <is>
          <t>Sim</t>
        </is>
      </c>
    </row>
    <row r="2033">
      <c r="A2033" s="1">
        <f>HYPERLINK("https://eurofarma-latam-crm.veevavault.com/#object/account__v/V4TZ000018NY0XS", "Guilherme Gouget")</f>
        <v/>
      </c>
      <c r="B2033" s="1">
        <f>HYPERLINK("https://eurofarma-latam-crm.veevavault.com/#object/account__v/V4TZ000018NY0XS", "Guilherme Ornellas Gouget")</f>
        <v/>
      </c>
      <c r="C2033" t="inlineStr">
        <is>
          <t>RJ0857742</t>
        </is>
      </c>
      <c r="D2033" t="inlineStr">
        <is>
          <t>ORT</t>
        </is>
      </c>
      <c r="E2033" t="inlineStr">
        <is>
          <t>Rua Voluntários da Pátria, 408</t>
        </is>
      </c>
      <c r="F2033" t="inlineStr">
        <is>
          <t>Botafogo</t>
        </is>
      </c>
      <c r="G2033" t="inlineStr">
        <is>
          <t>Rio de Janeiro</t>
        </is>
      </c>
      <c r="H2033" t="inlineStr">
        <is>
          <t>RJ</t>
        </is>
      </c>
      <c r="I2033" t="n">
        <v>7745</v>
      </c>
      <c r="J2033" t="inlineStr">
        <is>
          <t>CAT 2</t>
        </is>
      </c>
      <c r="K2033" t="inlineStr">
        <is>
          <t>Sim</t>
        </is>
      </c>
    </row>
    <row r="2034">
      <c r="A2034" s="1">
        <f>HYPERLINK("https://eurofarma-latam-crm.veevavault.com/#object/account__v/V4TZ0000191567B", "Guilherme Mendes")</f>
        <v/>
      </c>
      <c r="B2034" s="1">
        <f>HYPERLINK("https://eurofarma-latam-crm.veevavault.com/#object/account__v/V4TZ0000191567B", "Guilherme Almeida Mendes")</f>
        <v/>
      </c>
      <c r="C2034" t="inlineStr">
        <is>
          <t>RJ1058363</t>
        </is>
      </c>
      <c r="D2034" t="inlineStr">
        <is>
          <t>ORT</t>
        </is>
      </c>
      <c r="E2034" t="inlineStr">
        <is>
          <t>Rua da Conceição, 188 - Sala 904</t>
        </is>
      </c>
      <c r="F2034" t="inlineStr">
        <is>
          <t>Centro</t>
        </is>
      </c>
      <c r="G2034" t="inlineStr">
        <is>
          <t>Niterói</t>
        </is>
      </c>
      <c r="H2034" t="inlineStr">
        <is>
          <t>RJ</t>
        </is>
      </c>
      <c r="I2034" t="n">
        <v>7745</v>
      </c>
      <c r="J2034" t="inlineStr">
        <is>
          <t>CAT 5</t>
        </is>
      </c>
      <c r="K2034" t="inlineStr">
        <is>
          <t>Sim</t>
        </is>
      </c>
    </row>
    <row r="2035">
      <c r="A2035" s="1">
        <f>HYPERLINK("https://eurofarma-latam-crm.veevavault.com/#object/account__v/V4TZ000018NXMOU", "Helder Machado")</f>
        <v/>
      </c>
      <c r="B2035" s="1">
        <f>HYPERLINK("https://eurofarma-latam-crm.veevavault.com/#object/account__v/V4TZ000018NXMOU", "Helder Jose Alves Machado")</f>
        <v/>
      </c>
      <c r="C2035" t="inlineStr">
        <is>
          <t>RJ0567917</t>
        </is>
      </c>
      <c r="D2035" t="inlineStr">
        <is>
          <t>URO</t>
        </is>
      </c>
      <c r="E2035" t="inlineStr">
        <is>
          <t>Avenida Doutor Raul de Oliveira Rodrigues (Lot Cafubá), 382</t>
        </is>
      </c>
      <c r="F2035" t="inlineStr">
        <is>
          <t>Piratininga</t>
        </is>
      </c>
      <c r="G2035" t="inlineStr">
        <is>
          <t>Niterói</t>
        </is>
      </c>
      <c r="H2035" t="inlineStr">
        <is>
          <t>RJ</t>
        </is>
      </c>
      <c r="I2035" t="n">
        <v>7745</v>
      </c>
      <c r="J2035" t="inlineStr">
        <is>
          <t>CAT 5</t>
        </is>
      </c>
      <c r="K2035" t="inlineStr">
        <is>
          <t>Sim</t>
        </is>
      </c>
    </row>
    <row r="2036">
      <c r="A2036" s="1">
        <f>HYPERLINK("https://eurofarma-latam-crm.veevavault.com/#object/account__v/V4TZ000018NYQEO", "Henrique Netto")</f>
        <v/>
      </c>
      <c r="B2036" s="1">
        <f>HYPERLINK("https://eurofarma-latam-crm.veevavault.com/#object/account__v/V4TZ000018NYQEO", "Henrique de Barros Pinto Netto")</f>
        <v/>
      </c>
      <c r="C2036" t="inlineStr">
        <is>
          <t>RJ0442058</t>
        </is>
      </c>
      <c r="D2036" t="inlineStr">
        <is>
          <t>ORT</t>
        </is>
      </c>
      <c r="E2036" t="inlineStr">
        <is>
          <t>Avenida Rio Branco, 156 - Sala 1708/1709/1717/1725/1726/1727</t>
        </is>
      </c>
      <c r="F2036" t="inlineStr">
        <is>
          <t>Centro</t>
        </is>
      </c>
      <c r="G2036" t="inlineStr">
        <is>
          <t>Rio de Janeiro</t>
        </is>
      </c>
      <c r="H2036" t="inlineStr">
        <is>
          <t>RJ</t>
        </is>
      </c>
      <c r="I2036" t="n">
        <v>7745</v>
      </c>
      <c r="J2036" t="inlineStr">
        <is>
          <t>CAT 5</t>
        </is>
      </c>
      <c r="K2036" t="inlineStr">
        <is>
          <t>Sim</t>
        </is>
      </c>
    </row>
    <row r="2037">
      <c r="A2037" s="1">
        <f>HYPERLINK("https://eurofarma-latam-crm.veevavault.com/#object/account__v/V4TZ00001914A95", "Henryk Maultasch")</f>
        <v/>
      </c>
      <c r="B2037" s="1">
        <f>HYPERLINK("https://eurofarma-latam-crm.veevavault.com/#object/account__v/V4TZ00001914A95", "Henryk Maultasch")</f>
        <v/>
      </c>
      <c r="C2037" t="inlineStr">
        <is>
          <t>RJ0750204</t>
        </is>
      </c>
      <c r="D2037" t="inlineStr">
        <is>
          <t>PSQ</t>
        </is>
      </c>
      <c r="E2037" t="inlineStr">
        <is>
          <t>Avenida das Américas, 500 - Bloco 04 Sala 320</t>
        </is>
      </c>
      <c r="F2037" t="inlineStr">
        <is>
          <t>Barra da Tijuca</t>
        </is>
      </c>
      <c r="G2037" t="inlineStr">
        <is>
          <t>Rio de Janeiro</t>
        </is>
      </c>
      <c r="H2037" t="inlineStr">
        <is>
          <t>RJ</t>
        </is>
      </c>
      <c r="I2037" t="n">
        <v>7745</v>
      </c>
      <c r="J2037" t="inlineStr">
        <is>
          <t>CAT 2</t>
        </is>
      </c>
      <c r="K2037" t="inlineStr">
        <is>
          <t>Sim</t>
        </is>
      </c>
    </row>
    <row r="2038">
      <c r="A2038" s="1">
        <f>HYPERLINK("https://eurofarma-latam-crm.veevavault.com/#object/account__v/V4TZ00001913CPK", "Hilton Pereira")</f>
        <v/>
      </c>
      <c r="B2038" s="1">
        <f>HYPERLINK("https://eurofarma-latam-crm.veevavault.com/#object/account__v/V4TZ00001913CPK", "Hilton Franco Pereira")</f>
        <v/>
      </c>
      <c r="C2038" t="inlineStr">
        <is>
          <t>RJ0445714</t>
        </is>
      </c>
      <c r="D2038" t="inlineStr">
        <is>
          <t>ORT</t>
        </is>
      </c>
      <c r="E2038" t="inlineStr">
        <is>
          <t>Rua da Relação, 42</t>
        </is>
      </c>
      <c r="F2038" t="inlineStr">
        <is>
          <t>Centro</t>
        </is>
      </c>
      <c r="G2038" t="inlineStr">
        <is>
          <t>Rio de Janeiro</t>
        </is>
      </c>
      <c r="H2038" t="inlineStr">
        <is>
          <t>RJ</t>
        </is>
      </c>
      <c r="I2038" t="n">
        <v>7745</v>
      </c>
      <c r="J2038" t="inlineStr">
        <is>
          <t>CAT 1</t>
        </is>
      </c>
      <c r="K2038" t="inlineStr">
        <is>
          <t>Sim</t>
        </is>
      </c>
    </row>
    <row r="2039">
      <c r="A2039" s="1">
        <f>HYPERLINK("https://eurofarma-latam-crm.veevavault.com/#object/account__v/V4TZ000019156IE", "Horácio Mesquita")</f>
        <v/>
      </c>
      <c r="B2039" s="1">
        <f>HYPERLINK("https://eurofarma-latam-crm.veevavault.com/#object/account__v/V4TZ000019156IE", "Horácio de Barbosa Mesquita")</f>
        <v/>
      </c>
      <c r="C2039" t="inlineStr">
        <is>
          <t>RJ0464700</t>
        </is>
      </c>
      <c r="D2039" t="inlineStr">
        <is>
          <t>ORT</t>
        </is>
      </c>
      <c r="E2039" t="inlineStr">
        <is>
          <t>Avenida Rio Branco, 156 - Sala 2929</t>
        </is>
      </c>
      <c r="F2039" t="inlineStr">
        <is>
          <t>Centro</t>
        </is>
      </c>
      <c r="G2039" t="inlineStr">
        <is>
          <t>Rio de Janeiro</t>
        </is>
      </c>
      <c r="H2039" t="inlineStr">
        <is>
          <t>RJ</t>
        </is>
      </c>
      <c r="I2039" t="n">
        <v>7745</v>
      </c>
      <c r="J2039" t="inlineStr">
        <is>
          <t>CAT 3</t>
        </is>
      </c>
      <c r="K2039" t="inlineStr">
        <is>
          <t>Sim</t>
        </is>
      </c>
    </row>
    <row r="2040">
      <c r="A2040" s="1">
        <f>HYPERLINK("https://eurofarma-latam-crm.veevavault.com/#object/account__v/V4TZ00001915I7T", "Hyngridhy da Silva Cardoso")</f>
        <v/>
      </c>
      <c r="B2040" s="1">
        <f>HYPERLINK("https://eurofarma-latam-crm.veevavault.com/#object/account__v/V4TZ00001915I7T", "Hyngridhy Sanmay da Silva Cardoso")</f>
        <v/>
      </c>
      <c r="C2040" t="inlineStr">
        <is>
          <t>RJ1140604</t>
        </is>
      </c>
      <c r="D2040" t="inlineStr">
        <is>
          <t>ORL</t>
        </is>
      </c>
      <c r="E2040" t="inlineStr">
        <is>
          <t>Avenida Amaro Cavalcanti, 495</t>
        </is>
      </c>
      <c r="F2040" t="inlineStr">
        <is>
          <t>Méier</t>
        </is>
      </c>
      <c r="G2040" t="inlineStr">
        <is>
          <t>Rio de Janeiro</t>
        </is>
      </c>
      <c r="H2040" t="inlineStr">
        <is>
          <t>RJ</t>
        </is>
      </c>
      <c r="I2040" t="n">
        <v>7745</v>
      </c>
      <c r="J2040" t="inlineStr">
        <is>
          <t>CAT 2</t>
        </is>
      </c>
      <c r="K2040" t="inlineStr">
        <is>
          <t>Sim</t>
        </is>
      </c>
    </row>
    <row r="2041">
      <c r="A2041" s="1">
        <f>HYPERLINK("https://eurofarma-latam-crm.veevavault.com/#object/account__v/V4TZ0000191393U", "Ibrahim Marcello Saud")</f>
        <v/>
      </c>
      <c r="B2041" s="1">
        <f>HYPERLINK("https://eurofarma-latam-crm.veevavault.com/#object/account__v/V4TZ0000191393U", "Ibrahim Marcello Machado Saud")</f>
        <v/>
      </c>
      <c r="C2041" t="inlineStr">
        <is>
          <t>RJ0530676</t>
        </is>
      </c>
      <c r="D2041" t="inlineStr">
        <is>
          <t>CLG</t>
        </is>
      </c>
      <c r="E2041" t="inlineStr">
        <is>
          <t>Rua Doutor Celestino, 122 - Sala 1020</t>
        </is>
      </c>
      <c r="F2041" t="inlineStr">
        <is>
          <t>Centro</t>
        </is>
      </c>
      <c r="G2041" t="inlineStr">
        <is>
          <t>Niterói</t>
        </is>
      </c>
      <c r="H2041" t="inlineStr">
        <is>
          <t>RJ</t>
        </is>
      </c>
      <c r="I2041" t="n">
        <v>7745</v>
      </c>
      <c r="J2041" t="inlineStr">
        <is>
          <t>CAT 3</t>
        </is>
      </c>
      <c r="K2041" t="inlineStr">
        <is>
          <t>Sim</t>
        </is>
      </c>
    </row>
    <row r="2042">
      <c r="A2042" s="1">
        <f>HYPERLINK("https://eurofarma-latam-crm.veevavault.com/#object/account__v/V4TZ00001913H8Y", "Ieda Couto")</f>
        <v/>
      </c>
      <c r="B2042" s="1">
        <f>HYPERLINK("https://eurofarma-latam-crm.veevavault.com/#object/account__v/V4TZ00001913H8Y", "Ieda Valeria Cardoso Couto")</f>
        <v/>
      </c>
      <c r="C2042" t="inlineStr">
        <is>
          <t>RJ0461601</t>
        </is>
      </c>
      <c r="D2042" t="inlineStr">
        <is>
          <t>ORT</t>
        </is>
      </c>
      <c r="E2042" t="inlineStr">
        <is>
          <t>Rua da Assembléia, 40 - 2 E 3 Andar</t>
        </is>
      </c>
      <c r="F2042" t="inlineStr">
        <is>
          <t>Centro</t>
        </is>
      </c>
      <c r="G2042" t="inlineStr">
        <is>
          <t>Rio de Janeiro</t>
        </is>
      </c>
      <c r="H2042" t="inlineStr">
        <is>
          <t>RJ</t>
        </is>
      </c>
      <c r="I2042" t="n">
        <v>7745</v>
      </c>
      <c r="J2042" t="inlineStr">
        <is>
          <t>CAT 4</t>
        </is>
      </c>
      <c r="K2042" t="inlineStr">
        <is>
          <t>Sim</t>
        </is>
      </c>
    </row>
    <row r="2043">
      <c r="A2043" s="1">
        <f>HYPERLINK("https://eurofarma-latam-crm.veevavault.com/#object/account__v/V4TZ000019157ME", "Igor Coutinho")</f>
        <v/>
      </c>
      <c r="B2043" s="1">
        <f>HYPERLINK("https://eurofarma-latam-crm.veevavault.com/#object/account__v/V4TZ000019157ME", "Igor Amorim Coutinho")</f>
        <v/>
      </c>
      <c r="C2043" t="inlineStr">
        <is>
          <t>RJ0942871</t>
        </is>
      </c>
      <c r="D2043" t="inlineStr">
        <is>
          <t>ORL</t>
        </is>
      </c>
      <c r="E2043" t="inlineStr">
        <is>
          <t>Rua Antônio Parreiras, 67</t>
        </is>
      </c>
      <c r="F2043" t="inlineStr">
        <is>
          <t>Ipanema</t>
        </is>
      </c>
      <c r="G2043" t="inlineStr">
        <is>
          <t>Rio de Janeiro</t>
        </is>
      </c>
      <c r="H2043" t="inlineStr">
        <is>
          <t>RJ</t>
        </is>
      </c>
      <c r="I2043" t="n">
        <v>7745</v>
      </c>
      <c r="J2043" t="inlineStr">
        <is>
          <t>CAT 4</t>
        </is>
      </c>
      <c r="K2043" t="inlineStr">
        <is>
          <t>Sim</t>
        </is>
      </c>
    </row>
    <row r="2044">
      <c r="A2044" s="1">
        <f>HYPERLINK("https://eurofarma-latam-crm.veevavault.com/#object/account__v/V4TZ000018NY2JW", "Ilva da Matta")</f>
        <v/>
      </c>
      <c r="B2044" s="1">
        <f>HYPERLINK("https://eurofarma-latam-crm.veevavault.com/#object/account__v/V4TZ000018NY2JW", "Ilva Lopes da Matta")</f>
        <v/>
      </c>
      <c r="C2044" t="inlineStr">
        <is>
          <t>RJ0587216</t>
        </is>
      </c>
      <c r="D2044" t="inlineStr">
        <is>
          <t>CLG / END</t>
        </is>
      </c>
      <c r="E2044" t="inlineStr">
        <is>
          <t>Rua General Polidoro, 144</t>
        </is>
      </c>
      <c r="F2044" t="inlineStr">
        <is>
          <t>Botafogo</t>
        </is>
      </c>
      <c r="G2044" t="inlineStr">
        <is>
          <t>Rio de Janeiro</t>
        </is>
      </c>
      <c r="H2044" t="inlineStr">
        <is>
          <t>RJ</t>
        </is>
      </c>
      <c r="I2044" t="n">
        <v>7745</v>
      </c>
      <c r="J2044" t="inlineStr">
        <is>
          <t>CAT 3</t>
        </is>
      </c>
      <c r="K2044" t="inlineStr">
        <is>
          <t>Sim</t>
        </is>
      </c>
    </row>
    <row r="2045">
      <c r="A2045" s="1">
        <f>HYPERLINK("https://eurofarma-latam-crm.veevavault.com/#object/account__v/V4TZ00001913CWM", "Ines Oliveira")</f>
        <v/>
      </c>
      <c r="B2045" s="1">
        <f>HYPERLINK("https://eurofarma-latam-crm.veevavault.com/#object/account__v/V4TZ00001913CWM", "Ines Pimenta Oliveira")</f>
        <v/>
      </c>
      <c r="C2045" t="inlineStr">
        <is>
          <t>RJ0464077</t>
        </is>
      </c>
      <c r="D2045" t="inlineStr">
        <is>
          <t>PSQ</t>
        </is>
      </c>
      <c r="E2045" t="inlineStr">
        <is>
          <t>Rua Doutor Celestino, 122 - Sala 1025</t>
        </is>
      </c>
      <c r="F2045" t="inlineStr">
        <is>
          <t>Centro</t>
        </is>
      </c>
      <c r="G2045" t="inlineStr">
        <is>
          <t>Niterói</t>
        </is>
      </c>
      <c r="H2045" t="inlineStr">
        <is>
          <t>RJ</t>
        </is>
      </c>
      <c r="I2045" t="n">
        <v>7745</v>
      </c>
      <c r="J2045" t="inlineStr">
        <is>
          <t>CAT 1</t>
        </is>
      </c>
      <c r="K2045" t="inlineStr">
        <is>
          <t>Sim</t>
        </is>
      </c>
    </row>
    <row r="2046">
      <c r="A2046" s="1">
        <f>HYPERLINK("https://eurofarma-latam-crm.veevavault.com/#object/account__v/V4TZ00001913F6N", "Ingrid Araguez")</f>
        <v/>
      </c>
      <c r="B2046" s="1">
        <f>HYPERLINK("https://eurofarma-latam-crm.veevavault.com/#object/account__v/V4TZ00001913F6N", "Ingrid Mariz Araguez")</f>
        <v/>
      </c>
      <c r="C2046" t="inlineStr">
        <is>
          <t>RJ0905763</t>
        </is>
      </c>
      <c r="D2046" t="inlineStr">
        <is>
          <t>ORT</t>
        </is>
      </c>
      <c r="E2046" t="inlineStr">
        <is>
          <t>Avenida Ernani do Amaral Peixoto, 300 - Sala 702</t>
        </is>
      </c>
      <c r="F2046" t="inlineStr">
        <is>
          <t>Centro</t>
        </is>
      </c>
      <c r="G2046" t="inlineStr">
        <is>
          <t>Niterói</t>
        </is>
      </c>
      <c r="H2046" t="inlineStr">
        <is>
          <t>RJ</t>
        </is>
      </c>
      <c r="I2046" t="n">
        <v>7745</v>
      </c>
      <c r="J2046" t="inlineStr">
        <is>
          <t>CAT 3</t>
        </is>
      </c>
      <c r="K2046" t="inlineStr">
        <is>
          <t>Sim</t>
        </is>
      </c>
    </row>
    <row r="2047">
      <c r="A2047" s="1">
        <f>HYPERLINK("https://eurofarma-latam-crm.veevavault.com/#object/account__v/V4TZ00001913CN0", "Iracema Lanzarotti")</f>
        <v/>
      </c>
      <c r="B2047" s="1">
        <f>HYPERLINK("https://eurofarma-latam-crm.veevavault.com/#object/account__v/V4TZ00001913CN0", "Iracema de Lima Lanzarotti")</f>
        <v/>
      </c>
      <c r="C2047" t="inlineStr">
        <is>
          <t>RJ0197942</t>
        </is>
      </c>
      <c r="D2047" t="inlineStr">
        <is>
          <t>GAS</t>
        </is>
      </c>
      <c r="E2047" t="inlineStr">
        <is>
          <t>Avenida Rio Branco, 120 - Sala 1218</t>
        </is>
      </c>
      <c r="F2047" t="inlineStr">
        <is>
          <t>Centro</t>
        </is>
      </c>
      <c r="G2047" t="inlineStr">
        <is>
          <t>Rio de Janeiro</t>
        </is>
      </c>
      <c r="H2047" t="inlineStr">
        <is>
          <t>RJ</t>
        </is>
      </c>
      <c r="I2047" t="n">
        <v>7745</v>
      </c>
      <c r="J2047" t="inlineStr">
        <is>
          <t>CAT 4</t>
        </is>
      </c>
      <c r="K2047" t="inlineStr">
        <is>
          <t>Sim</t>
        </is>
      </c>
    </row>
    <row r="2048">
      <c r="A2048" s="1">
        <f>HYPERLINK("https://eurofarma-latam-crm.veevavault.com/#object/account__v/V4TZ00001916FBB", "Isabel Tostes")</f>
        <v/>
      </c>
      <c r="B2048" s="1">
        <f>HYPERLINK("https://eurofarma-latam-crm.veevavault.com/#object/account__v/V4TZ00001916FBB", "Isabel Sampaio Tostes")</f>
        <v/>
      </c>
      <c r="C2048" t="inlineStr">
        <is>
          <t>RJ1097660</t>
        </is>
      </c>
      <c r="D2048" t="inlineStr">
        <is>
          <t>END</t>
        </is>
      </c>
      <c r="E2048" t="inlineStr">
        <is>
          <t>Avenida Londres, 616</t>
        </is>
      </c>
      <c r="F2048" t="inlineStr">
        <is>
          <t>Bonsucesso</t>
        </is>
      </c>
      <c r="G2048" t="inlineStr">
        <is>
          <t>Rio de Janeiro</t>
        </is>
      </c>
      <c r="H2048" t="inlineStr">
        <is>
          <t>RJ</t>
        </is>
      </c>
      <c r="I2048" t="n">
        <v>7745</v>
      </c>
      <c r="J2048" t="inlineStr">
        <is>
          <t>CAT 5</t>
        </is>
      </c>
      <c r="K2048" t="inlineStr">
        <is>
          <t>N�o</t>
        </is>
      </c>
    </row>
    <row r="2049">
      <c r="A2049" s="1">
        <f>HYPERLINK("https://eurofarma-latam-crm.veevavault.com/#object/account__v/V4TZ00001914NNJ", "Isabela Viana")</f>
        <v/>
      </c>
      <c r="B2049" s="1">
        <f>HYPERLINK("https://eurofarma-latam-crm.veevavault.com/#object/account__v/V4TZ00001914NNJ", "Isabela Toledo Piza Viana")</f>
        <v/>
      </c>
      <c r="C2049" t="inlineStr">
        <is>
          <t>RJ0736414</t>
        </is>
      </c>
      <c r="D2049" t="inlineStr">
        <is>
          <t>CLG / SNC</t>
        </is>
      </c>
      <c r="E2049" t="inlineStr">
        <is>
          <t>Rua Doutor March, 5 - Loja</t>
        </is>
      </c>
      <c r="F2049" t="inlineStr">
        <is>
          <t>Venda da Cruz</t>
        </is>
      </c>
      <c r="G2049" t="inlineStr">
        <is>
          <t>São Gonçalo</t>
        </is>
      </c>
      <c r="H2049" t="inlineStr">
        <is>
          <t>RJ</t>
        </is>
      </c>
      <c r="I2049" t="n">
        <v>7745</v>
      </c>
      <c r="J2049" t="inlineStr">
        <is>
          <t>CAT 2</t>
        </is>
      </c>
      <c r="K2049" t="inlineStr">
        <is>
          <t>Sim</t>
        </is>
      </c>
    </row>
    <row r="2050">
      <c r="A2050" s="1">
        <f>HYPERLINK("https://eurofarma-latam-crm.veevavault.com/#object/account__v/V4TZ00001913CFS", "Isabela Vieira")</f>
        <v/>
      </c>
      <c r="B2050" s="1">
        <f>HYPERLINK("https://eurofarma-latam-crm.veevavault.com/#object/account__v/V4TZ00001913CFS", "Isabela Maria Magali Mello Vieira")</f>
        <v/>
      </c>
      <c r="C2050" t="inlineStr">
        <is>
          <t>RJ0686310</t>
        </is>
      </c>
      <c r="D2050" t="inlineStr">
        <is>
          <t>PSQ</t>
        </is>
      </c>
      <c r="E2050" t="inlineStr">
        <is>
          <t>Largo do Machado, 39 - Sala 5</t>
        </is>
      </c>
      <c r="F2050" t="inlineStr">
        <is>
          <t>Catete</t>
        </is>
      </c>
      <c r="G2050" t="inlineStr">
        <is>
          <t>Rio de Janeiro</t>
        </is>
      </c>
      <c r="H2050" t="inlineStr">
        <is>
          <t>RJ</t>
        </is>
      </c>
      <c r="I2050" t="n">
        <v>7745</v>
      </c>
      <c r="J2050" t="inlineStr">
        <is>
          <t>CAT 4</t>
        </is>
      </c>
      <c r="K2050" t="inlineStr">
        <is>
          <t>N�o</t>
        </is>
      </c>
    </row>
    <row r="2051">
      <c r="A2051" s="1">
        <f>HYPERLINK("https://eurofarma-latam-crm.veevavault.com/#object/account__v/V4TZ0000191542N", "Isabella Rodrigues")</f>
        <v/>
      </c>
      <c r="B2051" s="1">
        <f>HYPERLINK("https://eurofarma-latam-crm.veevavault.com/#object/account__v/V4TZ0000191542N", "Isabella Carraro Eduardo Rodrigues")</f>
        <v/>
      </c>
      <c r="C2051" t="inlineStr">
        <is>
          <t>RJ0962465</t>
        </is>
      </c>
      <c r="D2051" t="inlineStr">
        <is>
          <t>ORL</t>
        </is>
      </c>
      <c r="E2051" t="inlineStr">
        <is>
          <t>Avenida das Américas, 500 - Bloco 11 Sala 208</t>
        </is>
      </c>
      <c r="F2051" t="inlineStr">
        <is>
          <t>Barra da Tijuca</t>
        </is>
      </c>
      <c r="G2051" t="inlineStr">
        <is>
          <t>Rio de Janeiro</t>
        </is>
      </c>
      <c r="H2051" t="inlineStr">
        <is>
          <t>RJ</t>
        </is>
      </c>
      <c r="I2051" t="n">
        <v>7745</v>
      </c>
      <c r="J2051" t="inlineStr">
        <is>
          <t>CAT 5</t>
        </is>
      </c>
      <c r="K2051" t="inlineStr">
        <is>
          <t>Sim</t>
        </is>
      </c>
    </row>
    <row r="2052">
      <c r="A2052" s="1">
        <f>HYPERLINK("https://eurofarma-latam-crm.veevavault.com/#object/account__v/V4TZ000018NXWGX", "Isac Chochamovitz")</f>
        <v/>
      </c>
      <c r="B2052" s="1">
        <f>HYPERLINK("https://eurofarma-latam-crm.veevavault.com/#object/account__v/V4TZ000018NXWGX", "Isac Chochamovitz")</f>
        <v/>
      </c>
      <c r="C2052" t="inlineStr">
        <is>
          <t>RJ0175194</t>
        </is>
      </c>
      <c r="D2052" t="inlineStr">
        <is>
          <t>GAS</t>
        </is>
      </c>
      <c r="E2052" t="inlineStr">
        <is>
          <t>Avenida Ernani do Amaral Peixoto, 169</t>
        </is>
      </c>
      <c r="F2052" t="inlineStr">
        <is>
          <t>Centro</t>
        </is>
      </c>
      <c r="G2052" t="inlineStr">
        <is>
          <t>Niterói</t>
        </is>
      </c>
      <c r="H2052" t="inlineStr">
        <is>
          <t>RJ</t>
        </is>
      </c>
      <c r="I2052" t="n">
        <v>7745</v>
      </c>
      <c r="J2052" t="inlineStr">
        <is>
          <t>CAT 2</t>
        </is>
      </c>
      <c r="K2052" t="inlineStr">
        <is>
          <t>Sim</t>
        </is>
      </c>
    </row>
    <row r="2053">
      <c r="A2053" s="1">
        <f>HYPERLINK("https://eurofarma-latam-crm.veevavault.com/#object/account__v/V4TZ000018NXZ64", "Isis Bueno")</f>
        <v/>
      </c>
      <c r="B2053" s="1">
        <f>HYPERLINK("https://eurofarma-latam-crm.veevavault.com/#object/account__v/V4TZ000018NXZ64", "Isis Nogueira Bueno")</f>
        <v/>
      </c>
      <c r="C2053" t="inlineStr">
        <is>
          <t>RJ0304710</t>
        </is>
      </c>
      <c r="D2053" t="inlineStr">
        <is>
          <t>CLG / END</t>
        </is>
      </c>
      <c r="E2053" t="inlineStr">
        <is>
          <t>Rua Luiz Leopoldo Fernandes Pinheiro, 551 -  Sala 704</t>
        </is>
      </c>
      <c r="F2053" t="inlineStr">
        <is>
          <t>Centro</t>
        </is>
      </c>
      <c r="G2053" t="inlineStr">
        <is>
          <t>Niterói</t>
        </is>
      </c>
      <c r="H2053" t="inlineStr">
        <is>
          <t>RJ</t>
        </is>
      </c>
      <c r="I2053" t="n">
        <v>7745</v>
      </c>
      <c r="J2053" t="inlineStr">
        <is>
          <t>CAT 4</t>
        </is>
      </c>
      <c r="K2053" t="inlineStr">
        <is>
          <t>Sim</t>
        </is>
      </c>
    </row>
    <row r="2054">
      <c r="A2054" s="1">
        <f>HYPERLINK("https://eurofarma-latam-crm.veevavault.com/#object/account__v/V4TZ000018NYZD0", "Jakeline da Fonseca")</f>
        <v/>
      </c>
      <c r="B2054" s="1">
        <f>HYPERLINK("https://eurofarma-latam-crm.veevavault.com/#object/account__v/V4TZ000018NYZD0", "Jakeline Oliveira da Fonseca")</f>
        <v/>
      </c>
      <c r="C2054" t="inlineStr">
        <is>
          <t>RJ0604805</t>
        </is>
      </c>
      <c r="D2054" t="inlineStr">
        <is>
          <t>ORT</t>
        </is>
      </c>
      <c r="E2054" t="inlineStr">
        <is>
          <t>Rua Geraldo Martins, 116</t>
        </is>
      </c>
      <c r="F2054" t="inlineStr">
        <is>
          <t>Icaraí</t>
        </is>
      </c>
      <c r="G2054" t="inlineStr">
        <is>
          <t>Niterói</t>
        </is>
      </c>
      <c r="H2054" t="inlineStr">
        <is>
          <t>RJ</t>
        </is>
      </c>
      <c r="I2054" t="n">
        <v>7745</v>
      </c>
      <c r="J2054" t="inlineStr">
        <is>
          <t>CAT 5</t>
        </is>
      </c>
      <c r="K2054" t="inlineStr">
        <is>
          <t>Sim</t>
        </is>
      </c>
    </row>
    <row r="2055">
      <c r="A2055" s="1">
        <f>HYPERLINK("https://eurofarma-latam-crm.veevavault.com/#object/account__v/V4TZ00001914ZBH", "Jane de Mattos")</f>
        <v/>
      </c>
      <c r="B2055" s="1">
        <f>HYPERLINK("https://eurofarma-latam-crm.veevavault.com/#object/account__v/V4TZ00001914ZBH", "Jane Conceição de Mattos")</f>
        <v/>
      </c>
      <c r="C2055" t="inlineStr">
        <is>
          <t>RJ0640506</t>
        </is>
      </c>
      <c r="D2055" t="inlineStr">
        <is>
          <t>ORT</t>
        </is>
      </c>
      <c r="E2055" t="inlineStr">
        <is>
          <t>Rua Visconde do Uruguai, 535</t>
        </is>
      </c>
      <c r="F2055" t="inlineStr">
        <is>
          <t>Centro</t>
        </is>
      </c>
      <c r="G2055" t="inlineStr">
        <is>
          <t>Niterói</t>
        </is>
      </c>
      <c r="H2055" t="inlineStr">
        <is>
          <t>RJ</t>
        </is>
      </c>
      <c r="I2055" t="n">
        <v>7745</v>
      </c>
      <c r="J2055" t="inlineStr">
        <is>
          <t>CAT 4</t>
        </is>
      </c>
      <c r="K2055" t="inlineStr">
        <is>
          <t>Sim</t>
        </is>
      </c>
    </row>
    <row r="2056">
      <c r="A2056" s="1">
        <f>HYPERLINK("https://eurofarma-latam-crm.veevavault.com/#object/account__v/V4TZ000019134H2", "Jeffrey Schmidt")</f>
        <v/>
      </c>
      <c r="B2056" s="1">
        <f>HYPERLINK("https://eurofarma-latam-crm.veevavault.com/#object/account__v/V4TZ000019134H2", "Jeffrey Schmidt")</f>
        <v/>
      </c>
      <c r="C2056" t="inlineStr">
        <is>
          <t>RJ0422185</t>
        </is>
      </c>
      <c r="D2056" t="inlineStr">
        <is>
          <t>URO</t>
        </is>
      </c>
      <c r="E2056" t="inlineStr">
        <is>
          <t>Avenida Rio Branco, 277 - Sal 1106</t>
        </is>
      </c>
      <c r="F2056" t="inlineStr">
        <is>
          <t>Centro</t>
        </is>
      </c>
      <c r="G2056" t="inlineStr">
        <is>
          <t>Rio de Janeiro</t>
        </is>
      </c>
      <c r="H2056" t="inlineStr">
        <is>
          <t>RJ</t>
        </is>
      </c>
      <c r="I2056" t="n">
        <v>7745</v>
      </c>
      <c r="J2056" t="inlineStr">
        <is>
          <t>CAT 4</t>
        </is>
      </c>
      <c r="K2056" t="inlineStr">
        <is>
          <t>Sim</t>
        </is>
      </c>
    </row>
    <row r="2057">
      <c r="A2057" s="1">
        <f>HYPERLINK("https://eurofarma-latam-crm.veevavault.com/#object/account__v/V4TZ00001915IL0", "João Bernardo Valladares")</f>
        <v/>
      </c>
      <c r="B2057" s="1">
        <f>HYPERLINK("https://eurofarma-latam-crm.veevavault.com/#object/account__v/V4TZ00001915IL0", "João Bernardo Valladares")</f>
        <v/>
      </c>
      <c r="C2057" t="inlineStr">
        <is>
          <t>RJ0270341</t>
        </is>
      </c>
      <c r="D2057" t="inlineStr">
        <is>
          <t>NEU</t>
        </is>
      </c>
      <c r="E2057" t="inlineStr">
        <is>
          <t>Avenida Rio Branco, 181 - Sala 2503</t>
        </is>
      </c>
      <c r="F2057" t="inlineStr">
        <is>
          <t>Centro</t>
        </is>
      </c>
      <c r="G2057" t="inlineStr">
        <is>
          <t>Rio de Janeiro</t>
        </is>
      </c>
      <c r="H2057" t="inlineStr">
        <is>
          <t>RJ</t>
        </is>
      </c>
      <c r="I2057" t="n">
        <v>7745</v>
      </c>
      <c r="J2057" t="inlineStr">
        <is>
          <t>CAT 2</t>
        </is>
      </c>
      <c r="K2057" t="inlineStr">
        <is>
          <t>Sim</t>
        </is>
      </c>
    </row>
    <row r="2058">
      <c r="A2058" s="1">
        <f>HYPERLINK("https://eurofarma-latam-crm.veevavault.com/#object/account__v/V4TZ00001913CXX", "João Jefferson Fonseca")</f>
        <v/>
      </c>
      <c r="B2058" s="1">
        <f>HYPERLINK("https://eurofarma-latam-crm.veevavault.com/#object/account__v/V4TZ00001913CXX", "João Jefferson Fonseca")</f>
        <v/>
      </c>
      <c r="C2058" t="inlineStr">
        <is>
          <t>RJ0523475</t>
        </is>
      </c>
      <c r="D2058" t="inlineStr">
        <is>
          <t>GAS</t>
        </is>
      </c>
      <c r="E2058" t="inlineStr">
        <is>
          <t>Avenida Graça Aranha, 81 - Sala 501 a 504</t>
        </is>
      </c>
      <c r="F2058" t="inlineStr">
        <is>
          <t>Centro</t>
        </is>
      </c>
      <c r="G2058" t="inlineStr">
        <is>
          <t>Rio de Janeiro</t>
        </is>
      </c>
      <c r="H2058" t="inlineStr">
        <is>
          <t>RJ</t>
        </is>
      </c>
      <c r="I2058" t="n">
        <v>7745</v>
      </c>
      <c r="J2058" t="inlineStr">
        <is>
          <t>CAT 1</t>
        </is>
      </c>
      <c r="K2058" t="inlineStr">
        <is>
          <t>Sim</t>
        </is>
      </c>
    </row>
    <row r="2059">
      <c r="A2059" s="1">
        <f>HYPERLINK("https://eurofarma-latam-crm.veevavault.com/#object/account__v/V4TZ00001912YKT", "João Luiz Caputo")</f>
        <v/>
      </c>
      <c r="B2059" s="1">
        <f>HYPERLINK("https://eurofarma-latam-crm.veevavault.com/#object/account__v/V4TZ00001912YKT", "João Luiz Caputo")</f>
        <v/>
      </c>
      <c r="C2059" t="inlineStr">
        <is>
          <t>RJ0436313</t>
        </is>
      </c>
      <c r="D2059" t="inlineStr">
        <is>
          <t>CLG</t>
        </is>
      </c>
      <c r="E2059" t="inlineStr">
        <is>
          <t>Rua Marquês de Paraná, 303</t>
        </is>
      </c>
      <c r="F2059" t="inlineStr">
        <is>
          <t>Centro</t>
        </is>
      </c>
      <c r="G2059" t="inlineStr">
        <is>
          <t>Niterói</t>
        </is>
      </c>
      <c r="H2059" t="inlineStr">
        <is>
          <t>RJ</t>
        </is>
      </c>
      <c r="I2059" t="n">
        <v>7745</v>
      </c>
      <c r="J2059" t="inlineStr">
        <is>
          <t>CAT 5</t>
        </is>
      </c>
      <c r="K2059" t="inlineStr">
        <is>
          <t>Sim</t>
        </is>
      </c>
    </row>
    <row r="2060">
      <c r="A2060" s="1">
        <f>HYPERLINK("https://eurofarma-latam-crm.veevavault.com/#object/account__v/V4TZ000018NY8YN", "João Sales")</f>
        <v/>
      </c>
      <c r="B2060" s="1">
        <f>HYPERLINK("https://eurofarma-latam-crm.veevavault.com/#object/account__v/V4TZ000018NY8YN", "João Erley de Athayde Ferreira Sales")</f>
        <v/>
      </c>
      <c r="C2060" t="inlineStr">
        <is>
          <t>RJ1102478</t>
        </is>
      </c>
      <c r="D2060" t="inlineStr">
        <is>
          <t>PSQ</t>
        </is>
      </c>
      <c r="E2060" t="inlineStr">
        <is>
          <t>Rua Dezenove de Fevereiro, 138 - A 140</t>
        </is>
      </c>
      <c r="F2060" t="inlineStr">
        <is>
          <t>Botafogo</t>
        </is>
      </c>
      <c r="G2060" t="inlineStr">
        <is>
          <t>Rio de Janeiro</t>
        </is>
      </c>
      <c r="H2060" t="inlineStr">
        <is>
          <t>RJ</t>
        </is>
      </c>
      <c r="I2060" t="n">
        <v>7745</v>
      </c>
      <c r="J2060" t="inlineStr">
        <is>
          <t>CAT 1</t>
        </is>
      </c>
      <c r="K2060" t="inlineStr">
        <is>
          <t>Sim</t>
        </is>
      </c>
    </row>
    <row r="2061">
      <c r="A2061" s="1">
        <f>HYPERLINK("https://eurofarma-latam-crm.veevavault.com/#object/account__v/V4TZ000018NZ986", "João Teles Junior")</f>
        <v/>
      </c>
      <c r="B2061" s="1">
        <f>HYPERLINK("https://eurofarma-latam-crm.veevavault.com/#object/account__v/V4TZ000018NZ986", "João Teles Junior")</f>
        <v/>
      </c>
      <c r="C2061" t="inlineStr">
        <is>
          <t>RJ0416919</t>
        </is>
      </c>
      <c r="D2061" t="inlineStr">
        <is>
          <t>ORL</t>
        </is>
      </c>
      <c r="E2061" t="inlineStr">
        <is>
          <t>Rua Rodolfo Dantas, 106 - Salas 301 A 303</t>
        </is>
      </c>
      <c r="F2061" t="inlineStr">
        <is>
          <t>Copacabana</t>
        </is>
      </c>
      <c r="G2061" t="inlineStr">
        <is>
          <t>Rio de Janeiro</t>
        </is>
      </c>
      <c r="H2061" t="inlineStr">
        <is>
          <t>RJ</t>
        </is>
      </c>
      <c r="I2061" t="n">
        <v>7745</v>
      </c>
      <c r="J2061" t="inlineStr">
        <is>
          <t>CAT 3</t>
        </is>
      </c>
      <c r="K2061" t="inlineStr">
        <is>
          <t>Sim</t>
        </is>
      </c>
    </row>
    <row r="2062">
      <c r="A2062" s="1">
        <f>HYPERLINK("https://eurofarma-latam-crm.veevavault.com/#object/account__v/V4TZ000018NXI16", "Jorge Francisco Pinto")</f>
        <v/>
      </c>
      <c r="B2062" s="1">
        <f>HYPERLINK("https://eurofarma-latam-crm.veevavault.com/#object/account__v/V4TZ000018NXI16", "Jorge Francisco da Cunha Pinto")</f>
        <v/>
      </c>
      <c r="C2062" t="inlineStr">
        <is>
          <t>RJ0377843</t>
        </is>
      </c>
      <c r="D2062" t="inlineStr">
        <is>
          <t>ORL</t>
        </is>
      </c>
      <c r="E2062" t="inlineStr">
        <is>
          <t>Rua Das Americas, 12600 - Blc 2 Sal 216</t>
        </is>
      </c>
      <c r="F2062" t="inlineStr">
        <is>
          <t>Centro</t>
        </is>
      </c>
      <c r="G2062" t="inlineStr">
        <is>
          <t>Rio Bonito</t>
        </is>
      </c>
      <c r="H2062" t="inlineStr">
        <is>
          <t>RJ</t>
        </is>
      </c>
      <c r="I2062" t="n">
        <v>7745</v>
      </c>
      <c r="J2062" t="inlineStr">
        <is>
          <t>CAT 3</t>
        </is>
      </c>
      <c r="K2062" t="inlineStr">
        <is>
          <t>Sim</t>
        </is>
      </c>
    </row>
    <row r="2063">
      <c r="A2063" s="1">
        <f>HYPERLINK("https://eurofarma-latam-crm.veevavault.com/#object/account__v/V4TZ000018NZ3LX", "José Carlos da Silva")</f>
        <v/>
      </c>
      <c r="B2063" s="1">
        <f>HYPERLINK("https://eurofarma-latam-crm.veevavault.com/#object/account__v/V4TZ000018NZ3LX", "José Carlos Lino da Silva")</f>
        <v/>
      </c>
      <c r="C2063" t="inlineStr">
        <is>
          <t>RJ0364190</t>
        </is>
      </c>
      <c r="D2063" t="inlineStr">
        <is>
          <t>GAS</t>
        </is>
      </c>
      <c r="E2063" t="inlineStr">
        <is>
          <t>Avenida Londres, 616</t>
        </is>
      </c>
      <c r="F2063" t="inlineStr">
        <is>
          <t>Bonsucesso</t>
        </is>
      </c>
      <c r="G2063" t="inlineStr">
        <is>
          <t>Rio de Janeiro</t>
        </is>
      </c>
      <c r="H2063" t="inlineStr">
        <is>
          <t>RJ</t>
        </is>
      </c>
      <c r="I2063" t="n">
        <v>7745</v>
      </c>
      <c r="J2063" t="inlineStr">
        <is>
          <t>CAT 5</t>
        </is>
      </c>
      <c r="K2063" t="inlineStr">
        <is>
          <t>N�o</t>
        </is>
      </c>
    </row>
    <row r="2064">
      <c r="A2064" s="1">
        <f>HYPERLINK("https://eurofarma-latam-crm.veevavault.com/#object/account__v/V4TZ00001915G9Y", "José de Figueiredo Neto")</f>
        <v/>
      </c>
      <c r="B2064" s="1">
        <f>HYPERLINK("https://eurofarma-latam-crm.veevavault.com/#object/account__v/V4TZ00001915G9Y", "José Lopes de Figueiredo Neto")</f>
        <v/>
      </c>
      <c r="C2064" t="inlineStr">
        <is>
          <t>RJ0248198</t>
        </is>
      </c>
      <c r="D2064" t="inlineStr">
        <is>
          <t>ORT</t>
        </is>
      </c>
      <c r="E2064" t="inlineStr">
        <is>
          <t>Avenida Rio Branco, 120 - 14 Andar</t>
        </is>
      </c>
      <c r="F2064" t="inlineStr">
        <is>
          <t>Centro</t>
        </is>
      </c>
      <c r="G2064" t="inlineStr">
        <is>
          <t>Rio de Janeiro</t>
        </is>
      </c>
      <c r="H2064" t="inlineStr">
        <is>
          <t>RJ</t>
        </is>
      </c>
      <c r="I2064" t="n">
        <v>7745</v>
      </c>
      <c r="J2064" t="inlineStr">
        <is>
          <t>CAT 4</t>
        </is>
      </c>
      <c r="K2064" t="inlineStr">
        <is>
          <t>Sim</t>
        </is>
      </c>
    </row>
    <row r="2065">
      <c r="A2065" s="1">
        <f>HYPERLINK("https://eurofarma-latam-crm.veevavault.com/#object/account__v/V4TZ000019149UX", "Jose Neto")</f>
        <v/>
      </c>
      <c r="B2065" s="1">
        <f>HYPERLINK("https://eurofarma-latam-crm.veevavault.com/#object/account__v/V4TZ000019149UX", "Jose Cerdeiro Neto")</f>
        <v/>
      </c>
      <c r="C2065" t="inlineStr">
        <is>
          <t>RJ0420565</t>
        </is>
      </c>
      <c r="D2065" t="inlineStr">
        <is>
          <t>GAS</t>
        </is>
      </c>
      <c r="E2065" t="inlineStr">
        <is>
          <t>Avenida Rio Branco, 120 - Sala 1218</t>
        </is>
      </c>
      <c r="F2065" t="inlineStr">
        <is>
          <t>Centro</t>
        </is>
      </c>
      <c r="G2065" t="inlineStr">
        <is>
          <t>Rio de Janeiro</t>
        </is>
      </c>
      <c r="H2065" t="inlineStr">
        <is>
          <t>RJ</t>
        </is>
      </c>
      <c r="I2065" t="n">
        <v>7745</v>
      </c>
      <c r="J2065" t="inlineStr">
        <is>
          <t>CAT 4</t>
        </is>
      </c>
      <c r="K2065" t="inlineStr">
        <is>
          <t>Sim</t>
        </is>
      </c>
    </row>
    <row r="2066">
      <c r="A2066" s="1">
        <f>HYPERLINK("https://eurofarma-latam-crm.veevavault.com/#object/account__v/V4TZ00001914JK6", "José Pires Neto")</f>
        <v/>
      </c>
      <c r="B2066" s="1">
        <f>HYPERLINK("https://eurofarma-latam-crm.veevavault.com/#object/account__v/V4TZ00001914JK6", "José Soares Pires Neto")</f>
        <v/>
      </c>
      <c r="C2066" t="inlineStr">
        <is>
          <t>RJ1012940</t>
        </is>
      </c>
      <c r="D2066" t="inlineStr">
        <is>
          <t>ORT</t>
        </is>
      </c>
      <c r="E2066" t="inlineStr">
        <is>
          <t>Rua da Assembléia, 10 - Sala 3718</t>
        </is>
      </c>
      <c r="F2066" t="inlineStr">
        <is>
          <t>Centro</t>
        </is>
      </c>
      <c r="G2066" t="inlineStr">
        <is>
          <t>Rio de Janeiro</t>
        </is>
      </c>
      <c r="H2066" t="inlineStr">
        <is>
          <t>RJ</t>
        </is>
      </c>
      <c r="I2066" t="n">
        <v>7745</v>
      </c>
      <c r="J2066" t="inlineStr">
        <is>
          <t>CAT 4</t>
        </is>
      </c>
      <c r="K2066" t="inlineStr">
        <is>
          <t>Sim</t>
        </is>
      </c>
    </row>
    <row r="2067">
      <c r="A2067" s="1">
        <f>HYPERLINK("https://eurofarma-latam-crm.veevavault.com/#object/account__v/V4TZ00001913I7L", "José Roberto de Assis")</f>
        <v/>
      </c>
      <c r="B2067" s="1">
        <f>HYPERLINK("https://eurofarma-latam-crm.veevavault.com/#object/account__v/V4TZ00001913I7L", "José Roberto Blois de Assis")</f>
        <v/>
      </c>
      <c r="C2067" t="inlineStr">
        <is>
          <t>RJ0229278</t>
        </is>
      </c>
      <c r="D2067" t="inlineStr">
        <is>
          <t>PSQ</t>
        </is>
      </c>
      <c r="E2067" t="inlineStr">
        <is>
          <t>Avenida Rio Branco, 185 - Sala 430</t>
        </is>
      </c>
      <c r="F2067" t="inlineStr">
        <is>
          <t>Centro</t>
        </is>
      </c>
      <c r="G2067" t="inlineStr">
        <is>
          <t>Rio de Janeiro</t>
        </is>
      </c>
      <c r="H2067" t="inlineStr">
        <is>
          <t>RJ</t>
        </is>
      </c>
      <c r="I2067" t="n">
        <v>7745</v>
      </c>
      <c r="J2067" t="inlineStr">
        <is>
          <t>CAT 2</t>
        </is>
      </c>
      <c r="K2067" t="inlineStr">
        <is>
          <t>Sim</t>
        </is>
      </c>
    </row>
    <row r="2068">
      <c r="A2068" s="1">
        <f>HYPERLINK("https://eurofarma-latam-crm.veevavault.com/#object/account__v/V4TZ000018NY0OI", "Joyce Olivieri")</f>
        <v/>
      </c>
      <c r="B2068" s="1">
        <f>HYPERLINK("https://eurofarma-latam-crm.veevavault.com/#object/account__v/V4TZ000018NY0OI", "Joyce Butteri Olivieri")</f>
        <v/>
      </c>
      <c r="C2068" t="inlineStr">
        <is>
          <t>RJ1023195</t>
        </is>
      </c>
      <c r="D2068" t="inlineStr">
        <is>
          <t>PSQ</t>
        </is>
      </c>
      <c r="E2068" t="inlineStr">
        <is>
          <t>Rua Pinheiro Machado, 151</t>
        </is>
      </c>
      <c r="F2068" t="inlineStr">
        <is>
          <t>Laranjeiras</t>
        </is>
      </c>
      <c r="G2068" t="inlineStr">
        <is>
          <t>Rio de Janeiro</t>
        </is>
      </c>
      <c r="H2068" t="inlineStr">
        <is>
          <t>RJ</t>
        </is>
      </c>
      <c r="I2068" t="n">
        <v>7745</v>
      </c>
      <c r="J2068" t="inlineStr">
        <is>
          <t>CAT 1</t>
        </is>
      </c>
      <c r="K2068" t="inlineStr">
        <is>
          <t>Sim</t>
        </is>
      </c>
    </row>
    <row r="2069">
      <c r="A2069" s="1">
        <f>HYPERLINK("https://eurofarma-latam-crm.veevavault.com/#object/account__v/V4TZ00001913QIB", "Juliana do Nascimento")</f>
        <v/>
      </c>
      <c r="B2069" s="1">
        <f>HYPERLINK("https://eurofarma-latam-crm.veevavault.com/#object/account__v/V4TZ00001913QIB", "Juliana Crespo do Nascimento")</f>
        <v/>
      </c>
      <c r="C2069" t="inlineStr">
        <is>
          <t>RJ1127730</t>
        </is>
      </c>
      <c r="D2069" t="inlineStr">
        <is>
          <t>ORL</t>
        </is>
      </c>
      <c r="E2069" t="inlineStr">
        <is>
          <t>Avenida das Américas, 15111</t>
        </is>
      </c>
      <c r="F2069" t="inlineStr">
        <is>
          <t>Recreio dos Bandeirantes</t>
        </is>
      </c>
      <c r="G2069" t="inlineStr">
        <is>
          <t>Rio de Janeiro</t>
        </is>
      </c>
      <c r="H2069" t="inlineStr">
        <is>
          <t>RJ</t>
        </is>
      </c>
      <c r="I2069" t="n">
        <v>7745</v>
      </c>
      <c r="J2069" t="inlineStr">
        <is>
          <t>CAT 4</t>
        </is>
      </c>
      <c r="K2069" t="inlineStr">
        <is>
          <t>Sim</t>
        </is>
      </c>
    </row>
    <row r="2070">
      <c r="A2070" s="1">
        <f>HYPERLINK("https://eurofarma-latam-crm.veevavault.com/#object/account__v/V4TZ025E83PK8HU", "Juliana Feo")</f>
        <v/>
      </c>
      <c r="B2070" s="1">
        <f>HYPERLINK("https://eurofarma-latam-crm.veevavault.com/#object/account__v/V4TZ025E83PK8HU", "Juliana Rangel Faria Lobo Feo")</f>
        <v/>
      </c>
      <c r="C2070" t="inlineStr">
        <is>
          <t>RJ0777390</t>
        </is>
      </c>
      <c r="D2070" t="inlineStr">
        <is>
          <t>PSQ</t>
        </is>
      </c>
      <c r="E2070" t="inlineStr">
        <is>
          <t>Rua Antônio Pereira da Silva, 68</t>
        </is>
      </c>
      <c r="F2070" t="inlineStr">
        <is>
          <t>Monnerat</t>
        </is>
      </c>
      <c r="G2070" t="inlineStr">
        <is>
          <t>Duas Barras</t>
        </is>
      </c>
      <c r="H2070" t="inlineStr">
        <is>
          <t>RJ</t>
        </is>
      </c>
      <c r="I2070" t="n">
        <v>7745</v>
      </c>
      <c r="J2070" t="inlineStr">
        <is>
          <t>CAT 1</t>
        </is>
      </c>
      <c r="K2070" t="inlineStr">
        <is>
          <t>Sim</t>
        </is>
      </c>
    </row>
    <row r="2071">
      <c r="A2071" s="1">
        <f>HYPERLINK("https://eurofarma-latam-crm.veevavault.com/#object/account__v/V4TZ000018NXKG5", "Juliana Harduim")</f>
        <v/>
      </c>
      <c r="B2071" s="1">
        <f>HYPERLINK("https://eurofarma-latam-crm.veevavault.com/#object/account__v/V4TZ000018NXKG5", "Juliana Garcia Oliveira Harduim")</f>
        <v/>
      </c>
      <c r="C2071" t="inlineStr">
        <is>
          <t>RJ0848336</t>
        </is>
      </c>
      <c r="D2071" t="inlineStr">
        <is>
          <t>END</t>
        </is>
      </c>
      <c r="E2071" t="inlineStr">
        <is>
          <t>Rua Azamor José da Silva, 229</t>
        </is>
      </c>
      <c r="F2071" t="inlineStr">
        <is>
          <t>Araçatiba</t>
        </is>
      </c>
      <c r="G2071" t="inlineStr">
        <is>
          <t>Maricá</t>
        </is>
      </c>
      <c r="H2071" t="inlineStr">
        <is>
          <t>RJ</t>
        </is>
      </c>
      <c r="I2071" t="n">
        <v>7745</v>
      </c>
      <c r="J2071" t="inlineStr">
        <is>
          <t>CAT 3</t>
        </is>
      </c>
      <c r="K2071" t="inlineStr">
        <is>
          <t>Sim</t>
        </is>
      </c>
    </row>
    <row r="2072">
      <c r="A2072" s="1">
        <f>HYPERLINK("https://eurofarma-latam-crm.veevavault.com/#object/account__v/V4TZ00001913Q67", "Juliana Rudge")</f>
        <v/>
      </c>
      <c r="B2072" s="1">
        <f>HYPERLINK("https://eurofarma-latam-crm.veevavault.com/#object/account__v/V4TZ00001913Q67", "Juliana Carvalho Moreira de Vasconcellos Rudge")</f>
        <v/>
      </c>
      <c r="C2072" t="inlineStr">
        <is>
          <t>RJ0892823</t>
        </is>
      </c>
      <c r="D2072" t="inlineStr">
        <is>
          <t>ORL</t>
        </is>
      </c>
      <c r="E2072" t="inlineStr">
        <is>
          <t>Rua da Conceição, 188 - Sala 703</t>
        </is>
      </c>
      <c r="F2072" t="inlineStr">
        <is>
          <t>Centro</t>
        </is>
      </c>
      <c r="G2072" t="inlineStr">
        <is>
          <t>Niterói</t>
        </is>
      </c>
      <c r="H2072" t="inlineStr">
        <is>
          <t>RJ</t>
        </is>
      </c>
      <c r="I2072" t="n">
        <v>7745</v>
      </c>
      <c r="J2072" t="inlineStr"/>
      <c r="K2072" t="inlineStr"/>
    </row>
    <row r="2073">
      <c r="A2073" s="1">
        <f>HYPERLINK("https://eurofarma-latam-crm.veevavault.com/#object/account__v/V4TZ00001914Q5F", "Juliana Wanis")</f>
        <v/>
      </c>
      <c r="B2073" s="1">
        <f>HYPERLINK("https://eurofarma-latam-crm.veevavault.com/#object/account__v/V4TZ00001914Q5F", "Juliana dos Santos Wanis")</f>
        <v/>
      </c>
      <c r="C2073" t="inlineStr">
        <is>
          <t>RJ0880434</t>
        </is>
      </c>
      <c r="D2073" t="inlineStr">
        <is>
          <t>NEU</t>
        </is>
      </c>
      <c r="E2073" t="inlineStr">
        <is>
          <t>Praça Araribóia, 43 - Sala 404</t>
        </is>
      </c>
      <c r="F2073" t="inlineStr">
        <is>
          <t>Centro</t>
        </is>
      </c>
      <c r="G2073" t="inlineStr">
        <is>
          <t>Niterói</t>
        </is>
      </c>
      <c r="H2073" t="inlineStr">
        <is>
          <t>RJ</t>
        </is>
      </c>
      <c r="I2073" t="n">
        <v>7745</v>
      </c>
      <c r="J2073" t="inlineStr">
        <is>
          <t>CAT 3</t>
        </is>
      </c>
      <c r="K2073" t="inlineStr">
        <is>
          <t>Sim</t>
        </is>
      </c>
    </row>
    <row r="2074">
      <c r="A2074" s="1">
        <f>HYPERLINK("https://eurofarma-latam-crm.veevavault.com/#object/account__v/V4TZ000018NXNKB", "Julio Cesar de Mendonça")</f>
        <v/>
      </c>
      <c r="B2074" s="1">
        <f>HYPERLINK("https://eurofarma-latam-crm.veevavault.com/#object/account__v/V4TZ000018NXNKB", "Julio Cesar Nunes de Mendonça")</f>
        <v/>
      </c>
      <c r="C2074" t="inlineStr">
        <is>
          <t>RJ0580154</t>
        </is>
      </c>
      <c r="D2074" t="inlineStr">
        <is>
          <t>GAS</t>
        </is>
      </c>
      <c r="E2074" t="inlineStr">
        <is>
          <t>Rua da Conceição, 188 - Sala 1304 A</t>
        </is>
      </c>
      <c r="F2074" t="inlineStr">
        <is>
          <t>Centro</t>
        </is>
      </c>
      <c r="G2074" t="inlineStr">
        <is>
          <t>Niterói</t>
        </is>
      </c>
      <c r="H2074" t="inlineStr">
        <is>
          <t>RJ</t>
        </is>
      </c>
      <c r="I2074" t="n">
        <v>7745</v>
      </c>
      <c r="J2074" t="inlineStr">
        <is>
          <t>CAT 5</t>
        </is>
      </c>
      <c r="K2074" t="inlineStr">
        <is>
          <t>Sim</t>
        </is>
      </c>
    </row>
    <row r="2075">
      <c r="A2075" s="1">
        <f>HYPERLINK("https://eurofarma-latam-crm.veevavault.com/#object/account__v/V4TZ025E865OL75", "Julio Cezar Pimentel")</f>
        <v/>
      </c>
      <c r="B2075" s="1">
        <f>HYPERLINK("https://eurofarma-latam-crm.veevavault.com/#object/account__v/V4TZ025E865OL75", "Julio Cezar Mattos Gonçalves de Abreu Pimentel")</f>
        <v/>
      </c>
      <c r="C2075" t="inlineStr">
        <is>
          <t>RJ1024914</t>
        </is>
      </c>
      <c r="D2075" t="inlineStr">
        <is>
          <t>ORT</t>
        </is>
      </c>
      <c r="E2075" t="inlineStr">
        <is>
          <t>Rua João de Castro, 1250</t>
        </is>
      </c>
      <c r="F2075" t="inlineStr">
        <is>
          <t>Cabuis</t>
        </is>
      </c>
      <c r="G2075" t="inlineStr">
        <is>
          <t>Nilópolis</t>
        </is>
      </c>
      <c r="H2075" t="inlineStr">
        <is>
          <t>RJ</t>
        </is>
      </c>
      <c r="I2075" t="n">
        <v>7745</v>
      </c>
      <c r="J2075" t="inlineStr">
        <is>
          <t>CAT 3</t>
        </is>
      </c>
      <c r="K2075" t="inlineStr">
        <is>
          <t>Sim</t>
        </is>
      </c>
    </row>
    <row r="2076">
      <c r="A2076" s="1">
        <f>HYPERLINK("https://eurofarma-latam-crm.veevavault.com/#object/account__v/V4TZ000019161AN", "Julio Menezes")</f>
        <v/>
      </c>
      <c r="B2076" s="1">
        <f>HYPERLINK("https://eurofarma-latam-crm.veevavault.com/#object/account__v/V4TZ000019161AN", "Julio Cezar Silva de Menezes")</f>
        <v/>
      </c>
      <c r="C2076" t="inlineStr">
        <is>
          <t>RJ0288810</t>
        </is>
      </c>
      <c r="D2076" t="inlineStr">
        <is>
          <t>ORT</t>
        </is>
      </c>
      <c r="E2076" t="inlineStr">
        <is>
          <t>Rua Visconde do Uruguai, 531 - Salas 5356 E 57</t>
        </is>
      </c>
      <c r="F2076" t="inlineStr">
        <is>
          <t>Centro</t>
        </is>
      </c>
      <c r="G2076" t="inlineStr">
        <is>
          <t>Niterói</t>
        </is>
      </c>
      <c r="H2076" t="inlineStr">
        <is>
          <t>RJ</t>
        </is>
      </c>
      <c r="I2076" t="n">
        <v>7745</v>
      </c>
      <c r="J2076" t="inlineStr">
        <is>
          <t>CAT 5</t>
        </is>
      </c>
      <c r="K2076" t="inlineStr">
        <is>
          <t>Sim</t>
        </is>
      </c>
    </row>
    <row r="2077">
      <c r="A2077" s="1">
        <f>HYPERLINK("https://eurofarma-latam-crm.veevavault.com/#object/account__v/V4TZ000018NZ45V", "Julio Moura")</f>
        <v/>
      </c>
      <c r="B2077" s="1">
        <f>HYPERLINK("https://eurofarma-latam-crm.veevavault.com/#object/account__v/V4TZ000018NZ45V", "Julio Zanela de Moura")</f>
        <v/>
      </c>
      <c r="C2077" t="inlineStr">
        <is>
          <t>RJ0745359</t>
        </is>
      </c>
      <c r="D2077" t="inlineStr">
        <is>
          <t>ORL</t>
        </is>
      </c>
      <c r="E2077" t="inlineStr">
        <is>
          <t>Avenida Treze de Maio, 23 - 13 e 14 Andar</t>
        </is>
      </c>
      <c r="F2077" t="inlineStr">
        <is>
          <t>Centro</t>
        </is>
      </c>
      <c r="G2077" t="inlineStr">
        <is>
          <t>Rio de Janeiro</t>
        </is>
      </c>
      <c r="H2077" t="inlineStr">
        <is>
          <t>RJ</t>
        </is>
      </c>
      <c r="I2077" t="n">
        <v>7745</v>
      </c>
      <c r="J2077" t="inlineStr">
        <is>
          <t>CAT 2</t>
        </is>
      </c>
      <c r="K2077" t="inlineStr">
        <is>
          <t>Sim</t>
        </is>
      </c>
    </row>
    <row r="2078">
      <c r="A2078" s="1">
        <f>HYPERLINK("https://eurofarma-latam-crm.veevavault.com/#object/account__v/V4TZ000019144WC", "Katia Gomes")</f>
        <v/>
      </c>
      <c r="B2078" s="1">
        <f>HYPERLINK("https://eurofarma-latam-crm.veevavault.com/#object/account__v/V4TZ000019144WC", "Katia Ferreira Gomes")</f>
        <v/>
      </c>
      <c r="C2078" t="inlineStr">
        <is>
          <t>RJ0399460</t>
        </is>
      </c>
      <c r="D2078" t="inlineStr">
        <is>
          <t>CLG</t>
        </is>
      </c>
      <c r="E2078" t="inlineStr">
        <is>
          <t>Rua Uruguaiana, 10 - Sala 2509</t>
        </is>
      </c>
      <c r="F2078" t="inlineStr">
        <is>
          <t>Centro</t>
        </is>
      </c>
      <c r="G2078" t="inlineStr">
        <is>
          <t>Rio de Janeiro</t>
        </is>
      </c>
      <c r="H2078" t="inlineStr">
        <is>
          <t>RJ</t>
        </is>
      </c>
      <c r="I2078" t="n">
        <v>7745</v>
      </c>
      <c r="J2078" t="inlineStr">
        <is>
          <t>CAT 4</t>
        </is>
      </c>
      <c r="K2078" t="inlineStr">
        <is>
          <t>Sim</t>
        </is>
      </c>
    </row>
    <row r="2079">
      <c r="A2079" s="1">
        <f>HYPERLINK("https://eurofarma-latam-crm.veevavault.com/#object/account__v/V4TZ000019153Z8", "Kennya Lopes")</f>
        <v/>
      </c>
      <c r="B2079" s="1">
        <f>HYPERLINK("https://eurofarma-latam-crm.veevavault.com/#object/account__v/V4TZ000019153Z8", "Kennya Calixto Lagotta Lopes")</f>
        <v/>
      </c>
      <c r="C2079" t="inlineStr">
        <is>
          <t>RJ0986798</t>
        </is>
      </c>
      <c r="D2079" t="inlineStr">
        <is>
          <t>PSQ</t>
        </is>
      </c>
      <c r="E2079" t="inlineStr">
        <is>
          <t>Rua Promotor Ciro Olímpio da Mata, 358</t>
        </is>
      </c>
      <c r="F2079" t="inlineStr">
        <is>
          <t>Jardim Imperial</t>
        </is>
      </c>
      <c r="G2079" t="inlineStr">
        <is>
          <t>Itaboraí</t>
        </is>
      </c>
      <c r="H2079" t="inlineStr">
        <is>
          <t>RJ</t>
        </is>
      </c>
      <c r="I2079" t="n">
        <v>7745</v>
      </c>
      <c r="J2079" t="inlineStr">
        <is>
          <t>CAT 2</t>
        </is>
      </c>
      <c r="K2079" t="inlineStr">
        <is>
          <t>Sim</t>
        </is>
      </c>
    </row>
    <row r="2080">
      <c r="A2080" s="1">
        <f>HYPERLINK("https://eurofarma-latam-crm.veevavault.com/#object/account__v/V4TZ00001913A3O", "Lécio Lima")</f>
        <v/>
      </c>
      <c r="B2080" s="1">
        <f>HYPERLINK("https://eurofarma-latam-crm.veevavault.com/#object/account__v/V4TZ00001913A3O", "Lécio Lisboa Lima")</f>
        <v/>
      </c>
      <c r="C2080" t="inlineStr">
        <is>
          <t>RJ0367974</t>
        </is>
      </c>
      <c r="D2080" t="inlineStr">
        <is>
          <t>GAS</t>
        </is>
      </c>
      <c r="E2080" t="inlineStr">
        <is>
          <t>Rua Doutor Mário Viana, 653</t>
        </is>
      </c>
      <c r="F2080" t="inlineStr">
        <is>
          <t>Santa Rosa</t>
        </is>
      </c>
      <c r="G2080" t="inlineStr">
        <is>
          <t>Niterói</t>
        </is>
      </c>
      <c r="H2080" t="inlineStr">
        <is>
          <t>RJ</t>
        </is>
      </c>
      <c r="I2080" t="n">
        <v>7745</v>
      </c>
      <c r="J2080" t="inlineStr">
        <is>
          <t>CAT 5</t>
        </is>
      </c>
      <c r="K2080" t="inlineStr">
        <is>
          <t>Sim</t>
        </is>
      </c>
    </row>
    <row r="2081">
      <c r="A2081" s="1">
        <f>HYPERLINK("https://eurofarma-latam-crm.veevavault.com/#object/account__v/V4TZ000019142IS", "Leila Bruno Salame")</f>
        <v/>
      </c>
      <c r="B2081" s="1">
        <f>HYPERLINK("https://eurofarma-latam-crm.veevavault.com/#object/account__v/V4TZ000019142IS", "Leila Bruno Bruno Salame")</f>
        <v/>
      </c>
      <c r="C2081" t="inlineStr">
        <is>
          <t>RJ0330050</t>
        </is>
      </c>
      <c r="D2081" t="inlineStr">
        <is>
          <t>PED</t>
        </is>
      </c>
      <c r="E2081" t="inlineStr">
        <is>
          <t>Rua Dias da Cruz, 215 - 301 308 309 E 310</t>
        </is>
      </c>
      <c r="F2081" t="inlineStr">
        <is>
          <t>Méier</t>
        </is>
      </c>
      <c r="G2081" t="inlineStr">
        <is>
          <t>Rio de Janeiro</t>
        </is>
      </c>
      <c r="H2081" t="inlineStr">
        <is>
          <t>RJ</t>
        </is>
      </c>
      <c r="I2081" t="n">
        <v>7745</v>
      </c>
      <c r="J2081" t="inlineStr">
        <is>
          <t>CAT 5</t>
        </is>
      </c>
      <c r="K2081" t="inlineStr">
        <is>
          <t>N�o</t>
        </is>
      </c>
    </row>
    <row r="2082">
      <c r="A2082" s="1">
        <f>HYPERLINK("https://eurofarma-latam-crm.veevavault.com/#object/account__v/V4TZ00001915J2U", "Leila Ratier")</f>
        <v/>
      </c>
      <c r="B2082" s="1">
        <f>HYPERLINK("https://eurofarma-latam-crm.veevavault.com/#object/account__v/V4TZ00001915J2U", "Leila Arnouk Berbara Ratier")</f>
        <v/>
      </c>
      <c r="C2082" t="inlineStr">
        <is>
          <t>RJ0510722</t>
        </is>
      </c>
      <c r="D2082" t="inlineStr">
        <is>
          <t>CLG</t>
        </is>
      </c>
      <c r="E2082" t="inlineStr">
        <is>
          <t>Rua Senador Dantas, 75, 75 - Sala 2714</t>
        </is>
      </c>
      <c r="F2082" t="inlineStr">
        <is>
          <t>Centro</t>
        </is>
      </c>
      <c r="G2082" t="inlineStr">
        <is>
          <t>Rio de Janeiro</t>
        </is>
      </c>
      <c r="H2082" t="inlineStr">
        <is>
          <t>RJ</t>
        </is>
      </c>
      <c r="I2082" t="n">
        <v>7745</v>
      </c>
      <c r="J2082" t="inlineStr">
        <is>
          <t>CAT 4</t>
        </is>
      </c>
      <c r="K2082" t="inlineStr">
        <is>
          <t>Sim</t>
        </is>
      </c>
    </row>
    <row r="2083">
      <c r="A2083" s="1">
        <f>HYPERLINK("https://eurofarma-latam-crm.veevavault.com/#object/account__v/V4TZ000019146Q7", "Leo Santos")</f>
        <v/>
      </c>
      <c r="B2083" s="1">
        <f>HYPERLINK("https://eurofarma-latam-crm.veevavault.com/#object/account__v/V4TZ000019146Q7", "Leo Ribeiro Daltro Santos")</f>
        <v/>
      </c>
      <c r="C2083" t="inlineStr">
        <is>
          <t>RJ0470860</t>
        </is>
      </c>
      <c r="D2083" t="inlineStr">
        <is>
          <t>ORT</t>
        </is>
      </c>
      <c r="E2083" t="inlineStr">
        <is>
          <t>Rua Azamor José da Silva, 229</t>
        </is>
      </c>
      <c r="F2083" t="inlineStr">
        <is>
          <t>Araçatiba</t>
        </is>
      </c>
      <c r="G2083" t="inlineStr">
        <is>
          <t>Maricá</t>
        </is>
      </c>
      <c r="H2083" t="inlineStr">
        <is>
          <t>RJ</t>
        </is>
      </c>
      <c r="I2083" t="n">
        <v>7745</v>
      </c>
      <c r="J2083" t="inlineStr">
        <is>
          <t>CAT 3</t>
        </is>
      </c>
      <c r="K2083" t="inlineStr">
        <is>
          <t>Sim</t>
        </is>
      </c>
    </row>
    <row r="2084">
      <c r="A2084" s="1">
        <f>HYPERLINK("https://eurofarma-latam-crm.veevavault.com/#object/account__v/V4TZ00001914QY0", "Leonardo Abreu")</f>
        <v/>
      </c>
      <c r="B2084" s="1">
        <f>HYPERLINK("https://eurofarma-latam-crm.veevavault.com/#object/account__v/V4TZ00001914QY0", "Leonardo de Albuquerque dos Santos Abreu")</f>
        <v/>
      </c>
      <c r="C2084" t="inlineStr">
        <is>
          <t>RJ0720674</t>
        </is>
      </c>
      <c r="D2084" t="inlineStr">
        <is>
          <t>URO</t>
        </is>
      </c>
      <c r="E2084" t="inlineStr">
        <is>
          <t>Largo do Ibam, 01 - 1 e 2 Andar</t>
        </is>
      </c>
      <c r="F2084" t="inlineStr">
        <is>
          <t>Humaitá</t>
        </is>
      </c>
      <c r="G2084" t="inlineStr">
        <is>
          <t>Rio de Janeiro</t>
        </is>
      </c>
      <c r="H2084" t="inlineStr">
        <is>
          <t>RJ</t>
        </is>
      </c>
      <c r="I2084" t="n">
        <v>7745</v>
      </c>
      <c r="J2084" t="inlineStr">
        <is>
          <t>CAT 5</t>
        </is>
      </c>
      <c r="K2084" t="inlineStr">
        <is>
          <t>Sim</t>
        </is>
      </c>
    </row>
    <row r="2085">
      <c r="A2085" s="1">
        <f>HYPERLINK("https://eurofarma-latam-crm.veevavault.com/#object/account__v/V4TZ00001914DKW", "Leonardo Mary")</f>
        <v/>
      </c>
      <c r="B2085" s="1">
        <f>HYPERLINK("https://eurofarma-latam-crm.veevavault.com/#object/account__v/V4TZ00001914DKW", "Leonardo Schwarc Mary")</f>
        <v/>
      </c>
      <c r="C2085" t="inlineStr">
        <is>
          <t>RJ0963666</t>
        </is>
      </c>
      <c r="D2085" t="inlineStr">
        <is>
          <t>PSQ</t>
        </is>
      </c>
      <c r="E2085" t="inlineStr">
        <is>
          <t>Rua Quinze de Novembro, 90 - Sala 1111</t>
        </is>
      </c>
      <c r="F2085" t="inlineStr">
        <is>
          <t>Centro</t>
        </is>
      </c>
      <c r="G2085" t="inlineStr">
        <is>
          <t>Niterói</t>
        </is>
      </c>
      <c r="H2085" t="inlineStr">
        <is>
          <t>RJ</t>
        </is>
      </c>
      <c r="I2085" t="n">
        <v>7745</v>
      </c>
      <c r="J2085" t="inlineStr">
        <is>
          <t>CAT 4</t>
        </is>
      </c>
      <c r="K2085" t="inlineStr">
        <is>
          <t>Sim</t>
        </is>
      </c>
    </row>
    <row r="2086">
      <c r="A2086" s="1">
        <f>HYPERLINK("https://eurofarma-latam-crm.veevavault.com/#object/account__v/V4TZ000018NXS0I", "Leticia e Silva")</f>
        <v/>
      </c>
      <c r="B2086" s="1">
        <f>HYPERLINK("https://eurofarma-latam-crm.veevavault.com/#object/account__v/V4TZ000018NXS0I", "Leticia Davila Couto e Silva")</f>
        <v/>
      </c>
      <c r="C2086" t="inlineStr">
        <is>
          <t>RJ0654450</t>
        </is>
      </c>
      <c r="D2086" t="inlineStr">
        <is>
          <t>ORL</t>
        </is>
      </c>
      <c r="E2086" t="inlineStr">
        <is>
          <t>Rua Voluntários da Pátria, 190 - Sala 509</t>
        </is>
      </c>
      <c r="F2086" t="inlineStr">
        <is>
          <t>Botafogo</t>
        </is>
      </c>
      <c r="G2086" t="inlineStr">
        <is>
          <t>Rio de Janeiro</t>
        </is>
      </c>
      <c r="H2086" t="inlineStr">
        <is>
          <t>RJ</t>
        </is>
      </c>
      <c r="I2086" t="n">
        <v>7745</v>
      </c>
      <c r="J2086" t="inlineStr">
        <is>
          <t>CAT 2</t>
        </is>
      </c>
      <c r="K2086" t="inlineStr">
        <is>
          <t>Sim</t>
        </is>
      </c>
    </row>
    <row r="2087">
      <c r="A2087" s="1">
        <f>HYPERLINK("https://eurofarma-latam-crm.veevavault.com/#object/account__v/V4TZ00001915HH9", "Leticia Oliveira")</f>
        <v/>
      </c>
      <c r="B2087" s="1">
        <f>HYPERLINK("https://eurofarma-latam-crm.veevavault.com/#object/account__v/V4TZ00001915HH9", "Leticia Leite Oliveira")</f>
        <v/>
      </c>
      <c r="C2087" t="inlineStr">
        <is>
          <t>RJ0682659</t>
        </is>
      </c>
      <c r="D2087" t="inlineStr">
        <is>
          <t>ORL</t>
        </is>
      </c>
      <c r="E2087" t="inlineStr">
        <is>
          <t>Avenida Armando Lombardi, 800, 800 - Loj I J K L M</t>
        </is>
      </c>
      <c r="F2087" t="inlineStr">
        <is>
          <t>Barra da Tijuca</t>
        </is>
      </c>
      <c r="G2087" t="inlineStr">
        <is>
          <t>Rio de Janeiro</t>
        </is>
      </c>
      <c r="H2087" t="inlineStr">
        <is>
          <t>RJ</t>
        </is>
      </c>
      <c r="I2087" t="n">
        <v>7745</v>
      </c>
      <c r="J2087" t="inlineStr">
        <is>
          <t>CAT 2</t>
        </is>
      </c>
      <c r="K2087" t="inlineStr">
        <is>
          <t>Sim</t>
        </is>
      </c>
    </row>
    <row r="2088">
      <c r="A2088" s="1">
        <f>HYPERLINK("https://eurofarma-latam-crm.veevavault.com/#object/account__v/V4TZ00001912VUS", "Lidia da Silva")</f>
        <v/>
      </c>
      <c r="B2088" s="1">
        <f>HYPERLINK("https://eurofarma-latam-crm.veevavault.com/#object/account__v/V4TZ00001912VUS", "Lidia de Lorenzi da Silva")</f>
        <v/>
      </c>
      <c r="C2088" t="inlineStr">
        <is>
          <t>RJ1263714,SP0212820</t>
        </is>
      </c>
      <c r="D2088" t="inlineStr">
        <is>
          <t>PSQ</t>
        </is>
      </c>
      <c r="E2088" t="inlineStr">
        <is>
          <t>Rua Sílvio Romero, 44</t>
        </is>
      </c>
      <c r="F2088" t="inlineStr">
        <is>
          <t>Santa Teresa</t>
        </is>
      </c>
      <c r="G2088" t="inlineStr">
        <is>
          <t>Rio de Janeiro</t>
        </is>
      </c>
      <c r="H2088" t="inlineStr">
        <is>
          <t>RJ</t>
        </is>
      </c>
      <c r="I2088" t="n">
        <v>7745</v>
      </c>
      <c r="J2088" t="inlineStr">
        <is>
          <t>CAT 2</t>
        </is>
      </c>
      <c r="K2088" t="inlineStr">
        <is>
          <t>Sim</t>
        </is>
      </c>
    </row>
    <row r="2089">
      <c r="A2089" s="1">
        <f>HYPERLINK("https://eurofarma-latam-crm.veevavault.com/#object/account__v/V4TZ00001915H69", "Lillian Camargo")</f>
        <v/>
      </c>
      <c r="B2089" s="1">
        <f>HYPERLINK("https://eurofarma-latam-crm.veevavault.com/#object/account__v/V4TZ00001915H69", "Lillian Fieschi Lavagnino Camargo")</f>
        <v/>
      </c>
      <c r="C2089" t="inlineStr">
        <is>
          <t>RJ0434610</t>
        </is>
      </c>
      <c r="D2089" t="inlineStr">
        <is>
          <t>CLG / END</t>
        </is>
      </c>
      <c r="E2089" t="inlineStr">
        <is>
          <t>Rua Uruguaiana, 39 - Sala 804</t>
        </is>
      </c>
      <c r="F2089" t="inlineStr">
        <is>
          <t>Centro</t>
        </is>
      </c>
      <c r="G2089" t="inlineStr">
        <is>
          <t>Rio de Janeiro</t>
        </is>
      </c>
      <c r="H2089" t="inlineStr">
        <is>
          <t>RJ</t>
        </is>
      </c>
      <c r="I2089" t="n">
        <v>7745</v>
      </c>
      <c r="J2089" t="inlineStr">
        <is>
          <t>CAT 4</t>
        </is>
      </c>
      <c r="K2089" t="inlineStr">
        <is>
          <t>Sim</t>
        </is>
      </c>
    </row>
    <row r="2090">
      <c r="A2090" s="1">
        <f>HYPERLINK("https://eurofarma-latam-crm.veevavault.com/#object/account__v/V4TZ000018NXIVW", "Lindembergue Bragança")</f>
        <v/>
      </c>
      <c r="B2090" s="1">
        <f>HYPERLINK("https://eurofarma-latam-crm.veevavault.com/#object/account__v/V4TZ000018NXIVW", "Lindembergue Bragança")</f>
        <v/>
      </c>
      <c r="C2090" t="inlineStr">
        <is>
          <t>RJ0265535</t>
        </is>
      </c>
      <c r="D2090" t="inlineStr">
        <is>
          <t>PSQ</t>
        </is>
      </c>
      <c r="E2090" t="inlineStr">
        <is>
          <t>Estrada do Itanhangá, 1081</t>
        </is>
      </c>
      <c r="F2090" t="inlineStr">
        <is>
          <t>Itanhangá</t>
        </is>
      </c>
      <c r="G2090" t="inlineStr">
        <is>
          <t>Rio de Janeiro</t>
        </is>
      </c>
      <c r="H2090" t="inlineStr">
        <is>
          <t>RJ</t>
        </is>
      </c>
      <c r="I2090" t="n">
        <v>7745</v>
      </c>
      <c r="J2090" t="inlineStr">
        <is>
          <t>CAT 1</t>
        </is>
      </c>
      <c r="K2090" t="inlineStr">
        <is>
          <t>Sim</t>
        </is>
      </c>
    </row>
    <row r="2091">
      <c r="A2091" s="1">
        <f>HYPERLINK("https://eurofarma-latam-crm.veevavault.com/#object/account__v/V4T00000000Z146", "Lívia Cruz")</f>
        <v/>
      </c>
      <c r="B2091" s="1">
        <f>HYPERLINK("https://eurofarma-latam-crm.veevavault.com/#object/account__v/V4T00000000Z146", "Lívia Tavares Ferreira de Oliveira Cruz")</f>
        <v/>
      </c>
      <c r="C2091" t="inlineStr">
        <is>
          <t>RJ1162608</t>
        </is>
      </c>
      <c r="D2091" t="inlineStr">
        <is>
          <t>GAS</t>
        </is>
      </c>
      <c r="E2091" t="inlineStr">
        <is>
          <t>Rua Uruguaiana, 10 - Sala 1304</t>
        </is>
      </c>
      <c r="F2091" t="inlineStr">
        <is>
          <t>Centro</t>
        </is>
      </c>
      <c r="G2091" t="inlineStr">
        <is>
          <t>Rio de Janeiro</t>
        </is>
      </c>
      <c r="H2091" t="inlineStr">
        <is>
          <t>RJ</t>
        </is>
      </c>
      <c r="I2091" t="n">
        <v>7745</v>
      </c>
      <c r="J2091" t="inlineStr"/>
      <c r="K2091" t="inlineStr"/>
    </row>
    <row r="2092">
      <c r="A2092" s="1">
        <f>HYPERLINK("https://eurofarma-latam-crm.veevavault.com/#object/account__v/V4TZ000018NY4XB", "Loredana Mantovano")</f>
        <v/>
      </c>
      <c r="B2092" s="1">
        <f>HYPERLINK("https://eurofarma-latam-crm.veevavault.com/#object/account__v/V4TZ000018NY4XB", "Loredana Mantovano")</f>
        <v/>
      </c>
      <c r="C2092" t="inlineStr">
        <is>
          <t>RJ0435130</t>
        </is>
      </c>
      <c r="D2092" t="inlineStr">
        <is>
          <t>CLG / END</t>
        </is>
      </c>
      <c r="E2092" t="inlineStr">
        <is>
          <t>Rua Almirante Pereira Guimarães, 72 - Sala 509</t>
        </is>
      </c>
      <c r="F2092" t="inlineStr">
        <is>
          <t>Leblon</t>
        </is>
      </c>
      <c r="G2092" t="inlineStr">
        <is>
          <t>Rio de Janeiro</t>
        </is>
      </c>
      <c r="H2092" t="inlineStr">
        <is>
          <t>RJ</t>
        </is>
      </c>
      <c r="I2092" t="n">
        <v>7745</v>
      </c>
      <c r="J2092" t="inlineStr">
        <is>
          <t>CAT 3</t>
        </is>
      </c>
      <c r="K2092" t="inlineStr">
        <is>
          <t>Sim</t>
        </is>
      </c>
    </row>
    <row r="2093">
      <c r="A2093" s="1">
        <f>HYPERLINK("https://eurofarma-latam-crm.veevavault.com/#object/account__v/V4TZ025E88VKKPB", "Luana Alves")</f>
        <v/>
      </c>
      <c r="B2093" s="1">
        <f>HYPERLINK("https://eurofarma-latam-crm.veevavault.com/#object/account__v/V4TZ025E88VKKPB", "Luana Ribeiro Alves")</f>
        <v/>
      </c>
      <c r="C2093" t="inlineStr">
        <is>
          <t>RJ1404073</t>
        </is>
      </c>
      <c r="D2093" t="inlineStr">
        <is>
          <t>CLG</t>
        </is>
      </c>
      <c r="E2093" t="inlineStr">
        <is>
          <t>Rua Visconde do Uruguai, 531 - 3 4 Andar</t>
        </is>
      </c>
      <c r="F2093" t="inlineStr">
        <is>
          <t>Centro</t>
        </is>
      </c>
      <c r="G2093" t="inlineStr">
        <is>
          <t>Niterói</t>
        </is>
      </c>
      <c r="H2093" t="inlineStr">
        <is>
          <t>RJ</t>
        </is>
      </c>
      <c r="I2093" t="n">
        <v>7745</v>
      </c>
      <c r="J2093" t="inlineStr">
        <is>
          <t>CAT 5</t>
        </is>
      </c>
      <c r="K2093" t="inlineStr">
        <is>
          <t>N�o</t>
        </is>
      </c>
    </row>
    <row r="2094">
      <c r="A2094" s="1">
        <f>HYPERLINK("https://eurofarma-latam-crm.veevavault.com/#object/account__v/V4TZ00001913OB9", "Lucas Henrique de Souza")</f>
        <v/>
      </c>
      <c r="B2094" s="1">
        <f>HYPERLINK("https://eurofarma-latam-crm.veevavault.com/#object/account__v/V4TZ00001913OB9", "Lucas Henrique de Souza")</f>
        <v/>
      </c>
      <c r="C2094" t="inlineStr">
        <is>
          <t>ES0012833,RJ1037595</t>
        </is>
      </c>
      <c r="D2094" t="inlineStr">
        <is>
          <t>URO</t>
        </is>
      </c>
      <c r="E2094" t="inlineStr">
        <is>
          <t>Avenida Marechal Floriano, 86</t>
        </is>
      </c>
      <c r="F2094" t="inlineStr">
        <is>
          <t>Centro</t>
        </is>
      </c>
      <c r="G2094" t="inlineStr">
        <is>
          <t>Guaçuí</t>
        </is>
      </c>
      <c r="H2094" t="inlineStr">
        <is>
          <t>ES</t>
        </is>
      </c>
      <c r="I2094" t="n">
        <v>7745</v>
      </c>
      <c r="J2094" t="inlineStr">
        <is>
          <t>CAT 5</t>
        </is>
      </c>
      <c r="K2094" t="inlineStr">
        <is>
          <t>Sim</t>
        </is>
      </c>
    </row>
    <row r="2095">
      <c r="A2095" s="1">
        <f>HYPERLINK("https://eurofarma-latam-crm.veevavault.com/#object/account__v/V4TZ00001913UIB", "Lucia Regina Benchimol")</f>
        <v/>
      </c>
      <c r="B2095" s="1">
        <f>HYPERLINK("https://eurofarma-latam-crm.veevavault.com/#object/account__v/V4TZ00001913UIB", "Lucia Regina Benchimol")</f>
        <v/>
      </c>
      <c r="C2095" t="inlineStr">
        <is>
          <t>RJ0210648</t>
        </is>
      </c>
      <c r="D2095" t="inlineStr">
        <is>
          <t>ORL</t>
        </is>
      </c>
      <c r="E2095" t="inlineStr">
        <is>
          <t>Rua Senador Dantas, 117 - Sala 904</t>
        </is>
      </c>
      <c r="F2095" t="inlineStr">
        <is>
          <t>Centro</t>
        </is>
      </c>
      <c r="G2095" t="inlineStr">
        <is>
          <t>Rio de Janeiro</t>
        </is>
      </c>
      <c r="H2095" t="inlineStr">
        <is>
          <t>RJ</t>
        </is>
      </c>
      <c r="I2095" t="n">
        <v>7745</v>
      </c>
      <c r="J2095" t="inlineStr">
        <is>
          <t>CAT 4</t>
        </is>
      </c>
      <c r="K2095" t="inlineStr">
        <is>
          <t>N�o</t>
        </is>
      </c>
    </row>
    <row r="2096">
      <c r="A2096" s="1">
        <f>HYPERLINK("https://eurofarma-latam-crm.veevavault.com/#object/account__v/V4TZ000018NY8M4", "Luciana Capatao")</f>
        <v/>
      </c>
      <c r="B2096" s="1">
        <f>HYPERLINK("https://eurofarma-latam-crm.veevavault.com/#object/account__v/V4TZ000018NY8M4", "Luciana Rogerio Capatao")</f>
        <v/>
      </c>
      <c r="C2096" t="inlineStr">
        <is>
          <t>RJ0657174</t>
        </is>
      </c>
      <c r="D2096" t="inlineStr">
        <is>
          <t>GAS</t>
        </is>
      </c>
      <c r="E2096" t="inlineStr">
        <is>
          <t>Rua Equador, 831</t>
        </is>
      </c>
      <c r="F2096" t="inlineStr">
        <is>
          <t>Santo Cristo</t>
        </is>
      </c>
      <c r="G2096" t="inlineStr">
        <is>
          <t>Rio de Janeiro</t>
        </is>
      </c>
      <c r="H2096" t="inlineStr">
        <is>
          <t>RJ</t>
        </is>
      </c>
      <c r="I2096" t="n">
        <v>7745</v>
      </c>
      <c r="J2096" t="inlineStr">
        <is>
          <t>CAT 4</t>
        </is>
      </c>
      <c r="K2096" t="inlineStr">
        <is>
          <t>Sim</t>
        </is>
      </c>
    </row>
    <row r="2097">
      <c r="A2097" s="1">
        <f>HYPERLINK("https://eurofarma-latam-crm.veevavault.com/#object/account__v/V4TZ000018NYLZ4", "Luciana Lopes")</f>
        <v/>
      </c>
      <c r="B2097" s="1">
        <f>HYPERLINK("https://eurofarma-latam-crm.veevavault.com/#object/account__v/V4TZ000018NYLZ4", "Luciana Xavier Pereira Lopes")</f>
        <v/>
      </c>
      <c r="C2097" t="inlineStr">
        <is>
          <t>RJ1127896</t>
        </is>
      </c>
      <c r="D2097" t="inlineStr">
        <is>
          <t>PSQ</t>
        </is>
      </c>
      <c r="E2097" t="inlineStr">
        <is>
          <t>Rua da Conceição, 188 - Sala 2003 B</t>
        </is>
      </c>
      <c r="F2097" t="inlineStr">
        <is>
          <t>Centro</t>
        </is>
      </c>
      <c r="G2097" t="inlineStr">
        <is>
          <t>Niterói</t>
        </is>
      </c>
      <c r="H2097" t="inlineStr">
        <is>
          <t>RJ</t>
        </is>
      </c>
      <c r="I2097" t="n">
        <v>7745</v>
      </c>
      <c r="J2097" t="inlineStr">
        <is>
          <t>CAT 3</t>
        </is>
      </c>
      <c r="K2097" t="inlineStr">
        <is>
          <t>Sim</t>
        </is>
      </c>
    </row>
    <row r="2098">
      <c r="A2098" s="1">
        <f>HYPERLINK("https://eurofarma-latam-crm.veevavault.com/#object/account__v/V4TZ000018NXO9X", "Luciana Perez")</f>
        <v/>
      </c>
      <c r="B2098" s="1">
        <f>HYPERLINK("https://eurofarma-latam-crm.veevavault.com/#object/account__v/V4TZ000018NXO9X", "Luciana da Mata Perez")</f>
        <v/>
      </c>
      <c r="C2098" t="inlineStr">
        <is>
          <t>RJ0685151</t>
        </is>
      </c>
      <c r="D2098" t="inlineStr">
        <is>
          <t>ORL</t>
        </is>
      </c>
      <c r="E2098" t="inlineStr">
        <is>
          <t>Rua Sete de Setembro, 92 - Sala 909 Parte</t>
        </is>
      </c>
      <c r="F2098" t="inlineStr">
        <is>
          <t>Centro</t>
        </is>
      </c>
      <c r="G2098" t="inlineStr">
        <is>
          <t>Rio de Janeiro</t>
        </is>
      </c>
      <c r="H2098" t="inlineStr">
        <is>
          <t>RJ</t>
        </is>
      </c>
      <c r="I2098" t="n">
        <v>7745</v>
      </c>
      <c r="J2098" t="inlineStr">
        <is>
          <t>CAT 2</t>
        </is>
      </c>
      <c r="K2098" t="inlineStr">
        <is>
          <t>Sim</t>
        </is>
      </c>
    </row>
    <row r="2099">
      <c r="A2099" s="1">
        <f>HYPERLINK("https://eurofarma-latam-crm.veevavault.com/#object/account__v/V4TZ000018NZ1TN", "Lucilio Medeiros Neto")</f>
        <v/>
      </c>
      <c r="B2099" s="1">
        <f>HYPERLINK("https://eurofarma-latam-crm.veevavault.com/#object/account__v/V4TZ000018NZ1TN", "Lucilio Medeiros Neto")</f>
        <v/>
      </c>
      <c r="C2099" t="inlineStr">
        <is>
          <t>RJ0553720</t>
        </is>
      </c>
      <c r="D2099" t="inlineStr">
        <is>
          <t>URO</t>
        </is>
      </c>
      <c r="E2099" t="inlineStr">
        <is>
          <t>Rua Carlos Gois, 375 - Sala 104 a 106</t>
        </is>
      </c>
      <c r="F2099" t="inlineStr">
        <is>
          <t>Leblon</t>
        </is>
      </c>
      <c r="G2099" t="inlineStr">
        <is>
          <t>Rio de Janeiro</t>
        </is>
      </c>
      <c r="H2099" t="inlineStr">
        <is>
          <t>RJ</t>
        </is>
      </c>
      <c r="I2099" t="n">
        <v>7745</v>
      </c>
      <c r="J2099" t="inlineStr">
        <is>
          <t>CAT 4</t>
        </is>
      </c>
      <c r="K2099" t="inlineStr">
        <is>
          <t>Sim</t>
        </is>
      </c>
    </row>
    <row r="2100">
      <c r="A2100" s="1">
        <f>HYPERLINK("https://eurofarma-latam-crm.veevavault.com/#object/account__v/V4TZ000018NY09J", "Luis Alberto Quiroz")</f>
        <v/>
      </c>
      <c r="B2100" s="1">
        <f>HYPERLINK("https://eurofarma-latam-crm.veevavault.com/#object/account__v/V4TZ000018NY09J", "Luis Alberto Delgado Quiroz")</f>
        <v/>
      </c>
      <c r="C2100" t="inlineStr">
        <is>
          <t>RJ0827347</t>
        </is>
      </c>
      <c r="D2100" t="inlineStr">
        <is>
          <t>CLG / SNC</t>
        </is>
      </c>
      <c r="E2100" t="inlineStr">
        <is>
          <t>Rua da Conceição, 141 - Salas 1203 e 1204</t>
        </is>
      </c>
      <c r="F2100" t="inlineStr">
        <is>
          <t>Centro</t>
        </is>
      </c>
      <c r="G2100" t="inlineStr">
        <is>
          <t>Niterói</t>
        </is>
      </c>
      <c r="H2100" t="inlineStr">
        <is>
          <t>RJ</t>
        </is>
      </c>
      <c r="I2100" t="n">
        <v>7745</v>
      </c>
      <c r="J2100" t="inlineStr">
        <is>
          <t>CAT 2</t>
        </is>
      </c>
      <c r="K2100" t="inlineStr">
        <is>
          <t>Sim</t>
        </is>
      </c>
    </row>
    <row r="2101">
      <c r="A2101" s="1">
        <f>HYPERLINK("https://eurofarma-latam-crm.veevavault.com/#object/account__v/V4TZ025E8FHU4AH", "Luís Filipe da Silva")</f>
        <v/>
      </c>
      <c r="B2101" s="1">
        <f>HYPERLINK("https://eurofarma-latam-crm.veevavault.com/#object/account__v/V4TZ025E8FHU4AH", "Luís Filipe Rodrigues Monteiro da Silva")</f>
        <v/>
      </c>
      <c r="C2101" t="inlineStr">
        <is>
          <t>RJ1363219</t>
        </is>
      </c>
      <c r="D2101" t="inlineStr">
        <is>
          <t>END</t>
        </is>
      </c>
      <c r="E2101" t="inlineStr">
        <is>
          <t>Rua Santa Luzia, 206</t>
        </is>
      </c>
      <c r="F2101" t="inlineStr">
        <is>
          <t>Centro</t>
        </is>
      </c>
      <c r="G2101" t="inlineStr">
        <is>
          <t>Rio de Janeiro</t>
        </is>
      </c>
      <c r="H2101" t="inlineStr">
        <is>
          <t>RJ</t>
        </is>
      </c>
      <c r="I2101" t="n">
        <v>7745</v>
      </c>
      <c r="J2101" t="inlineStr"/>
      <c r="K2101" t="inlineStr"/>
    </row>
    <row r="2102">
      <c r="A2102" s="1">
        <f>HYPERLINK("https://eurofarma-latam-crm.veevavault.com/#object/account__v/V4TZ000019139K8", "Luiz Aguiar")</f>
        <v/>
      </c>
      <c r="B2102" s="1">
        <f>HYPERLINK("https://eurofarma-latam-crm.veevavault.com/#object/account__v/V4TZ000019139K8", "Luiz Guilherme Kraemer de Aguiar")</f>
        <v/>
      </c>
      <c r="C2102" t="inlineStr">
        <is>
          <t>RJ0528277</t>
        </is>
      </c>
      <c r="D2102" t="inlineStr">
        <is>
          <t>END</t>
        </is>
      </c>
      <c r="E2102" t="inlineStr">
        <is>
          <t>Rua Salvatori, 40 - Sala 708</t>
        </is>
      </c>
      <c r="F2102" t="inlineStr">
        <is>
          <t>Centro</t>
        </is>
      </c>
      <c r="G2102" t="inlineStr">
        <is>
          <t>São Gonçalo</t>
        </is>
      </c>
      <c r="H2102" t="inlineStr">
        <is>
          <t>RJ</t>
        </is>
      </c>
      <c r="I2102" t="n">
        <v>7745</v>
      </c>
      <c r="J2102" t="inlineStr">
        <is>
          <t>CAT 3</t>
        </is>
      </c>
      <c r="K2102" t="inlineStr">
        <is>
          <t>Sim</t>
        </is>
      </c>
    </row>
    <row r="2103">
      <c r="A2103" s="1">
        <f>HYPERLINK("https://eurofarma-latam-crm.veevavault.com/#object/account__v/V4TZ00001915VTD", "Luiz Antônio de Bragança")</f>
        <v/>
      </c>
      <c r="B2103" s="1">
        <f>HYPERLINK("https://eurofarma-latam-crm.veevavault.com/#object/account__v/V4TZ00001915VTD", "Luiz Antônio Ranzeiro de Bragança")</f>
        <v/>
      </c>
      <c r="C2103" t="inlineStr">
        <is>
          <t>RJ0473930</t>
        </is>
      </c>
      <c r="D2103" t="inlineStr">
        <is>
          <t>END</t>
        </is>
      </c>
      <c r="E2103" t="inlineStr">
        <is>
          <t>Rua da Conceição, 188 - Sala 1804C</t>
        </is>
      </c>
      <c r="F2103" t="inlineStr">
        <is>
          <t>Centro</t>
        </is>
      </c>
      <c r="G2103" t="inlineStr">
        <is>
          <t>Niterói</t>
        </is>
      </c>
      <c r="H2103" t="inlineStr">
        <is>
          <t>RJ</t>
        </is>
      </c>
      <c r="I2103" t="n">
        <v>7745</v>
      </c>
      <c r="J2103" t="inlineStr">
        <is>
          <t>CAT 3</t>
        </is>
      </c>
      <c r="K2103" t="inlineStr">
        <is>
          <t>Sim</t>
        </is>
      </c>
    </row>
    <row r="2104">
      <c r="A2104" s="1">
        <f>HYPERLINK("https://eurofarma-latam-crm.veevavault.com/#object/account__v/V4TZ00001913IH6", "Luiz Augusto Gonçalves")</f>
        <v/>
      </c>
      <c r="B2104" s="1">
        <f>HYPERLINK("https://eurofarma-latam-crm.veevavault.com/#object/account__v/V4TZ00001913IH6", "Luiz Augusto Ramos Gonçalves")</f>
        <v/>
      </c>
      <c r="C2104" t="inlineStr">
        <is>
          <t>RJ0318250</t>
        </is>
      </c>
      <c r="D2104" t="inlineStr">
        <is>
          <t>CLG / SNC</t>
        </is>
      </c>
      <c r="E2104" t="inlineStr">
        <is>
          <t>Avenida Ernani do Amaral Peixoto, 500 - Sala 601 e 602</t>
        </is>
      </c>
      <c r="F2104" t="inlineStr">
        <is>
          <t>Centro</t>
        </is>
      </c>
      <c r="G2104" t="inlineStr">
        <is>
          <t>Niterói</t>
        </is>
      </c>
      <c r="H2104" t="inlineStr">
        <is>
          <t>RJ</t>
        </is>
      </c>
      <c r="I2104" t="n">
        <v>7745</v>
      </c>
      <c r="J2104" t="inlineStr">
        <is>
          <t>CAT 2</t>
        </is>
      </c>
      <c r="K2104" t="inlineStr">
        <is>
          <t>Sim</t>
        </is>
      </c>
    </row>
    <row r="2105">
      <c r="A2105" s="1">
        <f>HYPERLINK("https://eurofarma-latam-crm.veevavault.com/#object/account__v/V4TZ00001916D7M", "Luiz Cunha")</f>
        <v/>
      </c>
      <c r="B2105" s="1">
        <f>HYPERLINK("https://eurofarma-latam-crm.veevavault.com/#object/account__v/V4TZ00001916D7M", "Luiz Felipe Goulart da Cunha")</f>
        <v/>
      </c>
      <c r="C2105" t="inlineStr">
        <is>
          <t>RJ0255175</t>
        </is>
      </c>
      <c r="D2105" t="inlineStr">
        <is>
          <t>ORT</t>
        </is>
      </c>
      <c r="E2105" t="inlineStr">
        <is>
          <t>Rua da Conceição, 188 - Sala 904</t>
        </is>
      </c>
      <c r="F2105" t="inlineStr">
        <is>
          <t>Centro</t>
        </is>
      </c>
      <c r="G2105" t="inlineStr">
        <is>
          <t>Niterói</t>
        </is>
      </c>
      <c r="H2105" t="inlineStr">
        <is>
          <t>RJ</t>
        </is>
      </c>
      <c r="I2105" t="n">
        <v>7745</v>
      </c>
      <c r="J2105" t="inlineStr">
        <is>
          <t>CAT 4</t>
        </is>
      </c>
      <c r="K2105" t="inlineStr">
        <is>
          <t>Sim</t>
        </is>
      </c>
    </row>
    <row r="2106">
      <c r="A2106" s="1">
        <f>HYPERLINK("https://eurofarma-latam-crm.veevavault.com/#object/account__v/V4TZ000018NYBVU", "Luiz Fernando de Souza")</f>
        <v/>
      </c>
      <c r="B2106" s="1">
        <f>HYPERLINK("https://eurofarma-latam-crm.veevavault.com/#object/account__v/V4TZ000018NYBVU", "Luiz Fernando Fonseca de Souza")</f>
        <v/>
      </c>
      <c r="C2106" t="inlineStr">
        <is>
          <t>RJ0737720</t>
        </is>
      </c>
      <c r="D2106" t="inlineStr">
        <is>
          <t>CLG / END</t>
        </is>
      </c>
      <c r="E2106" t="inlineStr">
        <is>
          <t>Estrada do Pacheco, 216</t>
        </is>
      </c>
      <c r="F2106" t="inlineStr">
        <is>
          <t>Lagoinha</t>
        </is>
      </c>
      <c r="G2106" t="inlineStr">
        <is>
          <t>São Gonçalo</t>
        </is>
      </c>
      <c r="H2106" t="inlineStr">
        <is>
          <t>RJ</t>
        </is>
      </c>
      <c r="I2106" t="n">
        <v>7745</v>
      </c>
      <c r="J2106" t="inlineStr">
        <is>
          <t>CAT 4</t>
        </is>
      </c>
      <c r="K2106" t="inlineStr">
        <is>
          <t>Sim</t>
        </is>
      </c>
    </row>
    <row r="2107">
      <c r="A2107" s="1">
        <f>HYPERLINK("https://eurofarma-latam-crm.veevavault.com/#object/account__v/V4TZ000019155HP", "Luiza Oliveira")</f>
        <v/>
      </c>
      <c r="B2107" s="1">
        <f>HYPERLINK("https://eurofarma-latam-crm.veevavault.com/#object/account__v/V4TZ000019155HP", "Luiza Lima Oliveira")</f>
        <v/>
      </c>
      <c r="C2107" t="inlineStr">
        <is>
          <t>RJ1222805</t>
        </is>
      </c>
      <c r="D2107" t="inlineStr">
        <is>
          <t>NEU</t>
        </is>
      </c>
      <c r="E2107" t="inlineStr">
        <is>
          <t>Rua Vicente Vianna, 162</t>
        </is>
      </c>
      <c r="F2107" t="inlineStr">
        <is>
          <t>Novo Rio das Ostras</t>
        </is>
      </c>
      <c r="G2107" t="inlineStr">
        <is>
          <t>Rio das Ostras</t>
        </is>
      </c>
      <c r="H2107" t="inlineStr">
        <is>
          <t>RJ</t>
        </is>
      </c>
      <c r="I2107" t="n">
        <v>7745</v>
      </c>
      <c r="J2107" t="inlineStr">
        <is>
          <t>CAT 3</t>
        </is>
      </c>
      <c r="K2107" t="inlineStr">
        <is>
          <t>Sim</t>
        </is>
      </c>
    </row>
    <row r="2108">
      <c r="A2108" s="1">
        <f>HYPERLINK("https://eurofarma-latam-crm.veevavault.com/#object/account__v/V4TZ025E853G114", "Luziana Ramalho")</f>
        <v/>
      </c>
      <c r="B2108" s="1">
        <f>HYPERLINK("https://eurofarma-latam-crm.veevavault.com/#object/account__v/V4TZ025E853G114", "Luziana de Lima Ramalho")</f>
        <v/>
      </c>
      <c r="C2108" t="inlineStr">
        <is>
          <t>RJ1149660</t>
        </is>
      </c>
      <c r="D2108" t="inlineStr">
        <is>
          <t>ORL</t>
        </is>
      </c>
      <c r="E2108" t="inlineStr">
        <is>
          <t>Rua Visconde de Pirajá, 595 - Sala 804</t>
        </is>
      </c>
      <c r="F2108" t="inlineStr">
        <is>
          <t>Ipanema</t>
        </is>
      </c>
      <c r="G2108" t="inlineStr">
        <is>
          <t>Rio de Janeiro</t>
        </is>
      </c>
      <c r="H2108" t="inlineStr">
        <is>
          <t>RJ</t>
        </is>
      </c>
      <c r="I2108" t="n">
        <v>7745</v>
      </c>
      <c r="J2108" t="inlineStr"/>
      <c r="K2108" t="inlineStr"/>
    </row>
    <row r="2109">
      <c r="A2109" s="1">
        <f>HYPERLINK("https://eurofarma-latam-crm.veevavault.com/#object/account__v/V4TZ000018NXX2K", "Mabilia Martins")</f>
        <v/>
      </c>
      <c r="B2109" s="1">
        <f>HYPERLINK("https://eurofarma-latam-crm.veevavault.com/#object/account__v/V4TZ000018NXX2K", "Mabilia de Amaral Martins")</f>
        <v/>
      </c>
      <c r="C2109" t="inlineStr">
        <is>
          <t>RJ0443900</t>
        </is>
      </c>
      <c r="D2109" t="inlineStr">
        <is>
          <t>CLG</t>
        </is>
      </c>
      <c r="E2109" t="inlineStr">
        <is>
          <t>Rua Doutor Celestino, 103</t>
        </is>
      </c>
      <c r="F2109" t="inlineStr">
        <is>
          <t>Centro</t>
        </is>
      </c>
      <c r="G2109" t="inlineStr">
        <is>
          <t>Niterói</t>
        </is>
      </c>
      <c r="H2109" t="inlineStr">
        <is>
          <t>RJ</t>
        </is>
      </c>
      <c r="I2109" t="n">
        <v>7745</v>
      </c>
      <c r="J2109" t="inlineStr"/>
      <c r="K2109" t="inlineStr"/>
    </row>
    <row r="2110">
      <c r="A2110" s="1">
        <f>HYPERLINK("https://eurofarma-latam-crm.veevavault.com/#object/account__v/V4TZ000018NZACT", "Maracyr Chrispim")</f>
        <v/>
      </c>
      <c r="B2110" s="1">
        <f>HYPERLINK("https://eurofarma-latam-crm.veevavault.com/#object/account__v/V4TZ000018NZACT", "Maracyr Rezende de Souza Chrispim")</f>
        <v/>
      </c>
      <c r="C2110" t="inlineStr">
        <is>
          <t>RJ0031375</t>
        </is>
      </c>
      <c r="D2110" t="inlineStr">
        <is>
          <t>CLG / END</t>
        </is>
      </c>
      <c r="E2110" t="inlineStr">
        <is>
          <t>Rua São Sebastião, 32</t>
        </is>
      </c>
      <c r="F2110" t="inlineStr">
        <is>
          <t>Ingá</t>
        </is>
      </c>
      <c r="G2110" t="inlineStr">
        <is>
          <t>Niterói</t>
        </is>
      </c>
      <c r="H2110" t="inlineStr">
        <is>
          <t>RJ</t>
        </is>
      </c>
      <c r="I2110" t="n">
        <v>7745</v>
      </c>
      <c r="J2110" t="inlineStr">
        <is>
          <t>CAT 5</t>
        </is>
      </c>
      <c r="K2110" t="inlineStr">
        <is>
          <t>Sim</t>
        </is>
      </c>
    </row>
    <row r="2111">
      <c r="A2111" s="1">
        <f>HYPERLINK("https://eurofarma-latam-crm.veevavault.com/#object/account__v/V4TZ000018NZ0ZS", "Marcelle Bastos")</f>
        <v/>
      </c>
      <c r="B2111" s="1">
        <f>HYPERLINK("https://eurofarma-latam-crm.veevavault.com/#object/account__v/V4TZ000018NZ0ZS", "Marcelle Xavier Bastos")</f>
        <v/>
      </c>
      <c r="C2111" t="inlineStr">
        <is>
          <t>RJ0798070</t>
        </is>
      </c>
      <c r="D2111" t="inlineStr">
        <is>
          <t>GER</t>
        </is>
      </c>
      <c r="E2111" t="inlineStr">
        <is>
          <t>Rua Doutor Celestino, 122 - Sala 1229</t>
        </is>
      </c>
      <c r="F2111" t="inlineStr">
        <is>
          <t>Centro</t>
        </is>
      </c>
      <c r="G2111" t="inlineStr">
        <is>
          <t>Niterói</t>
        </is>
      </c>
      <c r="H2111" t="inlineStr">
        <is>
          <t>RJ</t>
        </is>
      </c>
      <c r="I2111" t="n">
        <v>7745</v>
      </c>
      <c r="J2111" t="inlineStr">
        <is>
          <t>CAT 2</t>
        </is>
      </c>
      <c r="K2111" t="inlineStr">
        <is>
          <t>Sim</t>
        </is>
      </c>
    </row>
    <row r="2112">
      <c r="A2112" s="1">
        <f>HYPERLINK("https://eurofarma-latam-crm.veevavault.com/#object/account__v/V4TZ000018NY0GY", "Marcelle Fraga")</f>
        <v/>
      </c>
      <c r="B2112" s="1">
        <f>HYPERLINK("https://eurofarma-latam-crm.veevavault.com/#object/account__v/V4TZ000018NY0GY", "Marcelle Lopes de Oliveira Santos Fraga")</f>
        <v/>
      </c>
      <c r="C2112" t="inlineStr">
        <is>
          <t>RJ0933031</t>
        </is>
      </c>
      <c r="D2112" t="inlineStr">
        <is>
          <t>PSQ</t>
        </is>
      </c>
      <c r="E2112" t="inlineStr">
        <is>
          <t>Avenida Pres Kennedy, 1226</t>
        </is>
      </c>
      <c r="F2112" t="inlineStr">
        <is>
          <t>Centro</t>
        </is>
      </c>
      <c r="G2112" t="inlineStr">
        <is>
          <t>Barra Mansa</t>
        </is>
      </c>
      <c r="H2112" t="inlineStr">
        <is>
          <t>RJ</t>
        </is>
      </c>
      <c r="I2112" t="n">
        <v>7745</v>
      </c>
      <c r="J2112" t="inlineStr">
        <is>
          <t>CAT 3</t>
        </is>
      </c>
      <c r="K2112" t="inlineStr">
        <is>
          <t>Sim</t>
        </is>
      </c>
    </row>
    <row r="2113">
      <c r="A2113" s="1">
        <f>HYPERLINK("https://eurofarma-latam-crm.veevavault.com/#object/account__v/V4TZ000018NZ19L", "Marcello Serrao")</f>
        <v/>
      </c>
      <c r="B2113" s="1">
        <f>HYPERLINK("https://eurofarma-latam-crm.veevavault.com/#object/account__v/V4TZ000018NZ19L", "Marcello Ganem Serrao")</f>
        <v/>
      </c>
      <c r="C2113" t="inlineStr">
        <is>
          <t>RJ0557540</t>
        </is>
      </c>
      <c r="D2113" t="inlineStr">
        <is>
          <t>ORT</t>
        </is>
      </c>
      <c r="E2113" t="inlineStr">
        <is>
          <t>Rua Ivone Cavaleiro, 201 - Cob 01</t>
        </is>
      </c>
      <c r="F2113" t="inlineStr">
        <is>
          <t>Barra da Tijuca</t>
        </is>
      </c>
      <c r="G2113" t="inlineStr">
        <is>
          <t>Rio de Janeiro</t>
        </is>
      </c>
      <c r="H2113" t="inlineStr">
        <is>
          <t>RJ</t>
        </is>
      </c>
      <c r="I2113" t="n">
        <v>7745</v>
      </c>
      <c r="J2113" t="inlineStr">
        <is>
          <t>CAT 4</t>
        </is>
      </c>
      <c r="K2113" t="inlineStr">
        <is>
          <t>Sim</t>
        </is>
      </c>
    </row>
    <row r="2114">
      <c r="A2114" s="1">
        <f>HYPERLINK("https://eurofarma-latam-crm.veevavault.com/#object/account__v/V4TZ00001914R7Y", "Marcelo da Silva")</f>
        <v/>
      </c>
      <c r="B2114" s="1">
        <f>HYPERLINK("https://eurofarma-latam-crm.veevavault.com/#object/account__v/V4TZ00001914R7Y", "Marcelo Nogueira da Silva")</f>
        <v/>
      </c>
      <c r="C2114" t="inlineStr">
        <is>
          <t>RJ0629588</t>
        </is>
      </c>
      <c r="D2114" t="inlineStr">
        <is>
          <t>ORL</t>
        </is>
      </c>
      <c r="E2114" t="inlineStr">
        <is>
          <t>Rua Francisco Manuel, 126</t>
        </is>
      </c>
      <c r="F2114" t="inlineStr">
        <is>
          <t>Benfica</t>
        </is>
      </c>
      <c r="G2114" t="inlineStr">
        <is>
          <t>Rio de Janeiro</t>
        </is>
      </c>
      <c r="H2114" t="inlineStr">
        <is>
          <t>RJ</t>
        </is>
      </c>
      <c r="I2114" t="n">
        <v>7745</v>
      </c>
      <c r="J2114" t="inlineStr">
        <is>
          <t>CAT 3</t>
        </is>
      </c>
      <c r="K2114" t="inlineStr">
        <is>
          <t>Sim</t>
        </is>
      </c>
    </row>
    <row r="2115">
      <c r="A2115" s="1">
        <f>HYPERLINK("https://eurofarma-latam-crm.veevavault.com/#object/account__v/V4TZ00001914L70", "Marcelo do Nascimento")</f>
        <v/>
      </c>
      <c r="B2115" s="1">
        <f>HYPERLINK("https://eurofarma-latam-crm.veevavault.com/#object/account__v/V4TZ00001914L70", "Marcelo Medeiros do Nascimento")</f>
        <v/>
      </c>
      <c r="C2115" t="inlineStr">
        <is>
          <t>RJ0561257</t>
        </is>
      </c>
      <c r="D2115" t="inlineStr">
        <is>
          <t>URO</t>
        </is>
      </c>
      <c r="E2115" t="inlineStr">
        <is>
          <t>Avenida Rio Branco, 120 - 14 Andar</t>
        </is>
      </c>
      <c r="F2115" t="inlineStr">
        <is>
          <t>Centro</t>
        </is>
      </c>
      <c r="G2115" t="inlineStr">
        <is>
          <t>Rio de Janeiro</t>
        </is>
      </c>
      <c r="H2115" t="inlineStr">
        <is>
          <t>RJ</t>
        </is>
      </c>
      <c r="I2115" t="n">
        <v>7745</v>
      </c>
      <c r="J2115" t="inlineStr">
        <is>
          <t>CAT 5</t>
        </is>
      </c>
      <c r="K2115" t="inlineStr">
        <is>
          <t>Sim</t>
        </is>
      </c>
    </row>
    <row r="2116">
      <c r="A2116" s="1">
        <f>HYPERLINK("https://eurofarma-latam-crm.veevavault.com/#object/account__v/V4TZ00001913L0O", "Marcelo Pereira")</f>
        <v/>
      </c>
      <c r="B2116" s="1">
        <f>HYPERLINK("https://eurofarma-latam-crm.veevavault.com/#object/account__v/V4TZ00001913L0O", "Marcelo Correia Pereira")</f>
        <v/>
      </c>
      <c r="C2116" t="inlineStr">
        <is>
          <t>RJ0736538</t>
        </is>
      </c>
      <c r="D2116" t="inlineStr">
        <is>
          <t>PSQ</t>
        </is>
      </c>
      <c r="E2116" t="inlineStr">
        <is>
          <t>Rua Miguel de Frias, 51 - Sala 303</t>
        </is>
      </c>
      <c r="F2116" t="inlineStr">
        <is>
          <t>Icaraí</t>
        </is>
      </c>
      <c r="G2116" t="inlineStr">
        <is>
          <t>Niterói</t>
        </is>
      </c>
      <c r="H2116" t="inlineStr">
        <is>
          <t>RJ</t>
        </is>
      </c>
      <c r="I2116" t="n">
        <v>7745</v>
      </c>
      <c r="J2116" t="inlineStr">
        <is>
          <t>CAT 4</t>
        </is>
      </c>
      <c r="K2116" t="inlineStr">
        <is>
          <t>Sim</t>
        </is>
      </c>
    </row>
    <row r="2117">
      <c r="A2117" s="1">
        <f>HYPERLINK("https://eurofarma-latam-crm.veevavault.com/#object/account__v/V4TZ000018NY8P8", "Marcia Gassen")</f>
        <v/>
      </c>
      <c r="B2117" s="1">
        <f>HYPERLINK("https://eurofarma-latam-crm.veevavault.com/#object/account__v/V4TZ000018NY8P8", "Marcia Gregory Pacheco Dantas Gassen")</f>
        <v/>
      </c>
      <c r="C2117" t="inlineStr">
        <is>
          <t>RJ0537610</t>
        </is>
      </c>
      <c r="D2117" t="inlineStr">
        <is>
          <t>END</t>
        </is>
      </c>
      <c r="E2117" t="inlineStr">
        <is>
          <t>Rua Mário Ribeiro, 117</t>
        </is>
      </c>
      <c r="F2117" t="inlineStr">
        <is>
          <t>Leblon</t>
        </is>
      </c>
      <c r="G2117" t="inlineStr">
        <is>
          <t>Rio de Janeiro</t>
        </is>
      </c>
      <c r="H2117" t="inlineStr">
        <is>
          <t>RJ</t>
        </is>
      </c>
      <c r="I2117" t="n">
        <v>7745</v>
      </c>
      <c r="J2117" t="inlineStr">
        <is>
          <t>CAT 4</t>
        </is>
      </c>
      <c r="K2117" t="inlineStr">
        <is>
          <t>Sim</t>
        </is>
      </c>
    </row>
    <row r="2118">
      <c r="A2118" s="1">
        <f>HYPERLINK("https://eurofarma-latam-crm.veevavault.com/#object/account__v/V4TZ025E84SLGRK", "Márcia Maria Louback")</f>
        <v/>
      </c>
      <c r="B2118" s="1">
        <f>HYPERLINK("https://eurofarma-latam-crm.veevavault.com/#object/account__v/V4TZ025E84SLGRK", "Márcia Maria Lisbôa Louback")</f>
        <v/>
      </c>
      <c r="C2118" t="inlineStr">
        <is>
          <t>RJ1134744</t>
        </is>
      </c>
      <c r="D2118" t="inlineStr">
        <is>
          <t>END</t>
        </is>
      </c>
      <c r="E2118" t="inlineStr">
        <is>
          <t>Avenida Rio Branco, 181 - Sala 102</t>
        </is>
      </c>
      <c r="F2118" t="inlineStr">
        <is>
          <t>Centro</t>
        </is>
      </c>
      <c r="G2118" t="inlineStr">
        <is>
          <t>Rio de Janeiro</t>
        </is>
      </c>
      <c r="H2118" t="inlineStr">
        <is>
          <t>RJ</t>
        </is>
      </c>
      <c r="I2118" t="n">
        <v>7745</v>
      </c>
      <c r="J2118" t="inlineStr">
        <is>
          <t>CAT 4</t>
        </is>
      </c>
      <c r="K2118" t="inlineStr">
        <is>
          <t>Sim</t>
        </is>
      </c>
    </row>
    <row r="2119">
      <c r="A2119" s="1">
        <f>HYPERLINK("https://eurofarma-latam-crm.veevavault.com/#object/account__v/V4TZ025E84P9N11", "Márcio Antônio Babinski")</f>
        <v/>
      </c>
      <c r="B2119" s="1">
        <f>HYPERLINK("https://eurofarma-latam-crm.veevavault.com/#object/account__v/V4TZ025E84P9N11", "Márcio Antônio Babinski")</f>
        <v/>
      </c>
      <c r="C2119" t="inlineStr">
        <is>
          <t>RJ1054554</t>
        </is>
      </c>
      <c r="D2119" t="inlineStr">
        <is>
          <t>ORT</t>
        </is>
      </c>
      <c r="E2119" t="inlineStr">
        <is>
          <t>Rua Coronel Serrado, 1000 - 9 Andar - Sala 1120</t>
        </is>
      </c>
      <c r="F2119" t="inlineStr">
        <is>
          <t>Zé Garoto</t>
        </is>
      </c>
      <c r="G2119" t="inlineStr">
        <is>
          <t>São Gonçalo</t>
        </is>
      </c>
      <c r="H2119" t="inlineStr">
        <is>
          <t>RJ</t>
        </is>
      </c>
      <c r="I2119" t="n">
        <v>7745</v>
      </c>
      <c r="J2119" t="inlineStr">
        <is>
          <t>CAT 4</t>
        </is>
      </c>
      <c r="K2119" t="inlineStr">
        <is>
          <t>Sim</t>
        </is>
      </c>
    </row>
    <row r="2120">
      <c r="A2120" s="1">
        <f>HYPERLINK("https://eurofarma-latam-crm.veevavault.com/#object/account__v/V4TZ00001913FID", "Marco Antônio Fortes")</f>
        <v/>
      </c>
      <c r="B2120" s="1">
        <f>HYPERLINK("https://eurofarma-latam-crm.veevavault.com/#object/account__v/V4TZ00001913FID", "Marco Antônio Quesada Ribeiro Fortes")</f>
        <v/>
      </c>
      <c r="C2120" t="inlineStr">
        <is>
          <t>RJ0034349,RJ0343494</t>
        </is>
      </c>
      <c r="D2120" t="inlineStr">
        <is>
          <t>URO</t>
        </is>
      </c>
      <c r="E2120" t="inlineStr">
        <is>
          <t>Rua Almirante Baltazar, 435</t>
        </is>
      </c>
      <c r="F2120" t="inlineStr">
        <is>
          <t>São Cristóvão</t>
        </is>
      </c>
      <c r="G2120" t="inlineStr">
        <is>
          <t>Rio de Janeiro</t>
        </is>
      </c>
      <c r="H2120" t="inlineStr">
        <is>
          <t>RJ</t>
        </is>
      </c>
      <c r="I2120" t="n">
        <v>7745</v>
      </c>
      <c r="J2120" t="inlineStr">
        <is>
          <t>CAT 3</t>
        </is>
      </c>
      <c r="K2120" t="inlineStr">
        <is>
          <t>Sim</t>
        </is>
      </c>
    </row>
    <row r="2121">
      <c r="A2121" s="1">
        <f>HYPERLINK("https://eurofarma-latam-crm.veevavault.com/#object/account__v/V4TZ00001915LG4", "Marco Aurélio Musmanno")</f>
        <v/>
      </c>
      <c r="B2121" s="1">
        <f>HYPERLINK("https://eurofarma-latam-crm.veevavault.com/#object/account__v/V4TZ00001915LG4", "Marco Aurélio Fernandes Musmanno")</f>
        <v/>
      </c>
      <c r="C2121" t="inlineStr">
        <is>
          <t>RJ0676624</t>
        </is>
      </c>
      <c r="D2121" t="inlineStr">
        <is>
          <t>CLG</t>
        </is>
      </c>
      <c r="E2121" t="inlineStr">
        <is>
          <t>Rua Montecaseros, 576</t>
        </is>
      </c>
      <c r="F2121" t="inlineStr">
        <is>
          <t>Centro</t>
        </is>
      </c>
      <c r="G2121" t="inlineStr">
        <is>
          <t>Petrópolis</t>
        </is>
      </c>
      <c r="H2121" t="inlineStr">
        <is>
          <t>RJ</t>
        </is>
      </c>
      <c r="I2121" t="n">
        <v>7745</v>
      </c>
      <c r="J2121" t="inlineStr">
        <is>
          <t>CAT 3</t>
        </is>
      </c>
      <c r="K2121" t="inlineStr">
        <is>
          <t>Sim</t>
        </is>
      </c>
    </row>
    <row r="2122">
      <c r="A2122" s="1">
        <f>HYPERLINK("https://eurofarma-latam-crm.veevavault.com/#object/account__v/V4TZ00001913V26", "Marco Cesar Valle")</f>
        <v/>
      </c>
      <c r="B2122" s="1">
        <f>HYPERLINK("https://eurofarma-latam-crm.veevavault.com/#object/account__v/V4TZ00001913V26", "Marco Cesar de Paula Valle")</f>
        <v/>
      </c>
      <c r="C2122" t="inlineStr">
        <is>
          <t>RJ0375413</t>
        </is>
      </c>
      <c r="D2122" t="inlineStr">
        <is>
          <t>URO</t>
        </is>
      </c>
      <c r="E2122" t="inlineStr">
        <is>
          <t>Avenida Nilo Peçanha, 50 - Gr 1113</t>
        </is>
      </c>
      <c r="F2122" t="inlineStr">
        <is>
          <t>Centro</t>
        </is>
      </c>
      <c r="G2122" t="inlineStr">
        <is>
          <t>Rio de Janeiro</t>
        </is>
      </c>
      <c r="H2122" t="inlineStr">
        <is>
          <t>RJ</t>
        </is>
      </c>
      <c r="I2122" t="n">
        <v>7745</v>
      </c>
      <c r="J2122" t="inlineStr">
        <is>
          <t>CAT 5</t>
        </is>
      </c>
      <c r="K2122" t="inlineStr">
        <is>
          <t>Sim</t>
        </is>
      </c>
    </row>
    <row r="2123">
      <c r="A2123" s="1">
        <f>HYPERLINK("https://eurofarma-latam-crm.veevavault.com/#object/account__v/V4TZ000018NYCGL", "Marcos José Renni")</f>
        <v/>
      </c>
      <c r="B2123" s="1">
        <f>HYPERLINK("https://eurofarma-latam-crm.veevavault.com/#object/account__v/V4TZ000018NYCGL", "Marcos José Pereira Renni")</f>
        <v/>
      </c>
      <c r="C2123" t="inlineStr">
        <is>
          <t>RJ0507200</t>
        </is>
      </c>
      <c r="D2123" t="inlineStr">
        <is>
          <t>CLG / SNC</t>
        </is>
      </c>
      <c r="E2123" t="inlineStr">
        <is>
          <t>Rua Visconde de Santa Isabel, 274</t>
        </is>
      </c>
      <c r="F2123" t="inlineStr">
        <is>
          <t>Vila Isabel</t>
        </is>
      </c>
      <c r="G2123" t="inlineStr">
        <is>
          <t>Rio de Janeiro</t>
        </is>
      </c>
      <c r="H2123" t="inlineStr">
        <is>
          <t>RJ</t>
        </is>
      </c>
      <c r="I2123" t="n">
        <v>7745</v>
      </c>
      <c r="J2123" t="inlineStr">
        <is>
          <t>CAT 2</t>
        </is>
      </c>
      <c r="K2123" t="inlineStr">
        <is>
          <t>Sim</t>
        </is>
      </c>
    </row>
    <row r="2124">
      <c r="A2124" s="1">
        <f>HYPERLINK("https://eurofarma-latam-crm.veevavault.com/#object/account__v/V4TZ00001913K53", "Marden Marinha")</f>
        <v/>
      </c>
      <c r="B2124" s="1">
        <f>HYPERLINK("https://eurofarma-latam-crm.veevavault.com/#object/account__v/V4TZ00001913K53", "Marden Samir Santa Marinha")</f>
        <v/>
      </c>
      <c r="C2124" t="inlineStr">
        <is>
          <t>RJ0659363</t>
        </is>
      </c>
      <c r="D2124" t="inlineStr">
        <is>
          <t>PSQ</t>
        </is>
      </c>
      <c r="E2124" t="inlineStr">
        <is>
          <t>Rua Doutor Celestino, 122 Sala - 1019</t>
        </is>
      </c>
      <c r="F2124" t="inlineStr">
        <is>
          <t>Centro</t>
        </is>
      </c>
      <c r="G2124" t="inlineStr">
        <is>
          <t>Niterói</t>
        </is>
      </c>
      <c r="H2124" t="inlineStr">
        <is>
          <t>RJ</t>
        </is>
      </c>
      <c r="I2124" t="n">
        <v>7745</v>
      </c>
      <c r="J2124" t="inlineStr">
        <is>
          <t>CAT 2</t>
        </is>
      </c>
      <c r="K2124" t="inlineStr">
        <is>
          <t>Sim</t>
        </is>
      </c>
    </row>
    <row r="2125">
      <c r="A2125" s="1">
        <f>HYPERLINK("https://eurofarma-latam-crm.veevavault.com/#object/account__v/V4TZ00001916FKV", "Maria Chedid")</f>
        <v/>
      </c>
      <c r="B2125" s="1">
        <f>HYPERLINK("https://eurofarma-latam-crm.veevavault.com/#object/account__v/V4TZ00001916FKV", "Maria Alzira Bertges de Oliveira Chedid")</f>
        <v/>
      </c>
      <c r="C2125" t="inlineStr">
        <is>
          <t>RJ0376803</t>
        </is>
      </c>
      <c r="D2125" t="inlineStr">
        <is>
          <t>CLG</t>
        </is>
      </c>
      <c r="E2125" t="inlineStr">
        <is>
          <t>Avenida Rio Branco, 156 - Sala 2106</t>
        </is>
      </c>
      <c r="F2125" t="inlineStr">
        <is>
          <t>Centro</t>
        </is>
      </c>
      <c r="G2125" t="inlineStr">
        <is>
          <t>Rio de Janeiro</t>
        </is>
      </c>
      <c r="H2125" t="inlineStr">
        <is>
          <t>RJ</t>
        </is>
      </c>
      <c r="I2125" t="n">
        <v>7745</v>
      </c>
      <c r="J2125" t="inlineStr">
        <is>
          <t>CAT 5</t>
        </is>
      </c>
      <c r="K2125" t="inlineStr">
        <is>
          <t>Sim</t>
        </is>
      </c>
    </row>
    <row r="2126">
      <c r="A2126" s="1">
        <f>HYPERLINK("https://eurofarma-latam-crm.veevavault.com/#object/account__v/V4TZ00001916HBC", "Maria Claudia Lins")</f>
        <v/>
      </c>
      <c r="B2126" s="1">
        <f>HYPERLINK("https://eurofarma-latam-crm.veevavault.com/#object/account__v/V4TZ00001916HBC", "Maria Claudia Cruz Lins")</f>
        <v/>
      </c>
      <c r="C2126" t="inlineStr">
        <is>
          <t>RJ0549339</t>
        </is>
      </c>
      <c r="D2126" t="inlineStr">
        <is>
          <t>GAS</t>
        </is>
      </c>
      <c r="E2126" t="inlineStr">
        <is>
          <t>Estrada Francisco da Cruz Nunes, 5599</t>
        </is>
      </c>
      <c r="F2126" t="inlineStr">
        <is>
          <t>Largo da Batalha</t>
        </is>
      </c>
      <c r="G2126" t="inlineStr">
        <is>
          <t>Niterói</t>
        </is>
      </c>
      <c r="H2126" t="inlineStr">
        <is>
          <t>RJ</t>
        </is>
      </c>
      <c r="I2126" t="n">
        <v>7745</v>
      </c>
      <c r="J2126" t="inlineStr">
        <is>
          <t>CAT 5</t>
        </is>
      </c>
      <c r="K2126" t="inlineStr">
        <is>
          <t>Sim</t>
        </is>
      </c>
    </row>
    <row r="2127">
      <c r="A2127" s="1">
        <f>HYPERLINK("https://eurofarma-latam-crm.veevavault.com/#object/account__v/V4TZ000018NYXDZ", "Maria Cristina Maiolino")</f>
        <v/>
      </c>
      <c r="B2127" s="1">
        <f>HYPERLINK("https://eurofarma-latam-crm.veevavault.com/#object/account__v/V4TZ000018NYXDZ", "Maria Cristina Gonçalves Maiolino")</f>
        <v/>
      </c>
      <c r="C2127" t="inlineStr">
        <is>
          <t>RJ0478116</t>
        </is>
      </c>
      <c r="D2127" t="inlineStr">
        <is>
          <t>CLG</t>
        </is>
      </c>
      <c r="E2127" t="inlineStr">
        <is>
          <t>Avenida Rio Branco, 156 - Salas 2106 e 2107</t>
        </is>
      </c>
      <c r="F2127" t="inlineStr">
        <is>
          <t>Centro</t>
        </is>
      </c>
      <c r="G2127" t="inlineStr">
        <is>
          <t>Rio de Janeiro</t>
        </is>
      </c>
      <c r="H2127" t="inlineStr">
        <is>
          <t>RJ</t>
        </is>
      </c>
      <c r="I2127" t="n">
        <v>7745</v>
      </c>
      <c r="J2127" t="inlineStr">
        <is>
          <t>CAT 5</t>
        </is>
      </c>
      <c r="K2127" t="inlineStr">
        <is>
          <t>Sim</t>
        </is>
      </c>
    </row>
    <row r="2128">
      <c r="A2128" s="1">
        <f>HYPERLINK("https://eurofarma-latam-crm.veevavault.com/#object/account__v/V4TZ00001913UJR", "Maria de Fátima Emerson")</f>
        <v/>
      </c>
      <c r="B2128" s="1">
        <f>HYPERLINK("https://eurofarma-latam-crm.veevavault.com/#object/account__v/V4TZ00001913UJR", "Maria de Fátima Epaminondas Emerson")</f>
        <v/>
      </c>
      <c r="C2128" t="inlineStr">
        <is>
          <t>RJ0309942</t>
        </is>
      </c>
      <c r="D2128" t="inlineStr">
        <is>
          <t>ORL</t>
        </is>
      </c>
      <c r="E2128" t="inlineStr">
        <is>
          <t>Rua Santa Luzia, 799 - Sala 1103</t>
        </is>
      </c>
      <c r="F2128" t="inlineStr">
        <is>
          <t>Centro</t>
        </is>
      </c>
      <c r="G2128" t="inlineStr">
        <is>
          <t>Rio de Janeiro</t>
        </is>
      </c>
      <c r="H2128" t="inlineStr">
        <is>
          <t>RJ</t>
        </is>
      </c>
      <c r="I2128" t="n">
        <v>7745</v>
      </c>
      <c r="J2128" t="inlineStr">
        <is>
          <t>CAT 3</t>
        </is>
      </c>
      <c r="K2128" t="inlineStr">
        <is>
          <t>Sim</t>
        </is>
      </c>
    </row>
    <row r="2129">
      <c r="A2129" s="1">
        <f>HYPERLINK("https://eurofarma-latam-crm.veevavault.com/#object/account__v/V4TZ00001914RN6", "Maria do Carmo Lacerda")</f>
        <v/>
      </c>
      <c r="B2129" s="1">
        <f>HYPERLINK("https://eurofarma-latam-crm.veevavault.com/#object/account__v/V4TZ00001914RN6", "Maria do Carmo Lourenço Rego Lacerda")</f>
        <v/>
      </c>
      <c r="C2129" t="inlineStr">
        <is>
          <t>RJ0435377</t>
        </is>
      </c>
      <c r="D2129" t="inlineStr">
        <is>
          <t>PSQ</t>
        </is>
      </c>
      <c r="E2129" t="inlineStr">
        <is>
          <t>Avenida Ernani do Amaral Peixoto, 479 - Sala 802</t>
        </is>
      </c>
      <c r="F2129" t="inlineStr">
        <is>
          <t>Centro</t>
        </is>
      </c>
      <c r="G2129" t="inlineStr">
        <is>
          <t>Niterói</t>
        </is>
      </c>
      <c r="H2129" t="inlineStr">
        <is>
          <t>RJ</t>
        </is>
      </c>
      <c r="I2129" t="n">
        <v>7745</v>
      </c>
      <c r="J2129" t="inlineStr">
        <is>
          <t>CAT 4</t>
        </is>
      </c>
      <c r="K2129" t="inlineStr">
        <is>
          <t>Sim</t>
        </is>
      </c>
    </row>
    <row r="2130">
      <c r="A2130" s="1">
        <f>HYPERLINK("https://eurofarma-latam-crm.veevavault.com/#object/account__v/V4TZ000019135GZ", "Maria Inês Ferreira")</f>
        <v/>
      </c>
      <c r="B2130" s="1">
        <f>HYPERLINK("https://eurofarma-latam-crm.veevavault.com/#object/account__v/V4TZ000019135GZ", "Maria Inês Perello Lopes Ferreira")</f>
        <v/>
      </c>
      <c r="C2130" t="inlineStr">
        <is>
          <t>RJ0544840</t>
        </is>
      </c>
      <c r="D2130" t="inlineStr">
        <is>
          <t>ORL</t>
        </is>
      </c>
      <c r="E2130" t="inlineStr">
        <is>
          <t>Rua dos Búzios, 2</t>
        </is>
      </c>
      <c r="F2130" t="inlineStr">
        <is>
          <t>Magalhães Bastos</t>
        </is>
      </c>
      <c r="G2130" t="inlineStr">
        <is>
          <t>Rio de Janeiro</t>
        </is>
      </c>
      <c r="H2130" t="inlineStr">
        <is>
          <t>RJ</t>
        </is>
      </c>
      <c r="I2130" t="n">
        <v>7745</v>
      </c>
      <c r="J2130" t="inlineStr">
        <is>
          <t>CAT 4</t>
        </is>
      </c>
      <c r="K2130" t="inlineStr">
        <is>
          <t>Sim</t>
        </is>
      </c>
    </row>
    <row r="2131">
      <c r="A2131" s="1">
        <f>HYPERLINK("https://eurofarma-latam-crm.veevavault.com/#object/account__v/V4TZ025E88M18WW", "Maria Luiza Siqueira")</f>
        <v/>
      </c>
      <c r="B2131" s="1">
        <f>HYPERLINK("https://eurofarma-latam-crm.veevavault.com/#object/account__v/V4TZ025E88M18WW", "Maria Luiza Andrade Siqueira")</f>
        <v/>
      </c>
      <c r="C2131" t="inlineStr">
        <is>
          <t>RJ1345656</t>
        </is>
      </c>
      <c r="D2131" t="inlineStr">
        <is>
          <t>PSQ</t>
        </is>
      </c>
      <c r="E2131" t="inlineStr">
        <is>
          <t>Avenida das Américas, 500 - Bloco 20 Sala 309</t>
        </is>
      </c>
      <c r="F2131" t="inlineStr">
        <is>
          <t>Barra da Tijuca</t>
        </is>
      </c>
      <c r="G2131" t="inlineStr">
        <is>
          <t>Rio de Janeiro</t>
        </is>
      </c>
      <c r="H2131" t="inlineStr">
        <is>
          <t>RJ</t>
        </is>
      </c>
      <c r="I2131" t="n">
        <v>7745</v>
      </c>
      <c r="J2131" t="inlineStr"/>
      <c r="K2131" t="inlineStr"/>
    </row>
    <row r="2132">
      <c r="A2132" s="1">
        <f>HYPERLINK("https://eurofarma-latam-crm.veevavault.com/#object/account__v/V4TZ00001913NR1", "Maria Monteiro")</f>
        <v/>
      </c>
      <c r="B2132" s="1">
        <f>HYPERLINK("https://eurofarma-latam-crm.veevavault.com/#object/account__v/V4TZ00001913NR1", "Maria do Ceu Lobo da Rocha Monteiro")</f>
        <v/>
      </c>
      <c r="C2132" t="inlineStr">
        <is>
          <t>RJ0275120</t>
        </is>
      </c>
      <c r="D2132" t="inlineStr">
        <is>
          <t>PED</t>
        </is>
      </c>
      <c r="E2132" t="inlineStr">
        <is>
          <t>Avenida Visconde do Rio Branco, 633 - Sala 508</t>
        </is>
      </c>
      <c r="F2132" t="inlineStr">
        <is>
          <t>Centro</t>
        </is>
      </c>
      <c r="G2132" t="inlineStr">
        <is>
          <t>Niterói</t>
        </is>
      </c>
      <c r="H2132" t="inlineStr">
        <is>
          <t>RJ</t>
        </is>
      </c>
      <c r="I2132" t="n">
        <v>7745</v>
      </c>
      <c r="J2132" t="inlineStr">
        <is>
          <t>CAT 5</t>
        </is>
      </c>
      <c r="K2132" t="inlineStr">
        <is>
          <t>Sim</t>
        </is>
      </c>
    </row>
    <row r="2133">
      <c r="A2133" s="1">
        <f>HYPERLINK("https://eurofarma-latam-crm.veevavault.com/#object/account__v/V4TZ025E8BAZ1JM", "Maria Velloso")</f>
        <v/>
      </c>
      <c r="B2133" s="1">
        <f>HYPERLINK("https://eurofarma-latam-crm.veevavault.com/#object/account__v/V4TZ025E8BAZ1JM", "Maria Cristina Ajala Velloso")</f>
        <v/>
      </c>
      <c r="C2133" t="inlineStr">
        <is>
          <t>RJ0411402</t>
        </is>
      </c>
      <c r="D2133" t="inlineStr">
        <is>
          <t>PED</t>
        </is>
      </c>
      <c r="E2133" t="inlineStr">
        <is>
          <t>Rua Padre Manso, S/N</t>
        </is>
      </c>
      <c r="F2133" t="inlineStr">
        <is>
          <t>Madureira</t>
        </is>
      </c>
      <c r="G2133" t="inlineStr">
        <is>
          <t>Rio de Janeiro</t>
        </is>
      </c>
      <c r="H2133" t="inlineStr">
        <is>
          <t>RJ</t>
        </is>
      </c>
      <c r="I2133" t="n">
        <v>7745</v>
      </c>
      <c r="J2133" t="inlineStr">
        <is>
          <t>CAT 5</t>
        </is>
      </c>
      <c r="K2133" t="inlineStr">
        <is>
          <t>Sim</t>
        </is>
      </c>
    </row>
    <row r="2134">
      <c r="A2134" s="1">
        <f>HYPERLINK("https://eurofarma-latam-crm.veevavault.com/#object/account__v/V4TZ025E886R26Z", "Mariana Brandão")</f>
        <v/>
      </c>
      <c r="B2134" s="1">
        <f>HYPERLINK("https://eurofarma-latam-crm.veevavault.com/#object/account__v/V4TZ025E886R26Z", "Mariana Ayres Brandão")</f>
        <v/>
      </c>
      <c r="C2134" t="inlineStr">
        <is>
          <t>RJ1285696</t>
        </is>
      </c>
      <c r="D2134" t="inlineStr">
        <is>
          <t>PSQ</t>
        </is>
      </c>
      <c r="E2134" t="inlineStr">
        <is>
          <t>Rua da Conceição, 188 - Sala 2003 B</t>
        </is>
      </c>
      <c r="F2134" t="inlineStr">
        <is>
          <t>Centro</t>
        </is>
      </c>
      <c r="G2134" t="inlineStr">
        <is>
          <t>Niterói</t>
        </is>
      </c>
      <c r="H2134" t="inlineStr">
        <is>
          <t>RJ</t>
        </is>
      </c>
      <c r="I2134" t="n">
        <v>7745</v>
      </c>
      <c r="J2134" t="inlineStr">
        <is>
          <t>CAT 1</t>
        </is>
      </c>
      <c r="K2134" t="inlineStr">
        <is>
          <t>Sim</t>
        </is>
      </c>
    </row>
    <row r="2135">
      <c r="A2135" s="1">
        <f>HYPERLINK("https://eurofarma-latam-crm.veevavault.com/#object/account__v/V4TZ025E83XP6PM", "Marielly Rabelo")</f>
        <v/>
      </c>
      <c r="B2135" s="1">
        <f>HYPERLINK("https://eurofarma-latam-crm.veevavault.com/#object/account__v/V4TZ025E83XP6PM", "Marielly Silva Rabelo")</f>
        <v/>
      </c>
      <c r="C2135" t="inlineStr">
        <is>
          <t>RJ1084259</t>
        </is>
      </c>
      <c r="D2135" t="inlineStr">
        <is>
          <t>PSQ</t>
        </is>
      </c>
      <c r="E2135" t="inlineStr">
        <is>
          <t>Rua Aurelino Leal, 45 - Loja e Sobrado</t>
        </is>
      </c>
      <c r="F2135" t="inlineStr">
        <is>
          <t>Centro</t>
        </is>
      </c>
      <c r="G2135" t="inlineStr">
        <is>
          <t>Niterói</t>
        </is>
      </c>
      <c r="H2135" t="inlineStr">
        <is>
          <t>RJ</t>
        </is>
      </c>
      <c r="I2135" t="n">
        <v>7745</v>
      </c>
      <c r="J2135" t="inlineStr">
        <is>
          <t>CAT 3</t>
        </is>
      </c>
      <c r="K2135" t="inlineStr">
        <is>
          <t>Sim</t>
        </is>
      </c>
    </row>
    <row r="2136">
      <c r="A2136" s="1">
        <f>HYPERLINK("https://eurofarma-latam-crm.veevavault.com/#object/account__v/V4TZ00001915SXW", "Mariluzia Rangel")</f>
        <v/>
      </c>
      <c r="B2136" s="1">
        <f>HYPERLINK("https://eurofarma-latam-crm.veevavault.com/#object/account__v/V4TZ00001915SXW", "Mariluzia Zuany Rangel")</f>
        <v/>
      </c>
      <c r="C2136" t="inlineStr">
        <is>
          <t>RJ0331640</t>
        </is>
      </c>
      <c r="D2136" t="inlineStr">
        <is>
          <t>NEU</t>
        </is>
      </c>
      <c r="E2136" t="inlineStr">
        <is>
          <t>Rua Coronel Gomes Machado, 130 - Sala 705</t>
        </is>
      </c>
      <c r="F2136" t="inlineStr">
        <is>
          <t>Centro</t>
        </is>
      </c>
      <c r="G2136" t="inlineStr">
        <is>
          <t>Niterói</t>
        </is>
      </c>
      <c r="H2136" t="inlineStr">
        <is>
          <t>RJ</t>
        </is>
      </c>
      <c r="I2136" t="n">
        <v>7745</v>
      </c>
      <c r="J2136" t="inlineStr">
        <is>
          <t>CAT 2</t>
        </is>
      </c>
      <c r="K2136" t="inlineStr">
        <is>
          <t>Sim</t>
        </is>
      </c>
    </row>
    <row r="2137">
      <c r="A2137" s="1">
        <f>HYPERLINK("https://eurofarma-latam-crm.veevavault.com/#object/account__v/V4TZ00001914XNW", "Marina Rosa")</f>
        <v/>
      </c>
      <c r="B2137" s="1">
        <f>HYPERLINK("https://eurofarma-latam-crm.veevavault.com/#object/account__v/V4TZ00001914XNW", "Marina Mendes Rosa")</f>
        <v/>
      </c>
      <c r="C2137" t="inlineStr">
        <is>
          <t>RJ0882380</t>
        </is>
      </c>
      <c r="D2137" t="inlineStr">
        <is>
          <t>GAS</t>
        </is>
      </c>
      <c r="E2137" t="inlineStr">
        <is>
          <t>Rua da Conceição, 154 - Sala 401</t>
        </is>
      </c>
      <c r="F2137" t="inlineStr">
        <is>
          <t>Centro</t>
        </is>
      </c>
      <c r="G2137" t="inlineStr">
        <is>
          <t>Niterói</t>
        </is>
      </c>
      <c r="H2137" t="inlineStr">
        <is>
          <t>RJ</t>
        </is>
      </c>
      <c r="I2137" t="n">
        <v>7745</v>
      </c>
      <c r="J2137" t="inlineStr">
        <is>
          <t>CAT 4</t>
        </is>
      </c>
      <c r="K2137" t="inlineStr">
        <is>
          <t>Sim</t>
        </is>
      </c>
    </row>
    <row r="2138">
      <c r="A2138" s="1">
        <f>HYPERLINK("https://eurofarma-latam-crm.veevavault.com/#object/account__v/V4TZ00001913ZHE", "Marina Zoucas")</f>
        <v/>
      </c>
      <c r="B2138" s="1">
        <f>HYPERLINK("https://eurofarma-latam-crm.veevavault.com/#object/account__v/V4TZ00001913ZHE", "Marina Adriani Zoucas")</f>
        <v/>
      </c>
      <c r="C2138" t="inlineStr">
        <is>
          <t>RJ0329063</t>
        </is>
      </c>
      <c r="D2138" t="inlineStr">
        <is>
          <t>ORL</t>
        </is>
      </c>
      <c r="E2138" t="inlineStr">
        <is>
          <t>Rua General Gustavo Cordeiro de Farias, 545</t>
        </is>
      </c>
      <c r="F2138" t="inlineStr">
        <is>
          <t>Benfica</t>
        </is>
      </c>
      <c r="G2138" t="inlineStr">
        <is>
          <t>Rio de Janeiro</t>
        </is>
      </c>
      <c r="H2138" t="inlineStr">
        <is>
          <t>RJ</t>
        </is>
      </c>
      <c r="I2138" t="n">
        <v>7745</v>
      </c>
      <c r="J2138" t="inlineStr">
        <is>
          <t>CAT 4</t>
        </is>
      </c>
      <c r="K2138" t="inlineStr">
        <is>
          <t>Sim</t>
        </is>
      </c>
    </row>
    <row r="2139">
      <c r="A2139" s="1">
        <f>HYPERLINK("https://eurofarma-latam-crm.veevavault.com/#object/account__v/V4TZ000019153SO", "Mario Pedro Barroso")</f>
        <v/>
      </c>
      <c r="B2139" s="1">
        <f>HYPERLINK("https://eurofarma-latam-crm.veevavault.com/#object/account__v/V4TZ000019153SO", "Mario Pedro Ribeiro Coelho Barroso")</f>
        <v/>
      </c>
      <c r="C2139" t="inlineStr">
        <is>
          <t>RJ1006657</t>
        </is>
      </c>
      <c r="D2139" t="inlineStr">
        <is>
          <t>URO</t>
        </is>
      </c>
      <c r="E2139" t="inlineStr">
        <is>
          <t>Rua Conde de Bonfim, 1033</t>
        </is>
      </c>
      <c r="F2139" t="inlineStr">
        <is>
          <t>Tijuca</t>
        </is>
      </c>
      <c r="G2139" t="inlineStr">
        <is>
          <t>Rio de Janeiro</t>
        </is>
      </c>
      <c r="H2139" t="inlineStr">
        <is>
          <t>RJ</t>
        </is>
      </c>
      <c r="I2139" t="n">
        <v>7745</v>
      </c>
      <c r="J2139" t="inlineStr">
        <is>
          <t>CAT 5</t>
        </is>
      </c>
      <c r="K2139" t="inlineStr">
        <is>
          <t>Sim</t>
        </is>
      </c>
    </row>
    <row r="2140">
      <c r="A2140" s="1">
        <f>HYPERLINK("https://eurofarma-latam-crm.veevavault.com/#object/account__v/V4TZ00001915QYJ", "Marise Berriel")</f>
        <v/>
      </c>
      <c r="B2140" s="1">
        <f>HYPERLINK("https://eurofarma-latam-crm.veevavault.com/#object/account__v/V4TZ00001915QYJ", "Marise Ribeiro de Sousa Berriel")</f>
        <v/>
      </c>
      <c r="C2140" t="inlineStr">
        <is>
          <t>RJ0858455</t>
        </is>
      </c>
      <c r="D2140" t="inlineStr">
        <is>
          <t>END</t>
        </is>
      </c>
      <c r="E2140" t="inlineStr">
        <is>
          <t>Avenida Ernani Do Amaral Peixoto, 500 - Sala 602</t>
        </is>
      </c>
      <c r="F2140" t="inlineStr">
        <is>
          <t>Centro</t>
        </is>
      </c>
      <c r="G2140" t="inlineStr">
        <is>
          <t>Niterói</t>
        </is>
      </c>
      <c r="H2140" t="inlineStr">
        <is>
          <t>RJ</t>
        </is>
      </c>
      <c r="I2140" t="n">
        <v>7745</v>
      </c>
      <c r="J2140" t="inlineStr">
        <is>
          <t>CAT 5</t>
        </is>
      </c>
      <c r="K2140" t="inlineStr">
        <is>
          <t>Sim</t>
        </is>
      </c>
    </row>
    <row r="2141">
      <c r="A2141" s="1">
        <f>HYPERLINK("https://eurofarma-latam-crm.veevavault.com/#object/account__v/V4TZ000019146WM", "Marlene Rodrigues")</f>
        <v/>
      </c>
      <c r="B2141" s="1">
        <f>HYPERLINK("https://eurofarma-latam-crm.veevavault.com/#object/account__v/V4TZ000019146WM", "Marlene Rodrigues")</f>
        <v/>
      </c>
      <c r="C2141" t="inlineStr">
        <is>
          <t>RJ0304100</t>
        </is>
      </c>
      <c r="D2141" t="inlineStr">
        <is>
          <t>PED</t>
        </is>
      </c>
      <c r="E2141" t="inlineStr">
        <is>
          <t>Rua Tiradentes, 12-18</t>
        </is>
      </c>
      <c r="F2141" t="inlineStr">
        <is>
          <t>Ingá</t>
        </is>
      </c>
      <c r="G2141" t="inlineStr">
        <is>
          <t>Niterói</t>
        </is>
      </c>
      <c r="H2141" t="inlineStr">
        <is>
          <t>RJ</t>
        </is>
      </c>
      <c r="I2141" t="n">
        <v>7745</v>
      </c>
      <c r="J2141" t="inlineStr">
        <is>
          <t>CAT 5</t>
        </is>
      </c>
      <c r="K2141" t="inlineStr">
        <is>
          <t>N�o</t>
        </is>
      </c>
    </row>
    <row r="2142">
      <c r="A2142" s="1">
        <f>HYPERLINK("https://eurofarma-latam-crm.veevavault.com/#object/account__v/V4TZ000019148Z6", "Mary Cassar")</f>
        <v/>
      </c>
      <c r="B2142" s="1">
        <f>HYPERLINK("https://eurofarma-latam-crm.veevavault.com/#object/account__v/V4TZ000019148Z6", "Mary Daysi Cassar")</f>
        <v/>
      </c>
      <c r="C2142" t="inlineStr">
        <is>
          <t>RJ0264560</t>
        </is>
      </c>
      <c r="D2142" t="inlineStr">
        <is>
          <t>PSQ</t>
        </is>
      </c>
      <c r="E2142" t="inlineStr">
        <is>
          <t>Rua Sete de Setembro, 88 - Sala 1211</t>
        </is>
      </c>
      <c r="F2142" t="inlineStr">
        <is>
          <t>Centro</t>
        </is>
      </c>
      <c r="G2142" t="inlineStr">
        <is>
          <t>Rio de Janeiro</t>
        </is>
      </c>
      <c r="H2142" t="inlineStr">
        <is>
          <t>RJ</t>
        </is>
      </c>
      <c r="I2142" t="n">
        <v>7745</v>
      </c>
      <c r="J2142" t="inlineStr">
        <is>
          <t>CAT 2</t>
        </is>
      </c>
      <c r="K2142" t="inlineStr">
        <is>
          <t>Sim</t>
        </is>
      </c>
    </row>
    <row r="2143">
      <c r="A2143" s="1">
        <f>HYPERLINK("https://eurofarma-latam-crm.veevavault.com/#object/account__v/V4TZ000019167YE", "Mateus Cesar Rodrigues")</f>
        <v/>
      </c>
      <c r="B2143" s="1">
        <f>HYPERLINK("https://eurofarma-latam-crm.veevavault.com/#object/account__v/V4TZ000019167YE", "Mateus Cesar de Araujo Rodrigues")</f>
        <v/>
      </c>
      <c r="C2143" t="inlineStr">
        <is>
          <t>RJ1224743</t>
        </is>
      </c>
      <c r="D2143" t="inlineStr">
        <is>
          <t>ORL</t>
        </is>
      </c>
      <c r="E2143" t="inlineStr">
        <is>
          <t>Avenida Rio Branco, 257 - Salas 710/714</t>
        </is>
      </c>
      <c r="F2143" t="inlineStr">
        <is>
          <t>Centro</t>
        </is>
      </c>
      <c r="G2143" t="inlineStr">
        <is>
          <t>Rio de Janeiro</t>
        </is>
      </c>
      <c r="H2143" t="inlineStr">
        <is>
          <t>RJ</t>
        </is>
      </c>
      <c r="I2143" t="n">
        <v>7745</v>
      </c>
      <c r="J2143" t="inlineStr">
        <is>
          <t>CAT 4</t>
        </is>
      </c>
      <c r="K2143" t="inlineStr">
        <is>
          <t>Sim</t>
        </is>
      </c>
    </row>
    <row r="2144">
      <c r="A2144" s="1">
        <f>HYPERLINK("https://eurofarma-latam-crm.veevavault.com/#object/account__v/V4TZ00001915Y5P", "Max Cavalcante")</f>
        <v/>
      </c>
      <c r="B2144" s="1">
        <f>HYPERLINK("https://eurofarma-latam-crm.veevavault.com/#object/account__v/V4TZ00001915Y5P", "Max Alves Cavalcante")</f>
        <v/>
      </c>
      <c r="C2144" t="inlineStr">
        <is>
          <t>RJ0457203</t>
        </is>
      </c>
      <c r="D2144" t="inlineStr">
        <is>
          <t>ORT</t>
        </is>
      </c>
      <c r="E2144" t="inlineStr">
        <is>
          <t>Avenida Doce Angra, S/N</t>
        </is>
      </c>
      <c r="F2144" t="inlineStr">
        <is>
          <t>Village</t>
        </is>
      </c>
      <c r="G2144" t="inlineStr">
        <is>
          <t>Angra dos Reis</t>
        </is>
      </c>
      <c r="H2144" t="inlineStr">
        <is>
          <t>RJ</t>
        </is>
      </c>
      <c r="I2144" t="n">
        <v>7745</v>
      </c>
      <c r="J2144" t="inlineStr"/>
      <c r="K2144" t="inlineStr"/>
    </row>
    <row r="2145">
      <c r="A2145" s="1">
        <f>HYPERLINK("https://eurofarma-latam-crm.veevavault.com/#object/account__v/V4TZ00001913X57", "Miguel Elia")</f>
        <v/>
      </c>
      <c r="B2145" s="1">
        <f>HYPERLINK("https://eurofarma-latam-crm.veevavault.com/#object/account__v/V4TZ00001913X57", "Miguel Angel Elia")</f>
        <v/>
      </c>
      <c r="C2145" t="inlineStr">
        <is>
          <t>RJ1179616</t>
        </is>
      </c>
      <c r="D2145" t="inlineStr">
        <is>
          <t>PSQ</t>
        </is>
      </c>
      <c r="E2145" t="inlineStr">
        <is>
          <t>Estrada Francisco da Cruz Nunes, 7506 - Loja 101</t>
        </is>
      </c>
      <c r="F2145" t="inlineStr">
        <is>
          <t>Itaipu</t>
        </is>
      </c>
      <c r="G2145" t="inlineStr">
        <is>
          <t>Niterói</t>
        </is>
      </c>
      <c r="H2145" t="inlineStr">
        <is>
          <t>RJ</t>
        </is>
      </c>
      <c r="I2145" t="n">
        <v>7745</v>
      </c>
      <c r="J2145" t="inlineStr">
        <is>
          <t>CAT 2</t>
        </is>
      </c>
      <c r="K2145" t="inlineStr">
        <is>
          <t>Sim</t>
        </is>
      </c>
    </row>
    <row r="2146">
      <c r="A2146" s="1">
        <f>HYPERLINK("https://eurofarma-latam-crm.veevavault.com/#object/account__v/V4TZ000019139XJ", "Milce Roos")</f>
        <v/>
      </c>
      <c r="B2146" s="1">
        <f>HYPERLINK("https://eurofarma-latam-crm.veevavault.com/#object/account__v/V4TZ000019139XJ", "Milce Roos")</f>
        <v/>
      </c>
      <c r="C2146" t="inlineStr">
        <is>
          <t>RJ0364220</t>
        </is>
      </c>
      <c r="D2146" t="inlineStr">
        <is>
          <t>END</t>
        </is>
      </c>
      <c r="E2146" t="inlineStr">
        <is>
          <t>Rua Santa Luzia, 206</t>
        </is>
      </c>
      <c r="F2146" t="inlineStr">
        <is>
          <t>Centro</t>
        </is>
      </c>
      <c r="G2146" t="inlineStr">
        <is>
          <t>Rio de Janeiro</t>
        </is>
      </c>
      <c r="H2146" t="inlineStr">
        <is>
          <t>RJ</t>
        </is>
      </c>
      <c r="I2146" t="n">
        <v>7745</v>
      </c>
      <c r="J2146" t="inlineStr">
        <is>
          <t>CAT 5</t>
        </is>
      </c>
      <c r="K2146" t="inlineStr">
        <is>
          <t>Sim</t>
        </is>
      </c>
    </row>
    <row r="2147">
      <c r="A2147" s="1">
        <f>HYPERLINK("https://eurofarma-latam-crm.veevavault.com/#object/account__v/V4TZ00001913AZO", "Mônica de Sequeira Santos")</f>
        <v/>
      </c>
      <c r="B2147" s="1">
        <f>HYPERLINK("https://eurofarma-latam-crm.veevavault.com/#object/account__v/V4TZ00001913AZO", "Mônica Peixoto de Sequeira Santos")</f>
        <v/>
      </c>
      <c r="C2147" t="inlineStr">
        <is>
          <t>RJ0335655</t>
        </is>
      </c>
      <c r="D2147" t="inlineStr">
        <is>
          <t>CLG / END</t>
        </is>
      </c>
      <c r="E2147" t="inlineStr">
        <is>
          <t>Rua Dom Marcos Barbosa, 2 - Sala 201</t>
        </is>
      </c>
      <c r="F2147" t="inlineStr">
        <is>
          <t>Cidade Nova</t>
        </is>
      </c>
      <c r="G2147" t="inlineStr">
        <is>
          <t>Rio de Janeiro</t>
        </is>
      </c>
      <c r="H2147" t="inlineStr">
        <is>
          <t>RJ</t>
        </is>
      </c>
      <c r="I2147" t="n">
        <v>7745</v>
      </c>
      <c r="J2147" t="inlineStr">
        <is>
          <t>CAT 3</t>
        </is>
      </c>
      <c r="K2147" t="inlineStr">
        <is>
          <t>Sim</t>
        </is>
      </c>
    </row>
    <row r="2148">
      <c r="A2148" s="1">
        <f>HYPERLINK("https://eurofarma-latam-crm.veevavault.com/#object/account__v/V4TZ000018NY2XA", "Munique da Silva")</f>
        <v/>
      </c>
      <c r="B2148" s="1">
        <f>HYPERLINK("https://eurofarma-latam-crm.veevavault.com/#object/account__v/V4TZ000018NY2XA", "Munique Lima da Silva")</f>
        <v/>
      </c>
      <c r="C2148" t="inlineStr">
        <is>
          <t>RJ0899950</t>
        </is>
      </c>
      <c r="D2148" t="inlineStr">
        <is>
          <t>END</t>
        </is>
      </c>
      <c r="E2148" t="inlineStr">
        <is>
          <t>Rua Manuel Quintanilha, 81</t>
        </is>
      </c>
      <c r="F2148" t="inlineStr">
        <is>
          <t>Itaúna</t>
        </is>
      </c>
      <c r="G2148" t="inlineStr">
        <is>
          <t>São Gonçalo</t>
        </is>
      </c>
      <c r="H2148" t="inlineStr">
        <is>
          <t>RJ</t>
        </is>
      </c>
      <c r="I2148" t="n">
        <v>7745</v>
      </c>
      <c r="J2148" t="inlineStr">
        <is>
          <t>CAT 2</t>
        </is>
      </c>
      <c r="K2148" t="inlineStr">
        <is>
          <t>Sim</t>
        </is>
      </c>
    </row>
    <row r="2149">
      <c r="A2149" s="1">
        <f>HYPERLINK("https://eurofarma-latam-crm.veevavault.com/#object/account__v/V4TZ00001914XZ3", "Nabor Ruiz")</f>
        <v/>
      </c>
      <c r="B2149" s="1">
        <f>HYPERLINK("https://eurofarma-latam-crm.veevavault.com/#object/account__v/V4TZ00001914XZ3", "Nabor Plaza Ruiz")</f>
        <v/>
      </c>
      <c r="C2149" t="inlineStr">
        <is>
          <t>RJ0477111</t>
        </is>
      </c>
      <c r="D2149" t="inlineStr">
        <is>
          <t>ORL</t>
        </is>
      </c>
      <c r="E2149" t="inlineStr">
        <is>
          <t>Rua da Conceição, 188 - Sala 1303 B</t>
        </is>
      </c>
      <c r="F2149" t="inlineStr">
        <is>
          <t>Centro</t>
        </is>
      </c>
      <c r="G2149" t="inlineStr">
        <is>
          <t>Niterói</t>
        </is>
      </c>
      <c r="H2149" t="inlineStr">
        <is>
          <t>RJ</t>
        </is>
      </c>
      <c r="I2149" t="n">
        <v>7745</v>
      </c>
      <c r="J2149" t="inlineStr">
        <is>
          <t>CAT 4</t>
        </is>
      </c>
      <c r="K2149" t="inlineStr">
        <is>
          <t>N�o</t>
        </is>
      </c>
    </row>
    <row r="2150">
      <c r="A2150" s="1">
        <f>HYPERLINK("https://eurofarma-latam-crm.veevavault.com/#object/account__v/V4TZ000019154W1", "Nadja de Moura")</f>
        <v/>
      </c>
      <c r="B2150" s="1">
        <f>HYPERLINK("https://eurofarma-latam-crm.veevavault.com/#object/account__v/V4TZ000019154W1", "Nadja Glória de Moura")</f>
        <v/>
      </c>
      <c r="C2150" t="inlineStr">
        <is>
          <t>RJ0528892</t>
        </is>
      </c>
      <c r="D2150" t="inlineStr">
        <is>
          <t>ORT</t>
        </is>
      </c>
      <c r="E2150" t="inlineStr">
        <is>
          <t>Avenida Rio Branco, 120 - 14 Andar</t>
        </is>
      </c>
      <c r="F2150" t="inlineStr">
        <is>
          <t>Centro</t>
        </is>
      </c>
      <c r="G2150" t="inlineStr">
        <is>
          <t>Rio de Janeiro</t>
        </is>
      </c>
      <c r="H2150" t="inlineStr">
        <is>
          <t>RJ</t>
        </is>
      </c>
      <c r="I2150" t="n">
        <v>7745</v>
      </c>
      <c r="J2150" t="inlineStr">
        <is>
          <t>CAT 5</t>
        </is>
      </c>
      <c r="K2150" t="inlineStr">
        <is>
          <t>Sim</t>
        </is>
      </c>
    </row>
    <row r="2151">
      <c r="A2151" s="1">
        <f>HYPERLINK("https://eurofarma-latam-crm.veevavault.com/#object/account__v/V4TZ00001914T3I", "Nice Ribeiro")</f>
        <v/>
      </c>
      <c r="B2151" s="1">
        <f>HYPERLINK("https://eurofarma-latam-crm.veevavault.com/#object/account__v/V4TZ00001914T3I", "Nice Godinho Ribeiro")</f>
        <v/>
      </c>
      <c r="C2151" t="inlineStr">
        <is>
          <t>RJ0542691</t>
        </is>
      </c>
      <c r="D2151" t="inlineStr">
        <is>
          <t>GER</t>
        </is>
      </c>
      <c r="E2151" t="inlineStr">
        <is>
          <t>Rua Aurelino Leal, 45 - Loja e Sobrado</t>
        </is>
      </c>
      <c r="F2151" t="inlineStr">
        <is>
          <t>Centro</t>
        </is>
      </c>
      <c r="G2151" t="inlineStr">
        <is>
          <t>Niterói</t>
        </is>
      </c>
      <c r="H2151" t="inlineStr">
        <is>
          <t>RJ</t>
        </is>
      </c>
      <c r="I2151" t="n">
        <v>7745</v>
      </c>
      <c r="J2151" t="inlineStr">
        <is>
          <t>CAT 3</t>
        </is>
      </c>
      <c r="K2151" t="inlineStr">
        <is>
          <t>Sim</t>
        </is>
      </c>
    </row>
    <row r="2152">
      <c r="A2152" s="1">
        <f>HYPERLINK("https://eurofarma-latam-crm.veevavault.com/#object/account__v/V4TZ00001916CJD", "Orlando Luiz Krieger")</f>
        <v/>
      </c>
      <c r="B2152" s="1">
        <f>HYPERLINK("https://eurofarma-latam-crm.veevavault.com/#object/account__v/V4TZ00001916CJD", "Orlando Luiz Krieger")</f>
        <v/>
      </c>
      <c r="C2152" t="inlineStr">
        <is>
          <t>RJ0521708</t>
        </is>
      </c>
      <c r="D2152" t="inlineStr">
        <is>
          <t>PSQ</t>
        </is>
      </c>
      <c r="E2152" t="inlineStr">
        <is>
          <t>Rua Santa Luzia, 206</t>
        </is>
      </c>
      <c r="F2152" t="inlineStr">
        <is>
          <t>Centro</t>
        </is>
      </c>
      <c r="G2152" t="inlineStr">
        <is>
          <t>Rio de Janeiro</t>
        </is>
      </c>
      <c r="H2152" t="inlineStr">
        <is>
          <t>RJ</t>
        </is>
      </c>
      <c r="I2152" t="n">
        <v>7745</v>
      </c>
      <c r="J2152" t="inlineStr">
        <is>
          <t>CAT 2</t>
        </is>
      </c>
      <c r="K2152" t="inlineStr">
        <is>
          <t>Sim</t>
        </is>
      </c>
    </row>
    <row r="2153">
      <c r="A2153" s="1">
        <f>HYPERLINK("https://eurofarma-latam-crm.veevavault.com/#object/account__v/V4TZ000018NXJEP", "Paloma Hess")</f>
        <v/>
      </c>
      <c r="B2153" s="1">
        <f>HYPERLINK("https://eurofarma-latam-crm.veevavault.com/#object/account__v/V4TZ000018NXJEP", "Paloma Nehab Hess")</f>
        <v/>
      </c>
      <c r="C2153" t="inlineStr">
        <is>
          <t>RJ0762377</t>
        </is>
      </c>
      <c r="D2153" t="inlineStr">
        <is>
          <t>END</t>
        </is>
      </c>
      <c r="E2153" t="inlineStr">
        <is>
          <t>Rua Real Grandeza 139 - Sala 704</t>
        </is>
      </c>
      <c r="F2153" t="inlineStr">
        <is>
          <t>Botafogo</t>
        </is>
      </c>
      <c r="G2153" t="inlineStr">
        <is>
          <t>Rio de Janeiro</t>
        </is>
      </c>
      <c r="H2153" t="inlineStr">
        <is>
          <t>RJ</t>
        </is>
      </c>
      <c r="I2153" t="n">
        <v>7745</v>
      </c>
      <c r="J2153" t="inlineStr">
        <is>
          <t>CAT 3</t>
        </is>
      </c>
      <c r="K2153" t="inlineStr">
        <is>
          <t>Sim</t>
        </is>
      </c>
    </row>
    <row r="2154">
      <c r="A2154" s="1">
        <f>HYPERLINK("https://eurofarma-latam-crm.veevavault.com/#object/account__v/V4TZ000018NYIH5", "Patricia Nakajima")</f>
        <v/>
      </c>
      <c r="B2154" s="1">
        <f>HYPERLINK("https://eurofarma-latam-crm.veevavault.com/#object/account__v/V4TZ000018NYIH5", "Patricia Echenique Mattos Nakajima")</f>
        <v/>
      </c>
      <c r="C2154" t="inlineStr">
        <is>
          <t>RJ0800341</t>
        </is>
      </c>
      <c r="D2154" t="inlineStr">
        <is>
          <t>END</t>
        </is>
      </c>
      <c r="E2154" t="inlineStr">
        <is>
          <t>Rua Moncorvo Filho, 90</t>
        </is>
      </c>
      <c r="F2154" t="inlineStr">
        <is>
          <t>Centro</t>
        </is>
      </c>
      <c r="G2154" t="inlineStr">
        <is>
          <t>Rio de Janeiro</t>
        </is>
      </c>
      <c r="H2154" t="inlineStr">
        <is>
          <t>RJ</t>
        </is>
      </c>
      <c r="I2154" t="n">
        <v>7745</v>
      </c>
      <c r="J2154" t="inlineStr">
        <is>
          <t>CAT 5</t>
        </is>
      </c>
      <c r="K2154" t="inlineStr">
        <is>
          <t>N�o</t>
        </is>
      </c>
    </row>
    <row r="2155">
      <c r="A2155" s="1">
        <f>HYPERLINK("https://eurofarma-latam-crm.veevavault.com/#object/account__v/V4TZ00001915B13", "Paula Henriques")</f>
        <v/>
      </c>
      <c r="B2155" s="1">
        <f>HYPERLINK("https://eurofarma-latam-crm.veevavault.com/#object/account__v/V4TZ00001915B13", "Paula Pereira Henriques")</f>
        <v/>
      </c>
      <c r="C2155" t="inlineStr">
        <is>
          <t>RJ0868736</t>
        </is>
      </c>
      <c r="D2155" t="inlineStr">
        <is>
          <t>URO</t>
        </is>
      </c>
      <c r="E2155" t="inlineStr">
        <is>
          <t>Rua General Gustavo Cordeiro de Farias, 545</t>
        </is>
      </c>
      <c r="F2155" t="inlineStr">
        <is>
          <t>Benfica</t>
        </is>
      </c>
      <c r="G2155" t="inlineStr">
        <is>
          <t>Rio de Janeiro</t>
        </is>
      </c>
      <c r="H2155" t="inlineStr">
        <is>
          <t>RJ</t>
        </is>
      </c>
      <c r="I2155" t="n">
        <v>7745</v>
      </c>
      <c r="J2155" t="inlineStr">
        <is>
          <t>CAT 4</t>
        </is>
      </c>
      <c r="K2155" t="inlineStr">
        <is>
          <t>Sim</t>
        </is>
      </c>
    </row>
    <row r="2156">
      <c r="A2156" s="1">
        <f>HYPERLINK("https://eurofarma-latam-crm.veevavault.com/#object/account__v/V4TZ000018NYBER", "Paulo Cesar de Carvalho")</f>
        <v/>
      </c>
      <c r="B2156" s="1">
        <f>HYPERLINK("https://eurofarma-latam-crm.veevavault.com/#object/account__v/V4TZ000018NYBER", "Paulo Cesar Granato de Carvalho")</f>
        <v/>
      </c>
      <c r="C2156" t="inlineStr">
        <is>
          <t>RJ0315888</t>
        </is>
      </c>
      <c r="D2156" t="inlineStr">
        <is>
          <t>PED</t>
        </is>
      </c>
      <c r="E2156" t="inlineStr">
        <is>
          <t>Rua Tiradentes, 12-18</t>
        </is>
      </c>
      <c r="F2156" t="inlineStr">
        <is>
          <t>Ingá</t>
        </is>
      </c>
      <c r="G2156" t="inlineStr">
        <is>
          <t>Niterói</t>
        </is>
      </c>
      <c r="H2156" t="inlineStr">
        <is>
          <t>RJ</t>
        </is>
      </c>
      <c r="I2156" t="n">
        <v>7745</v>
      </c>
      <c r="J2156" t="inlineStr">
        <is>
          <t>CAT 4</t>
        </is>
      </c>
      <c r="K2156" t="inlineStr">
        <is>
          <t>Sim</t>
        </is>
      </c>
    </row>
    <row r="2157">
      <c r="A2157" s="1">
        <f>HYPERLINK("https://eurofarma-latam-crm.veevavault.com/#object/account__v/V4TZ000018NXVEV", "Paulo Fernando da Cunha")</f>
        <v/>
      </c>
      <c r="B2157" s="1">
        <f>HYPERLINK("https://eurofarma-latam-crm.veevavault.com/#object/account__v/V4TZ000018NXVEV", "Paulo Fernando Lopes da Cunha")</f>
        <v/>
      </c>
      <c r="C2157" t="inlineStr">
        <is>
          <t>RJ0400491</t>
        </is>
      </c>
      <c r="D2157" t="inlineStr">
        <is>
          <t>URO</t>
        </is>
      </c>
      <c r="E2157" t="inlineStr">
        <is>
          <t>Avenida Feliciano Sodré, 47 - Parte</t>
        </is>
      </c>
      <c r="F2157" t="inlineStr">
        <is>
          <t>Centro</t>
        </is>
      </c>
      <c r="G2157" t="inlineStr">
        <is>
          <t>Niterói</t>
        </is>
      </c>
      <c r="H2157" t="inlineStr">
        <is>
          <t>RJ</t>
        </is>
      </c>
      <c r="I2157" t="n">
        <v>7745</v>
      </c>
      <c r="J2157" t="inlineStr">
        <is>
          <t>CAT 2</t>
        </is>
      </c>
      <c r="K2157" t="inlineStr">
        <is>
          <t>Sim</t>
        </is>
      </c>
    </row>
    <row r="2158">
      <c r="A2158" s="1">
        <f>HYPERLINK("https://eurofarma-latam-crm.veevavault.com/#object/account__v/V4TZ000018NXJVE", "Paulo Henrique Louzada")</f>
        <v/>
      </c>
      <c r="B2158" s="1">
        <f>HYPERLINK("https://eurofarma-latam-crm.veevavault.com/#object/account__v/V4TZ000018NXJVE", "Paulo Henrique Van Erven Louzada")</f>
        <v/>
      </c>
      <c r="C2158" t="inlineStr">
        <is>
          <t>RJ0580102</t>
        </is>
      </c>
      <c r="D2158" t="inlineStr">
        <is>
          <t>ORT</t>
        </is>
      </c>
      <c r="E2158" t="inlineStr">
        <is>
          <t>Rua Barão do Flamengo, 22 - Salas 101/103 Térreo</t>
        </is>
      </c>
      <c r="F2158" t="inlineStr">
        <is>
          <t>Flamengo</t>
        </is>
      </c>
      <c r="G2158" t="inlineStr">
        <is>
          <t>Rio de Janeiro</t>
        </is>
      </c>
      <c r="H2158" t="inlineStr">
        <is>
          <t>RJ</t>
        </is>
      </c>
      <c r="I2158" t="n">
        <v>7745</v>
      </c>
      <c r="J2158" t="inlineStr">
        <is>
          <t>CAT 4</t>
        </is>
      </c>
      <c r="K2158" t="inlineStr">
        <is>
          <t>Sim</t>
        </is>
      </c>
    </row>
    <row r="2159">
      <c r="A2159" s="1">
        <f>HYPERLINK("https://eurofarma-latam-crm.veevavault.com/#object/account__v/V4TZ000019134OL", "Paulo Maultasch")</f>
        <v/>
      </c>
      <c r="B2159" s="1">
        <f>HYPERLINK("https://eurofarma-latam-crm.veevavault.com/#object/account__v/V4TZ000019134OL", "Paulo Maultasch")</f>
        <v/>
      </c>
      <c r="C2159" t="inlineStr">
        <is>
          <t>RJ0836648</t>
        </is>
      </c>
      <c r="D2159" t="inlineStr">
        <is>
          <t>PSQ</t>
        </is>
      </c>
      <c r="E2159" t="inlineStr">
        <is>
          <t>Avenida das Américas, 500 - Bloco 04 Sala 320</t>
        </is>
      </c>
      <c r="F2159" t="inlineStr">
        <is>
          <t>Barra da Tijuca</t>
        </is>
      </c>
      <c r="G2159" t="inlineStr">
        <is>
          <t>Rio de Janeiro</t>
        </is>
      </c>
      <c r="H2159" t="inlineStr">
        <is>
          <t>RJ</t>
        </is>
      </c>
      <c r="I2159" t="n">
        <v>7745</v>
      </c>
      <c r="J2159" t="inlineStr">
        <is>
          <t>CAT 1</t>
        </is>
      </c>
      <c r="K2159" t="inlineStr">
        <is>
          <t>Sim</t>
        </is>
      </c>
    </row>
    <row r="2160">
      <c r="A2160" s="1">
        <f>HYPERLINK("https://eurofarma-latam-crm.veevavault.com/#object/account__v/V4TZ000019131FO", "Paulo Monnerat")</f>
        <v/>
      </c>
      <c r="B2160" s="1">
        <f>HYPERLINK("https://eurofarma-latam-crm.veevavault.com/#object/account__v/V4TZ000019131FO", "Paulo Jose Tardin Monnerat")</f>
        <v/>
      </c>
      <c r="C2160" t="inlineStr">
        <is>
          <t>RJ0420499</t>
        </is>
      </c>
      <c r="D2160" t="inlineStr">
        <is>
          <t>PED</t>
        </is>
      </c>
      <c r="E2160" t="inlineStr">
        <is>
          <t>Rua da Conceição, 154 - Sala 407</t>
        </is>
      </c>
      <c r="F2160" t="inlineStr">
        <is>
          <t>Centro</t>
        </is>
      </c>
      <c r="G2160" t="inlineStr">
        <is>
          <t>Niterói</t>
        </is>
      </c>
      <c r="H2160" t="inlineStr">
        <is>
          <t>RJ</t>
        </is>
      </c>
      <c r="I2160" t="n">
        <v>7745</v>
      </c>
      <c r="J2160" t="inlineStr">
        <is>
          <t>CAT 5</t>
        </is>
      </c>
      <c r="K2160" t="inlineStr">
        <is>
          <t>N�o</t>
        </is>
      </c>
    </row>
    <row r="2161">
      <c r="A2161" s="1">
        <f>HYPERLINK("https://eurofarma-latam-crm.veevavault.com/#object/account__v/V4TZ000018NXH20", "Paulo Roberto de Carvalho")</f>
        <v/>
      </c>
      <c r="B2161" s="1">
        <f>HYPERLINK("https://eurofarma-latam-crm.veevavault.com/#object/account__v/V4TZ000018NXH20", "Paulo Roberto Salustiano de Carvalho")</f>
        <v/>
      </c>
      <c r="C2161" t="inlineStr">
        <is>
          <t>RJ0799041</t>
        </is>
      </c>
      <c r="D2161" t="inlineStr">
        <is>
          <t>URO</t>
        </is>
      </c>
      <c r="E2161" t="inlineStr">
        <is>
          <t>Rua Leopoldo, 280</t>
        </is>
      </c>
      <c r="F2161" t="inlineStr">
        <is>
          <t>Andaraí</t>
        </is>
      </c>
      <c r="G2161" t="inlineStr">
        <is>
          <t>Rio de Janeiro</t>
        </is>
      </c>
      <c r="H2161" t="inlineStr">
        <is>
          <t>RJ</t>
        </is>
      </c>
      <c r="I2161" t="n">
        <v>7745</v>
      </c>
      <c r="J2161" t="inlineStr">
        <is>
          <t>CAT 5</t>
        </is>
      </c>
      <c r="K2161" t="inlineStr">
        <is>
          <t>Sim</t>
        </is>
      </c>
    </row>
    <row r="2162">
      <c r="A2162" s="1">
        <f>HYPERLINK("https://eurofarma-latam-crm.veevavault.com/#object/account__v/V4TZ000019153AV", "Paulo Santos")</f>
        <v/>
      </c>
      <c r="B2162" s="1">
        <f>HYPERLINK("https://eurofarma-latam-crm.veevavault.com/#object/account__v/V4TZ000019153AV", "Paulo Roberto Pires dos Santos")</f>
        <v/>
      </c>
      <c r="C2162" t="inlineStr">
        <is>
          <t>RJ0589853</t>
        </is>
      </c>
      <c r="D2162" t="inlineStr">
        <is>
          <t>ORT</t>
        </is>
      </c>
      <c r="E2162" t="inlineStr">
        <is>
          <t>Avenida Brasil, 500</t>
        </is>
      </c>
      <c r="F2162" t="inlineStr">
        <is>
          <t>São Cristóvão</t>
        </is>
      </c>
      <c r="G2162" t="inlineStr">
        <is>
          <t>Rio de Janeiro</t>
        </is>
      </c>
      <c r="H2162" t="inlineStr">
        <is>
          <t>RJ</t>
        </is>
      </c>
      <c r="I2162" t="n">
        <v>7745</v>
      </c>
      <c r="J2162" t="inlineStr">
        <is>
          <t>CAT 3</t>
        </is>
      </c>
      <c r="K2162" t="inlineStr">
        <is>
          <t>Sim</t>
        </is>
      </c>
    </row>
    <row r="2163">
      <c r="A2163" s="1">
        <f>HYPERLINK("https://eurofarma-latam-crm.veevavault.com/#object/account__v/V4TZ000018NZA2O", "Pedro Henrique de Barros e Azevedo")</f>
        <v/>
      </c>
      <c r="B2163" s="1">
        <f>HYPERLINK("https://eurofarma-latam-crm.veevavault.com/#object/account__v/V4TZ000018NZA2O", "Pedro Henrique Fachada de Barros e Azevedo")</f>
        <v/>
      </c>
      <c r="C2163" t="inlineStr">
        <is>
          <t>RJ1085719</t>
        </is>
      </c>
      <c r="D2163" t="inlineStr">
        <is>
          <t>ORT</t>
        </is>
      </c>
      <c r="E2163" t="inlineStr">
        <is>
          <t>Rua Mena Barreto, 29</t>
        </is>
      </c>
      <c r="F2163" t="inlineStr">
        <is>
          <t>Botafogo</t>
        </is>
      </c>
      <c r="G2163" t="inlineStr">
        <is>
          <t>Rio de Janeiro</t>
        </is>
      </c>
      <c r="H2163" t="inlineStr">
        <is>
          <t>RJ</t>
        </is>
      </c>
      <c r="I2163" t="n">
        <v>7745</v>
      </c>
      <c r="J2163" t="inlineStr">
        <is>
          <t>CAT 5</t>
        </is>
      </c>
      <c r="K2163" t="inlineStr">
        <is>
          <t>N�o</t>
        </is>
      </c>
    </row>
    <row r="2164">
      <c r="A2164" s="1">
        <f>HYPERLINK("https://eurofarma-latam-crm.veevavault.com/#object/account__v/V4TZ00001913OWT", "Pedro Vasconcelos")</f>
        <v/>
      </c>
      <c r="B2164" s="1">
        <f>HYPERLINK("https://eurofarma-latam-crm.veevavault.com/#object/account__v/V4TZ00001913OWT", "Pedro Henrique Araujo de Vasconcelos")</f>
        <v/>
      </c>
      <c r="C2164" t="inlineStr">
        <is>
          <t>RJ1267884</t>
        </is>
      </c>
      <c r="D2164" t="inlineStr">
        <is>
          <t>ORL</t>
        </is>
      </c>
      <c r="E2164" t="inlineStr">
        <is>
          <t>Rua Soares Caldeira,142 - Loja C</t>
        </is>
      </c>
      <c r="F2164" t="inlineStr">
        <is>
          <t>Madureira</t>
        </is>
      </c>
      <c r="G2164" t="inlineStr">
        <is>
          <t>Rio de Janeiro</t>
        </is>
      </c>
      <c r="H2164" t="inlineStr">
        <is>
          <t>RJ</t>
        </is>
      </c>
      <c r="I2164" t="n">
        <v>7745</v>
      </c>
      <c r="J2164" t="inlineStr"/>
      <c r="K2164" t="inlineStr"/>
    </row>
    <row r="2165">
      <c r="A2165" s="1">
        <f>HYPERLINK("https://eurofarma-latam-crm.veevavault.com/#object/account__v/V4TZ000018NXT7F", "Piera Sasson")</f>
        <v/>
      </c>
      <c r="B2165" s="1">
        <f>HYPERLINK("https://eurofarma-latam-crm.veevavault.com/#object/account__v/V4TZ000018NXT7F", "Piera Sasson")</f>
        <v/>
      </c>
      <c r="C2165" t="inlineStr">
        <is>
          <t>RJ0336420</t>
        </is>
      </c>
      <c r="D2165" t="inlineStr">
        <is>
          <t>END</t>
        </is>
      </c>
      <c r="E2165" t="inlineStr">
        <is>
          <t>Rua Sacadura Cabral, 178</t>
        </is>
      </c>
      <c r="F2165" t="inlineStr">
        <is>
          <t>Saúde</t>
        </is>
      </c>
      <c r="G2165" t="inlineStr">
        <is>
          <t>Rio de Janeiro</t>
        </is>
      </c>
      <c r="H2165" t="inlineStr">
        <is>
          <t>RJ</t>
        </is>
      </c>
      <c r="I2165" t="n">
        <v>7745</v>
      </c>
      <c r="J2165" t="inlineStr">
        <is>
          <t>CAT 2</t>
        </is>
      </c>
      <c r="K2165" t="inlineStr">
        <is>
          <t>Sim</t>
        </is>
      </c>
    </row>
    <row r="2166">
      <c r="A2166" s="1">
        <f>HYPERLINK("https://eurofarma-latam-crm.veevavault.com/#object/account__v/V4TZ000019137DI", "Rafael Moreira")</f>
        <v/>
      </c>
      <c r="B2166" s="1">
        <f>HYPERLINK("https://eurofarma-latam-crm.veevavault.com/#object/account__v/V4TZ000019137DI", "Rafael Meireles Ribeiro Moreira")</f>
        <v/>
      </c>
      <c r="C2166" t="inlineStr">
        <is>
          <t>RJ1086146</t>
        </is>
      </c>
      <c r="D2166" t="inlineStr">
        <is>
          <t>ORT</t>
        </is>
      </c>
      <c r="E2166" t="inlineStr">
        <is>
          <t>Avenida das Américas, 2480 - Blc 5 Sal 0120</t>
        </is>
      </c>
      <c r="F2166" t="inlineStr">
        <is>
          <t>Barra da Tijuca</t>
        </is>
      </c>
      <c r="G2166" t="inlineStr">
        <is>
          <t>Rio de Janeiro</t>
        </is>
      </c>
      <c r="H2166" t="inlineStr">
        <is>
          <t>RJ</t>
        </is>
      </c>
      <c r="I2166" t="n">
        <v>7745</v>
      </c>
      <c r="J2166" t="inlineStr">
        <is>
          <t>CAT 5</t>
        </is>
      </c>
      <c r="K2166" t="inlineStr">
        <is>
          <t>Sim</t>
        </is>
      </c>
    </row>
    <row r="2167">
      <c r="A2167" s="1">
        <f>HYPERLINK("https://eurofarma-latam-crm.veevavault.com/#object/account__v/V4TZ025E85FK66O", "Raphael Cunha")</f>
        <v/>
      </c>
      <c r="B2167" s="1">
        <f>HYPERLINK("https://eurofarma-latam-crm.veevavault.com/#object/account__v/V4TZ025E85FK66O", "Raphael Wallace Campos Cunha")</f>
        <v/>
      </c>
      <c r="C2167" t="inlineStr">
        <is>
          <t>RJ1081454</t>
        </is>
      </c>
      <c r="D2167" t="inlineStr">
        <is>
          <t>ORT</t>
        </is>
      </c>
      <c r="E2167" t="inlineStr">
        <is>
          <t>Rua Judith Maurício de Paula, 40</t>
        </is>
      </c>
      <c r="F2167" t="inlineStr">
        <is>
          <t>Iucas</t>
        </is>
      </c>
      <c r="G2167" t="inlineStr">
        <is>
          <t>Teresópolis</t>
        </is>
      </c>
      <c r="H2167" t="inlineStr">
        <is>
          <t>RJ</t>
        </is>
      </c>
      <c r="I2167" t="n">
        <v>7745</v>
      </c>
      <c r="J2167" t="inlineStr">
        <is>
          <t>CAT 3</t>
        </is>
      </c>
      <c r="K2167" t="inlineStr">
        <is>
          <t>Sim</t>
        </is>
      </c>
    </row>
    <row r="2168">
      <c r="A2168" s="1">
        <f>HYPERLINK("https://eurofarma-latam-crm.veevavault.com/#object/account__v/V4TZ000019135ZX", "Raphael Nemer")</f>
        <v/>
      </c>
      <c r="B2168" s="1">
        <f>HYPERLINK("https://eurofarma-latam-crm.veevavault.com/#object/account__v/V4TZ000019135ZX", "Raphael Pires Nemer")</f>
        <v/>
      </c>
      <c r="C2168" t="inlineStr">
        <is>
          <t>RJ0662240</t>
        </is>
      </c>
      <c r="D2168" t="inlineStr">
        <is>
          <t>CLG</t>
        </is>
      </c>
      <c r="E2168" t="inlineStr">
        <is>
          <t>Avenida Dom Hélder Câmara, 5597</t>
        </is>
      </c>
      <c r="F2168" t="inlineStr">
        <is>
          <t>Cachambi</t>
        </is>
      </c>
      <c r="G2168" t="inlineStr">
        <is>
          <t>Rio de Janeiro</t>
        </is>
      </c>
      <c r="H2168" t="inlineStr">
        <is>
          <t>RJ</t>
        </is>
      </c>
      <c r="I2168" t="n">
        <v>7745</v>
      </c>
      <c r="J2168" t="inlineStr">
        <is>
          <t>CAT 4</t>
        </is>
      </c>
      <c r="K2168" t="inlineStr">
        <is>
          <t>Sim</t>
        </is>
      </c>
    </row>
    <row r="2169">
      <c r="A2169" s="1">
        <f>HYPERLINK("https://eurofarma-latam-crm.veevavault.com/#object/account__v/V4TZ025E892FPRT", "Raquel Beatriz Muniz")</f>
        <v/>
      </c>
      <c r="B2169" s="1">
        <f>HYPERLINK("https://eurofarma-latam-crm.veevavault.com/#object/account__v/V4TZ025E892FPRT", "Raquel Beatriz Gonçalves Muniz")</f>
        <v/>
      </c>
      <c r="C2169" t="inlineStr">
        <is>
          <t>RJ1052390</t>
        </is>
      </c>
      <c r="D2169" t="inlineStr">
        <is>
          <t>END</t>
        </is>
      </c>
      <c r="E2169" t="inlineStr">
        <is>
          <t>Rua Quinze de Novembro, 4 - Sala 721 Bloco 1</t>
        </is>
      </c>
      <c r="F2169" t="inlineStr">
        <is>
          <t>Centro</t>
        </is>
      </c>
      <c r="G2169" t="inlineStr">
        <is>
          <t>Niterói</t>
        </is>
      </c>
      <c r="H2169" t="inlineStr">
        <is>
          <t>RJ</t>
        </is>
      </c>
      <c r="I2169" t="n">
        <v>7745</v>
      </c>
      <c r="J2169" t="inlineStr">
        <is>
          <t>CAT 5</t>
        </is>
      </c>
      <c r="K2169" t="inlineStr">
        <is>
          <t>Sim</t>
        </is>
      </c>
    </row>
    <row r="2170">
      <c r="A2170" s="1">
        <f>HYPERLINK("https://eurofarma-latam-crm.veevavault.com/#object/account__v/V4TZ000019135Z0", "Regina Perico")</f>
        <v/>
      </c>
      <c r="B2170" s="1">
        <f>HYPERLINK("https://eurofarma-latam-crm.veevavault.com/#object/account__v/V4TZ000019135Z0", "Regina Ventura Perico")</f>
        <v/>
      </c>
      <c r="C2170" t="inlineStr">
        <is>
          <t>RJ0258475</t>
        </is>
      </c>
      <c r="D2170" t="inlineStr">
        <is>
          <t>NEU</t>
        </is>
      </c>
      <c r="E2170" t="inlineStr">
        <is>
          <t>Avenida Rio Branco, 156 - Sala 2929</t>
        </is>
      </c>
      <c r="F2170" t="inlineStr">
        <is>
          <t>Centro</t>
        </is>
      </c>
      <c r="G2170" t="inlineStr">
        <is>
          <t>Rio de Janeiro</t>
        </is>
      </c>
      <c r="H2170" t="inlineStr">
        <is>
          <t>RJ</t>
        </is>
      </c>
      <c r="I2170" t="n">
        <v>7745</v>
      </c>
      <c r="J2170" t="inlineStr">
        <is>
          <t>CAT 3</t>
        </is>
      </c>
      <c r="K2170" t="inlineStr">
        <is>
          <t>Sim</t>
        </is>
      </c>
    </row>
    <row r="2171">
      <c r="A2171" s="1">
        <f>HYPERLINK("https://eurofarma-latam-crm.veevavault.com/#object/account__v/V4TZ000018NXH4S", "Regina Quevedo")</f>
        <v/>
      </c>
      <c r="B2171" s="1">
        <f>HYPERLINK("https://eurofarma-latam-crm.veevavault.com/#object/account__v/V4TZ000018NXH4S", "Regina Moura de Quevedo")</f>
        <v/>
      </c>
      <c r="C2171" t="inlineStr">
        <is>
          <t>RJ0346156</t>
        </is>
      </c>
      <c r="D2171" t="inlineStr">
        <is>
          <t>ORL</t>
        </is>
      </c>
      <c r="E2171" t="inlineStr">
        <is>
          <t>Avenida Rio Branco, 156 - Sala 2930</t>
        </is>
      </c>
      <c r="F2171" t="inlineStr">
        <is>
          <t>Centro</t>
        </is>
      </c>
      <c r="G2171" t="inlineStr">
        <is>
          <t>Rio de Janeiro</t>
        </is>
      </c>
      <c r="H2171" t="inlineStr">
        <is>
          <t>RJ</t>
        </is>
      </c>
      <c r="I2171" t="n">
        <v>7745</v>
      </c>
      <c r="J2171" t="inlineStr">
        <is>
          <t>CAT 5</t>
        </is>
      </c>
      <c r="K2171" t="inlineStr">
        <is>
          <t>N�o</t>
        </is>
      </c>
    </row>
    <row r="2172">
      <c r="A2172" s="1">
        <f>HYPERLINK("https://eurofarma-latam-crm.veevavault.com/#object/account__v/V4TZ025E8F7G08Z", "Renan Rocha")</f>
        <v/>
      </c>
      <c r="B2172" s="1">
        <f>HYPERLINK("https://eurofarma-latam-crm.veevavault.com/#object/account__v/V4TZ025E8F7G08Z", "Renan Paulo Rocha")</f>
        <v/>
      </c>
      <c r="C2172" t="inlineStr">
        <is>
          <t>RJ1249738</t>
        </is>
      </c>
      <c r="D2172" t="inlineStr">
        <is>
          <t>END</t>
        </is>
      </c>
      <c r="E2172" t="inlineStr">
        <is>
          <t>Rua Santo Amaro, 80</t>
        </is>
      </c>
      <c r="F2172" t="inlineStr">
        <is>
          <t>Glória</t>
        </is>
      </c>
      <c r="G2172" t="inlineStr">
        <is>
          <t>Rio de Janeiro</t>
        </is>
      </c>
      <c r="H2172" t="inlineStr">
        <is>
          <t>RJ</t>
        </is>
      </c>
      <c r="I2172" t="n">
        <v>7745</v>
      </c>
      <c r="J2172" t="inlineStr">
        <is>
          <t>CAT 5</t>
        </is>
      </c>
      <c r="K2172" t="inlineStr">
        <is>
          <t>Sim</t>
        </is>
      </c>
    </row>
    <row r="2173">
      <c r="A2173" s="1">
        <f>HYPERLINK("https://eurofarma-latam-crm.veevavault.com/#object/account__v/V4TZ000019155NW", "Renata Martins")</f>
        <v/>
      </c>
      <c r="B2173" s="1">
        <f>HYPERLINK("https://eurofarma-latam-crm.veevavault.com/#object/account__v/V4TZ000019155NW", "Renata Abeya Martins")</f>
        <v/>
      </c>
      <c r="C2173" t="inlineStr">
        <is>
          <t>RJ0682233</t>
        </is>
      </c>
      <c r="D2173" t="inlineStr">
        <is>
          <t>CLG / END</t>
        </is>
      </c>
      <c r="E2173" t="inlineStr">
        <is>
          <t>Rua Desembargador Lima Castro, 238</t>
        </is>
      </c>
      <c r="F2173" t="inlineStr">
        <is>
          <t>Fonseca</t>
        </is>
      </c>
      <c r="G2173" t="inlineStr">
        <is>
          <t>Niterói</t>
        </is>
      </c>
      <c r="H2173" t="inlineStr">
        <is>
          <t>RJ</t>
        </is>
      </c>
      <c r="I2173" t="n">
        <v>7745</v>
      </c>
      <c r="J2173" t="inlineStr">
        <is>
          <t>CAT 4</t>
        </is>
      </c>
      <c r="K2173" t="inlineStr">
        <is>
          <t>Sim</t>
        </is>
      </c>
    </row>
    <row r="2174">
      <c r="A2174" s="1">
        <f>HYPERLINK("https://eurofarma-latam-crm.veevavault.com/#object/account__v/V4TZ000018NXUXT", "Renata Nagliati")</f>
        <v/>
      </c>
      <c r="B2174" s="1">
        <f>HYPERLINK("https://eurofarma-latam-crm.veevavault.com/#object/account__v/V4TZ000018NXUXT", "Renata Nagliati")</f>
        <v/>
      </c>
      <c r="C2174" t="inlineStr">
        <is>
          <t>RJ0808768</t>
        </is>
      </c>
      <c r="D2174" t="inlineStr">
        <is>
          <t>ORL</t>
        </is>
      </c>
      <c r="E2174" t="inlineStr">
        <is>
          <t>Avenida Pasteur, 72</t>
        </is>
      </c>
      <c r="F2174" t="inlineStr">
        <is>
          <t>Botafogo</t>
        </is>
      </c>
      <c r="G2174" t="inlineStr">
        <is>
          <t>Rio de Janeiro</t>
        </is>
      </c>
      <c r="H2174" t="inlineStr">
        <is>
          <t>RJ</t>
        </is>
      </c>
      <c r="I2174" t="n">
        <v>7745</v>
      </c>
      <c r="J2174" t="inlineStr">
        <is>
          <t>CAT 4</t>
        </is>
      </c>
      <c r="K2174" t="inlineStr">
        <is>
          <t>Sim</t>
        </is>
      </c>
    </row>
    <row r="2175">
      <c r="A2175" s="1">
        <f>HYPERLINK("https://eurofarma-latam-crm.veevavault.com/#object/account__v/V4TZ00001916F9J", "Renata Rodrigues")</f>
        <v/>
      </c>
      <c r="B2175" s="1">
        <f>HYPERLINK("https://eurofarma-latam-crm.veevavault.com/#object/account__v/V4TZ00001916F9J", "Renata Bastos Garrido Rodrigues")</f>
        <v/>
      </c>
      <c r="C2175" t="inlineStr">
        <is>
          <t>RJ1099957</t>
        </is>
      </c>
      <c r="D2175" t="inlineStr">
        <is>
          <t>PSQ</t>
        </is>
      </c>
      <c r="E2175" t="inlineStr">
        <is>
          <t>Praça Estefania de Carvalho, 26</t>
        </is>
      </c>
      <c r="F2175" t="inlineStr">
        <is>
          <t>Zé Garoto</t>
        </is>
      </c>
      <c r="G2175" t="inlineStr">
        <is>
          <t>São Gonçalo</t>
        </is>
      </c>
      <c r="H2175" t="inlineStr">
        <is>
          <t>RJ</t>
        </is>
      </c>
      <c r="I2175" t="n">
        <v>7745</v>
      </c>
      <c r="J2175" t="inlineStr">
        <is>
          <t>CAT 1</t>
        </is>
      </c>
      <c r="K2175" t="inlineStr">
        <is>
          <t>Sim</t>
        </is>
      </c>
    </row>
    <row r="2176">
      <c r="A2176" s="1">
        <f>HYPERLINK("https://eurofarma-latam-crm.veevavault.com/#object/account__v/V4TZ00001913J4W", "Renata Roque")</f>
        <v/>
      </c>
      <c r="B2176" s="1">
        <f>HYPERLINK("https://eurofarma-latam-crm.veevavault.com/#object/account__v/V4TZ00001913J4W", "Renata Roque")</f>
        <v/>
      </c>
      <c r="C2176" t="inlineStr">
        <is>
          <t>RJ0688282</t>
        </is>
      </c>
      <c r="D2176" t="inlineStr">
        <is>
          <t>CLG / END</t>
        </is>
      </c>
      <c r="E2176" t="inlineStr">
        <is>
          <t>Rua Voluntários da Pátria, 435</t>
        </is>
      </c>
      <c r="F2176" t="inlineStr">
        <is>
          <t>Botafogo</t>
        </is>
      </c>
      <c r="G2176" t="inlineStr">
        <is>
          <t>Rio de Janeiro</t>
        </is>
      </c>
      <c r="H2176" t="inlineStr">
        <is>
          <t>RJ</t>
        </is>
      </c>
      <c r="I2176" t="n">
        <v>7745</v>
      </c>
      <c r="J2176" t="inlineStr">
        <is>
          <t>CAT 5</t>
        </is>
      </c>
      <c r="K2176" t="inlineStr">
        <is>
          <t>Sim</t>
        </is>
      </c>
    </row>
    <row r="2177">
      <c r="A2177" s="1">
        <f>HYPERLINK("https://eurofarma-latam-crm.veevavault.com/#object/account__v/V4TZ00001914OEH", "Renato Corredeira")</f>
        <v/>
      </c>
      <c r="B2177" s="1">
        <f>HYPERLINK("https://eurofarma-latam-crm.veevavault.com/#object/account__v/V4TZ00001914OEH", "Renato Miranda Corredeira")</f>
        <v/>
      </c>
      <c r="C2177" t="inlineStr">
        <is>
          <t>RJ0658286</t>
        </is>
      </c>
      <c r="D2177" t="inlineStr">
        <is>
          <t>ORT</t>
        </is>
      </c>
      <c r="E2177" t="inlineStr">
        <is>
          <t>Rua Teixeira de Freitas, 30</t>
        </is>
      </c>
      <c r="F2177" t="inlineStr">
        <is>
          <t>Fonseca</t>
        </is>
      </c>
      <c r="G2177" t="inlineStr">
        <is>
          <t>Niterói</t>
        </is>
      </c>
      <c r="H2177" t="inlineStr">
        <is>
          <t>RJ</t>
        </is>
      </c>
      <c r="I2177" t="n">
        <v>7745</v>
      </c>
      <c r="J2177" t="inlineStr">
        <is>
          <t>CAT 2</t>
        </is>
      </c>
      <c r="K2177" t="inlineStr">
        <is>
          <t>Sim</t>
        </is>
      </c>
    </row>
    <row r="2178">
      <c r="A2178" s="1">
        <f>HYPERLINK("https://eurofarma-latam-crm.veevavault.com/#object/account__v/V4TZ00001913EAO", "Renato Domingues")</f>
        <v/>
      </c>
      <c r="B2178" s="1">
        <f>HYPERLINK("https://eurofarma-latam-crm.veevavault.com/#object/account__v/V4TZ00001913EAO", "Renato Cahu Domingues")</f>
        <v/>
      </c>
      <c r="C2178" t="inlineStr">
        <is>
          <t>RJ1157825</t>
        </is>
      </c>
      <c r="D2178" t="inlineStr">
        <is>
          <t>PSQ</t>
        </is>
      </c>
      <c r="E2178" t="inlineStr">
        <is>
          <t>Praça Coronel Assunção, S/N</t>
        </is>
      </c>
      <c r="F2178" t="inlineStr">
        <is>
          <t>Gamboa</t>
        </is>
      </c>
      <c r="G2178" t="inlineStr">
        <is>
          <t>Rio de Janeiro</t>
        </is>
      </c>
      <c r="H2178" t="inlineStr">
        <is>
          <t>RJ</t>
        </is>
      </c>
      <c r="I2178" t="n">
        <v>7745</v>
      </c>
      <c r="J2178" t="inlineStr">
        <is>
          <t>CAT 3</t>
        </is>
      </c>
      <c r="K2178" t="inlineStr">
        <is>
          <t>Sim</t>
        </is>
      </c>
    </row>
    <row r="2179">
      <c r="A2179" s="1">
        <f>HYPERLINK("https://eurofarma-latam-crm.veevavault.com/#object/account__v/V4TZ0000191492D", "Renato Kurtz")</f>
        <v/>
      </c>
      <c r="B2179" s="1">
        <f>HYPERLINK("https://eurofarma-latam-crm.veevavault.com/#object/account__v/V4TZ0000191492D", "Renato Costa Kurtz")</f>
        <v/>
      </c>
      <c r="C2179" t="inlineStr">
        <is>
          <t>RJ0539803</t>
        </is>
      </c>
      <c r="D2179" t="inlineStr">
        <is>
          <t>ORT</t>
        </is>
      </c>
      <c r="E2179" t="inlineStr">
        <is>
          <t>Avenida Rio Branco, 156 - Sala 2328</t>
        </is>
      </c>
      <c r="F2179" t="inlineStr">
        <is>
          <t>Centro</t>
        </is>
      </c>
      <c r="G2179" t="inlineStr">
        <is>
          <t>Rio de Janeiro</t>
        </is>
      </c>
      <c r="H2179" t="inlineStr">
        <is>
          <t>RJ</t>
        </is>
      </c>
      <c r="I2179" t="n">
        <v>7745</v>
      </c>
      <c r="J2179" t="inlineStr">
        <is>
          <t>CAT 5</t>
        </is>
      </c>
      <c r="K2179" t="inlineStr">
        <is>
          <t>Sim</t>
        </is>
      </c>
    </row>
    <row r="2180">
      <c r="A2180" s="1">
        <f>HYPERLINK("https://eurofarma-latam-crm.veevavault.com/#object/account__v/V4TZ00001913B3H", "Renato Lincoln Patricio")</f>
        <v/>
      </c>
      <c r="B2180" s="1">
        <f>HYPERLINK("https://eurofarma-latam-crm.veevavault.com/#object/account__v/V4TZ00001913B3H", "Renato Lincoln Corrêa Patricio")</f>
        <v/>
      </c>
      <c r="C2180" t="inlineStr">
        <is>
          <t>RJ0527042</t>
        </is>
      </c>
      <c r="D2180" t="inlineStr">
        <is>
          <t>NEU</t>
        </is>
      </c>
      <c r="E2180" t="inlineStr">
        <is>
          <t>Rua Acadêmico Walter Gonçalves, 1 - Sala 804</t>
        </is>
      </c>
      <c r="F2180" t="inlineStr">
        <is>
          <t>Centro</t>
        </is>
      </c>
      <c r="G2180" t="inlineStr">
        <is>
          <t>Niterói</t>
        </is>
      </c>
      <c r="H2180" t="inlineStr">
        <is>
          <t>RJ</t>
        </is>
      </c>
      <c r="I2180" t="n">
        <v>7745</v>
      </c>
      <c r="J2180" t="inlineStr">
        <is>
          <t>CAT 1</t>
        </is>
      </c>
      <c r="K2180" t="inlineStr">
        <is>
          <t>Sim</t>
        </is>
      </c>
    </row>
    <row r="2181">
      <c r="A2181" s="1">
        <f>HYPERLINK("https://eurofarma-latam-crm.veevavault.com/#object/account__v/V4TZ00001915WAI", "Ricardo dos Santos")</f>
        <v/>
      </c>
      <c r="B2181" s="1">
        <f>HYPERLINK("https://eurofarma-latam-crm.veevavault.com/#object/account__v/V4TZ00001915WAI", "Ricardo Pereira dos Santos")</f>
        <v/>
      </c>
      <c r="C2181" t="inlineStr">
        <is>
          <t>RJ0517368</t>
        </is>
      </c>
      <c r="D2181" t="inlineStr">
        <is>
          <t>PSQ</t>
        </is>
      </c>
      <c r="E2181" t="inlineStr">
        <is>
          <t>Avenida Rio Branco, 120 - 14 Andar</t>
        </is>
      </c>
      <c r="F2181" t="inlineStr">
        <is>
          <t>Centro</t>
        </is>
      </c>
      <c r="G2181" t="inlineStr">
        <is>
          <t>Rio de Janeiro</t>
        </is>
      </c>
      <c r="H2181" t="inlineStr">
        <is>
          <t>RJ</t>
        </is>
      </c>
      <c r="I2181" t="n">
        <v>7745</v>
      </c>
      <c r="J2181" t="inlineStr">
        <is>
          <t>CAT 2</t>
        </is>
      </c>
      <c r="K2181" t="inlineStr">
        <is>
          <t>Sim</t>
        </is>
      </c>
    </row>
    <row r="2182">
      <c r="A2182" s="1">
        <f>HYPERLINK("https://eurofarma-latam-crm.veevavault.com/#object/account__v/V4TZ000018NYBSZ", "Ricardo Laranjeira")</f>
        <v/>
      </c>
      <c r="B2182" s="1">
        <f>HYPERLINK("https://eurofarma-latam-crm.veevavault.com/#object/account__v/V4TZ000018NYBSZ", "Ricardo Alexandre Pinto Laranjeira")</f>
        <v/>
      </c>
      <c r="C2182" t="inlineStr">
        <is>
          <t>RJ0725072</t>
        </is>
      </c>
      <c r="D2182" t="inlineStr">
        <is>
          <t>ORT</t>
        </is>
      </c>
      <c r="E2182" t="inlineStr">
        <is>
          <t>Rua Sorocaba, 706 - Sala 204</t>
        </is>
      </c>
      <c r="F2182" t="inlineStr">
        <is>
          <t>Botafogo</t>
        </is>
      </c>
      <c r="G2182" t="inlineStr">
        <is>
          <t>Rio de Janeiro</t>
        </is>
      </c>
      <c r="H2182" t="inlineStr">
        <is>
          <t>RJ</t>
        </is>
      </c>
      <c r="I2182" t="n">
        <v>7745</v>
      </c>
      <c r="J2182" t="inlineStr">
        <is>
          <t>CAT 4</t>
        </is>
      </c>
      <c r="K2182" t="inlineStr">
        <is>
          <t>N�o</t>
        </is>
      </c>
    </row>
    <row r="2183">
      <c r="A2183" s="1">
        <f>HYPERLINK("https://eurofarma-latam-crm.veevavault.com/#object/account__v/V4TZ00001916E60", "Rita de Cassia Fernandes")</f>
        <v/>
      </c>
      <c r="B2183" s="1">
        <f>HYPERLINK("https://eurofarma-latam-crm.veevavault.com/#object/account__v/V4TZ00001916E60", "Rita de Cassia Leite Fernandes")</f>
        <v/>
      </c>
      <c r="C2183" t="inlineStr">
        <is>
          <t>RJ0377240</t>
        </is>
      </c>
      <c r="D2183" t="inlineStr">
        <is>
          <t>NEU</t>
        </is>
      </c>
      <c r="E2183" t="inlineStr">
        <is>
          <t>Avenida Treze de Maio, 23 - 13 e 14 Andar</t>
        </is>
      </c>
      <c r="F2183" t="inlineStr">
        <is>
          <t>Centro</t>
        </is>
      </c>
      <c r="G2183" t="inlineStr">
        <is>
          <t>Rio de Janeiro</t>
        </is>
      </c>
      <c r="H2183" t="inlineStr">
        <is>
          <t>RJ</t>
        </is>
      </c>
      <c r="I2183" t="n">
        <v>7745</v>
      </c>
      <c r="J2183" t="inlineStr">
        <is>
          <t>CAT 2</t>
        </is>
      </c>
      <c r="K2183" t="inlineStr">
        <is>
          <t>Sim</t>
        </is>
      </c>
    </row>
    <row r="2184">
      <c r="A2184" s="1">
        <f>HYPERLINK("https://eurofarma-latam-crm.veevavault.com/#object/account__v/V4TZ000018NXQHE", "Roberta de Oliveira")</f>
        <v/>
      </c>
      <c r="B2184" s="1">
        <f>HYPERLINK("https://eurofarma-latam-crm.veevavault.com/#object/account__v/V4TZ000018NXQHE", "Roberta da Silva Leal de Oliveira")</f>
        <v/>
      </c>
      <c r="C2184" t="inlineStr">
        <is>
          <t>RJ0756350</t>
        </is>
      </c>
      <c r="D2184" t="inlineStr">
        <is>
          <t>PED</t>
        </is>
      </c>
      <c r="E2184" t="inlineStr">
        <is>
          <t>Rua Manoel de Abreu, 9 - Parte</t>
        </is>
      </c>
      <c r="F2184" t="inlineStr">
        <is>
          <t>Centro</t>
        </is>
      </c>
      <c r="G2184" t="inlineStr">
        <is>
          <t>Niterói</t>
        </is>
      </c>
      <c r="H2184" t="inlineStr">
        <is>
          <t>RJ</t>
        </is>
      </c>
      <c r="I2184" t="n">
        <v>7745</v>
      </c>
      <c r="J2184" t="inlineStr">
        <is>
          <t>CAT 5</t>
        </is>
      </c>
      <c r="K2184" t="inlineStr">
        <is>
          <t>Sim</t>
        </is>
      </c>
    </row>
    <row r="2185">
      <c r="A2185" s="1">
        <f>HYPERLINK("https://eurofarma-latam-crm.veevavault.com/#object/account__v/V4TZ00001915AXN", "Roberta Pessoa")</f>
        <v/>
      </c>
      <c r="B2185" s="1">
        <f>HYPERLINK("https://eurofarma-latam-crm.veevavault.com/#object/account__v/V4TZ00001915AXN", "Roberta Suarez Pessoa")</f>
        <v/>
      </c>
      <c r="C2185" t="inlineStr">
        <is>
          <t>RJ0904864</t>
        </is>
      </c>
      <c r="D2185" t="inlineStr">
        <is>
          <t>ORL</t>
        </is>
      </c>
      <c r="E2185" t="inlineStr">
        <is>
          <t>Estrada Caetano Monteiro, 789</t>
        </is>
      </c>
      <c r="F2185" t="inlineStr">
        <is>
          <t>Badu</t>
        </is>
      </c>
      <c r="G2185" t="inlineStr">
        <is>
          <t>Niterói</t>
        </is>
      </c>
      <c r="H2185" t="inlineStr">
        <is>
          <t>RJ</t>
        </is>
      </c>
      <c r="I2185" t="n">
        <v>7745</v>
      </c>
      <c r="J2185" t="inlineStr">
        <is>
          <t>CAT 3</t>
        </is>
      </c>
      <c r="K2185" t="inlineStr">
        <is>
          <t>Sim</t>
        </is>
      </c>
    </row>
    <row r="2186">
      <c r="A2186" s="1">
        <f>HYPERLINK("https://eurofarma-latam-crm.veevavault.com/#object/account__v/V4TZ00001914FLK", "Roberto Ferreira")</f>
        <v/>
      </c>
      <c r="B2186" s="1">
        <f>HYPERLINK("https://eurofarma-latam-crm.veevavault.com/#object/account__v/V4TZ00001914FLK", "Roberto Godofredo Fabri Ferreira")</f>
        <v/>
      </c>
      <c r="C2186" t="inlineStr">
        <is>
          <t>RJ0449273</t>
        </is>
      </c>
      <c r="D2186" t="inlineStr">
        <is>
          <t>PSQ</t>
        </is>
      </c>
      <c r="E2186" t="inlineStr">
        <is>
          <t>Avenida Visconde do Rio Branco, 633 - Sala 1001</t>
        </is>
      </c>
      <c r="F2186" t="inlineStr">
        <is>
          <t>Centro</t>
        </is>
      </c>
      <c r="G2186" t="inlineStr">
        <is>
          <t>Niterói</t>
        </is>
      </c>
      <c r="H2186" t="inlineStr">
        <is>
          <t>RJ</t>
        </is>
      </c>
      <c r="I2186" t="n">
        <v>7745</v>
      </c>
      <c r="J2186" t="inlineStr">
        <is>
          <t>CAT 2</t>
        </is>
      </c>
      <c r="K2186" t="inlineStr">
        <is>
          <t>Sim</t>
        </is>
      </c>
    </row>
    <row r="2187">
      <c r="A2187" s="1">
        <f>HYPERLINK("https://eurofarma-latam-crm.veevavault.com/#object/account__v/V4TZ000018NYQK2", "Roberto Thiengo")</f>
        <v/>
      </c>
      <c r="B2187" s="1">
        <f>HYPERLINK("https://eurofarma-latam-crm.veevavault.com/#object/account__v/V4TZ000018NYQK2", "Roberto Thiengo")</f>
        <v/>
      </c>
      <c r="C2187" t="inlineStr">
        <is>
          <t>RJ0374862</t>
        </is>
      </c>
      <c r="D2187" t="inlineStr">
        <is>
          <t>URO</t>
        </is>
      </c>
      <c r="E2187" t="inlineStr">
        <is>
          <t>Avenida Brasil, 108 - Quadra 51 Lote 19</t>
        </is>
      </c>
      <c r="F2187" t="inlineStr">
        <is>
          <t>Vila São Luís</t>
        </is>
      </c>
      <c r="G2187" t="inlineStr">
        <is>
          <t>Duque de Caxias</t>
        </is>
      </c>
      <c r="H2187" t="inlineStr">
        <is>
          <t>RJ</t>
        </is>
      </c>
      <c r="I2187" t="n">
        <v>7745</v>
      </c>
      <c r="J2187" t="inlineStr">
        <is>
          <t>CAT 4</t>
        </is>
      </c>
      <c r="K2187" t="inlineStr">
        <is>
          <t>Sim</t>
        </is>
      </c>
    </row>
    <row r="2188">
      <c r="A2188" s="1">
        <f>HYPERLINK("https://eurofarma-latam-crm.veevavault.com/#object/account__v/V4TZ00001913U1K", "Robson Ayala")</f>
        <v/>
      </c>
      <c r="B2188" s="1">
        <f>HYPERLINK("https://eurofarma-latam-crm.veevavault.com/#object/account__v/V4TZ00001913U1K", "Robson de Castro Ayala")</f>
        <v/>
      </c>
      <c r="C2188" t="inlineStr">
        <is>
          <t>RJ0262407</t>
        </is>
      </c>
      <c r="D2188" t="inlineStr">
        <is>
          <t>CLG / END</t>
        </is>
      </c>
      <c r="E2188" t="inlineStr">
        <is>
          <t>Avenida das Américas, 3939 - Blc 2 Sal 203</t>
        </is>
      </c>
      <c r="F2188" t="inlineStr">
        <is>
          <t>Barra da Tijuca</t>
        </is>
      </c>
      <c r="G2188" t="inlineStr">
        <is>
          <t>Rio de Janeiro</t>
        </is>
      </c>
      <c r="H2188" t="inlineStr">
        <is>
          <t>RJ</t>
        </is>
      </c>
      <c r="I2188" t="n">
        <v>7745</v>
      </c>
      <c r="J2188" t="inlineStr">
        <is>
          <t>CAT 3</t>
        </is>
      </c>
      <c r="K2188" t="inlineStr">
        <is>
          <t>Sim</t>
        </is>
      </c>
    </row>
    <row r="2189">
      <c r="A2189" s="1">
        <f>HYPERLINK("https://eurofarma-latam-crm.veevavault.com/#object/account__v/V4TZ00001913UHX", "Rodrigo Costa")</f>
        <v/>
      </c>
      <c r="B2189" s="1">
        <f>HYPERLINK("https://eurofarma-latam-crm.veevavault.com/#object/account__v/V4TZ00001913UHX", "Rodrigo Pires Alves Costa")</f>
        <v/>
      </c>
      <c r="C2189" t="inlineStr">
        <is>
          <t>RJ0605360</t>
        </is>
      </c>
      <c r="D2189" t="inlineStr">
        <is>
          <t>ORT</t>
        </is>
      </c>
      <c r="E2189" t="inlineStr">
        <is>
          <t>Rua Doutor Luiz Palmier, 762</t>
        </is>
      </c>
      <c r="F2189" t="inlineStr">
        <is>
          <t>Barreto</t>
        </is>
      </c>
      <c r="G2189" t="inlineStr">
        <is>
          <t>Niterói</t>
        </is>
      </c>
      <c r="H2189" t="inlineStr">
        <is>
          <t>RJ</t>
        </is>
      </c>
      <c r="I2189" t="n">
        <v>7745</v>
      </c>
      <c r="J2189" t="inlineStr">
        <is>
          <t>CAT 3</t>
        </is>
      </c>
      <c r="K2189" t="inlineStr">
        <is>
          <t>Sim</t>
        </is>
      </c>
    </row>
    <row r="2190">
      <c r="A2190" s="1">
        <f>HYPERLINK("https://eurofarma-latam-crm.veevavault.com/#object/account__v/V4TZ000019147NH", "Rodrigo Eleuterio")</f>
        <v/>
      </c>
      <c r="B2190" s="1">
        <f>HYPERLINK("https://eurofarma-latam-crm.veevavault.com/#object/account__v/V4TZ000019147NH", "Rodrigo Simões Eleuterio")</f>
        <v/>
      </c>
      <c r="C2190" t="inlineStr">
        <is>
          <t>MG0084180,RJ0981583</t>
        </is>
      </c>
      <c r="D2190" t="inlineStr">
        <is>
          <t>ORL</t>
        </is>
      </c>
      <c r="E2190" t="inlineStr">
        <is>
          <t>Rua Sete de Setembro, 92</t>
        </is>
      </c>
      <c r="F2190" t="inlineStr">
        <is>
          <t>Centro</t>
        </is>
      </c>
      <c r="G2190" t="inlineStr">
        <is>
          <t>Rio de Janeiro</t>
        </is>
      </c>
      <c r="H2190" t="inlineStr">
        <is>
          <t>RJ</t>
        </is>
      </c>
      <c r="I2190" t="n">
        <v>7745</v>
      </c>
      <c r="J2190" t="inlineStr">
        <is>
          <t>CAT 2</t>
        </is>
      </c>
      <c r="K2190" t="inlineStr">
        <is>
          <t>Sim</t>
        </is>
      </c>
    </row>
    <row r="2191">
      <c r="A2191" s="1">
        <f>HYPERLINK("https://eurofarma-latam-crm.veevavault.com/#object/account__v/V4TZ000018NXU8O", "Rodrigo Marot")</f>
        <v/>
      </c>
      <c r="B2191" s="1">
        <f>HYPERLINK("https://eurofarma-latam-crm.veevavault.com/#object/account__v/V4TZ000018NXU8O", "Rodrigo Sá Vicente Marot")</f>
        <v/>
      </c>
      <c r="C2191" t="inlineStr">
        <is>
          <t>RJ0540717</t>
        </is>
      </c>
      <c r="D2191" t="inlineStr">
        <is>
          <t>PSQ</t>
        </is>
      </c>
      <c r="E2191" t="inlineStr">
        <is>
          <t>Avenida Rio Branco, 156 - Sala 2432</t>
        </is>
      </c>
      <c r="F2191" t="inlineStr">
        <is>
          <t>Centro</t>
        </is>
      </c>
      <c r="G2191" t="inlineStr">
        <is>
          <t>Rio de Janeiro</t>
        </is>
      </c>
      <c r="H2191" t="inlineStr">
        <is>
          <t>RJ</t>
        </is>
      </c>
      <c r="I2191" t="n">
        <v>7745</v>
      </c>
      <c r="J2191" t="inlineStr">
        <is>
          <t>CAT 1</t>
        </is>
      </c>
      <c r="K2191" t="inlineStr">
        <is>
          <t>Sim</t>
        </is>
      </c>
    </row>
    <row r="2192">
      <c r="A2192" s="1">
        <f>HYPERLINK("https://eurofarma-latam-crm.veevavault.com/#object/account__v/V4TZ000018NYKK0", "Rodrigo Rodrigues")</f>
        <v/>
      </c>
      <c r="B2192" s="1">
        <f>HYPERLINK("https://eurofarma-latam-crm.veevavault.com/#object/account__v/V4TZ000018NYKK0", "Rodrigo Siqueira Rodrigues")</f>
        <v/>
      </c>
      <c r="C2192" t="inlineStr">
        <is>
          <t>RJ1116851</t>
        </is>
      </c>
      <c r="D2192" t="inlineStr">
        <is>
          <t>PSQ</t>
        </is>
      </c>
      <c r="E2192" t="inlineStr">
        <is>
          <t>Rua Visconde de Pirajá, 330 - Sala 1201</t>
        </is>
      </c>
      <c r="F2192" t="inlineStr">
        <is>
          <t>Ipanema</t>
        </is>
      </c>
      <c r="G2192" t="inlineStr">
        <is>
          <t>Rio de Janeiro</t>
        </is>
      </c>
      <c r="H2192" t="inlineStr">
        <is>
          <t>RJ</t>
        </is>
      </c>
      <c r="I2192" t="n">
        <v>7745</v>
      </c>
      <c r="J2192" t="inlineStr">
        <is>
          <t>CAT 3</t>
        </is>
      </c>
      <c r="K2192" t="inlineStr">
        <is>
          <t>Sim</t>
        </is>
      </c>
    </row>
    <row r="2193">
      <c r="A2193" s="1">
        <f>HYPERLINK("https://eurofarma-latam-crm.veevavault.com/#object/account__v/V4TZ000018NXNB9", "Rodrigo Souza")</f>
        <v/>
      </c>
      <c r="B2193" s="1">
        <f>HYPERLINK("https://eurofarma-latam-crm.veevavault.com/#object/account__v/V4TZ000018NXNB9", "Rodrigo Gomes de Souza")</f>
        <v/>
      </c>
      <c r="C2193" t="inlineStr">
        <is>
          <t>RJ0821616</t>
        </is>
      </c>
      <c r="D2193" t="inlineStr">
        <is>
          <t>END</t>
        </is>
      </c>
      <c r="E2193" t="inlineStr">
        <is>
          <t>Avenida Ayrton Senna, 2000</t>
        </is>
      </c>
      <c r="F2193" t="inlineStr">
        <is>
          <t>Barra da Tijuca</t>
        </is>
      </c>
      <c r="G2193" t="inlineStr">
        <is>
          <t>Rio de Janeiro</t>
        </is>
      </c>
      <c r="H2193" t="inlineStr">
        <is>
          <t>RJ</t>
        </is>
      </c>
      <c r="I2193" t="n">
        <v>7745</v>
      </c>
      <c r="J2193" t="inlineStr">
        <is>
          <t>CAT 5</t>
        </is>
      </c>
      <c r="K2193" t="inlineStr">
        <is>
          <t>N�o</t>
        </is>
      </c>
    </row>
    <row r="2194">
      <c r="A2194" s="1">
        <f>HYPERLINK("https://eurofarma-latam-crm.veevavault.com/#object/account__v/V4TZ000018NXKG1", "Roger Enokibara")</f>
        <v/>
      </c>
      <c r="B2194" s="1">
        <f>HYPERLINK("https://eurofarma-latam-crm.veevavault.com/#object/account__v/V4TZ000018NXKG1", "Roger Toshio Enokibara")</f>
        <v/>
      </c>
      <c r="C2194" t="inlineStr">
        <is>
          <t>RJ0523908</t>
        </is>
      </c>
      <c r="D2194" t="inlineStr">
        <is>
          <t>ORT</t>
        </is>
      </c>
      <c r="E2194" t="inlineStr">
        <is>
          <t>Rodovia Washington Luiz, S/N - BR 040 Km 109</t>
        </is>
      </c>
      <c r="F2194" t="inlineStr">
        <is>
          <t>Vila Actura</t>
        </is>
      </c>
      <c r="G2194" t="inlineStr">
        <is>
          <t>Duque de Caxias</t>
        </is>
      </c>
      <c r="H2194" t="inlineStr">
        <is>
          <t>RJ</t>
        </is>
      </c>
      <c r="I2194" t="n">
        <v>7745</v>
      </c>
      <c r="J2194" t="inlineStr">
        <is>
          <t>CAT 5</t>
        </is>
      </c>
      <c r="K2194" t="inlineStr">
        <is>
          <t>Sim</t>
        </is>
      </c>
    </row>
    <row r="2195">
      <c r="A2195" s="1">
        <f>HYPERLINK("https://eurofarma-latam-crm.veevavault.com/#object/account__v/V4TZ000018NYOHF", "Rogério Reis")</f>
        <v/>
      </c>
      <c r="B2195" s="1">
        <f>HYPERLINK("https://eurofarma-latam-crm.veevavault.com/#object/account__v/V4TZ000018NYOHF", "Rogério Santos Reis")</f>
        <v/>
      </c>
      <c r="C2195" t="inlineStr">
        <is>
          <t>RJ0580272</t>
        </is>
      </c>
      <c r="D2195" t="inlineStr">
        <is>
          <t>NEU</t>
        </is>
      </c>
      <c r="E2195" t="inlineStr">
        <is>
          <t>Avenida Afonso Arinos de Melo Franco, 222 - Bloco 1 Sala 501</t>
        </is>
      </c>
      <c r="F2195" t="inlineStr">
        <is>
          <t>Barra da Tijuca</t>
        </is>
      </c>
      <c r="G2195" t="inlineStr">
        <is>
          <t>Rio de Janeiro</t>
        </is>
      </c>
      <c r="H2195" t="inlineStr">
        <is>
          <t>RJ</t>
        </is>
      </c>
      <c r="I2195" t="n">
        <v>7745</v>
      </c>
      <c r="J2195" t="inlineStr">
        <is>
          <t>CAT 2</t>
        </is>
      </c>
      <c r="K2195" t="inlineStr">
        <is>
          <t>Sim</t>
        </is>
      </c>
    </row>
    <row r="2196">
      <c r="A2196" s="1">
        <f>HYPERLINK("https://eurofarma-latam-crm.veevavault.com/#object/account__v/V4TZ000019132E5", "Rogerio Rodrigues")</f>
        <v/>
      </c>
      <c r="B2196" s="1">
        <f>HYPERLINK("https://eurofarma-latam-crm.veevavault.com/#object/account__v/V4TZ000019132E5", "Rogerio Rodrigues")</f>
        <v/>
      </c>
      <c r="C2196" t="inlineStr">
        <is>
          <t>RJ0526500</t>
        </is>
      </c>
      <c r="D2196" t="inlineStr">
        <is>
          <t>PSQ</t>
        </is>
      </c>
      <c r="E2196" t="inlineStr">
        <is>
          <t>Avenida Presidente Vargas, 583 - Sala 1502</t>
        </is>
      </c>
      <c r="F2196" t="inlineStr">
        <is>
          <t>Centro</t>
        </is>
      </c>
      <c r="G2196" t="inlineStr">
        <is>
          <t>Rio de Janeiro</t>
        </is>
      </c>
      <c r="H2196" t="inlineStr">
        <is>
          <t>RJ</t>
        </is>
      </c>
      <c r="I2196" t="n">
        <v>7745</v>
      </c>
      <c r="J2196" t="inlineStr">
        <is>
          <t>CAT 2</t>
        </is>
      </c>
      <c r="K2196" t="inlineStr">
        <is>
          <t>Sim</t>
        </is>
      </c>
    </row>
    <row r="2197">
      <c r="A2197" s="1">
        <f>HYPERLINK("https://eurofarma-latam-crm.veevavault.com/#object/account__v/V4TZ000018NZ7VO", "Romulo Mangeon")</f>
        <v/>
      </c>
      <c r="B2197" s="1">
        <f>HYPERLINK("https://eurofarma-latam-crm.veevavault.com/#object/account__v/V4TZ000018NZ7VO", "Romulo Kling Mangeon")</f>
        <v/>
      </c>
      <c r="C2197" t="inlineStr">
        <is>
          <t>RJ0953571</t>
        </is>
      </c>
      <c r="D2197" t="inlineStr">
        <is>
          <t>PSQ</t>
        </is>
      </c>
      <c r="E2197" t="inlineStr">
        <is>
          <t>Rua Presidente Backer, 289</t>
        </is>
      </c>
      <c r="F2197" t="inlineStr">
        <is>
          <t>Icaraí</t>
        </is>
      </c>
      <c r="G2197" t="inlineStr">
        <is>
          <t>Niterói</t>
        </is>
      </c>
      <c r="H2197" t="inlineStr">
        <is>
          <t>RJ</t>
        </is>
      </c>
      <c r="I2197" t="n">
        <v>7745</v>
      </c>
      <c r="J2197" t="inlineStr">
        <is>
          <t>CAT 2</t>
        </is>
      </c>
      <c r="K2197" t="inlineStr">
        <is>
          <t>Sim</t>
        </is>
      </c>
    </row>
    <row r="2198">
      <c r="A2198" s="1">
        <f>HYPERLINK("https://eurofarma-latam-crm.veevavault.com/#object/account__v/V4TZ00001913N89", "Rosane Lopes")</f>
        <v/>
      </c>
      <c r="B2198" s="1">
        <f>HYPERLINK("https://eurofarma-latam-crm.veevavault.com/#object/account__v/V4TZ00001913N89", "Rosane de Oliveira Lopes")</f>
        <v/>
      </c>
      <c r="C2198" t="inlineStr">
        <is>
          <t>RJ0464290</t>
        </is>
      </c>
      <c r="D2198" t="inlineStr">
        <is>
          <t>CLG / END</t>
        </is>
      </c>
      <c r="E2198" t="inlineStr">
        <is>
          <t>Rua Acadêmico Walter Gonçalves, 1 - Sala 301</t>
        </is>
      </c>
      <c r="F2198" t="inlineStr">
        <is>
          <t>Centro</t>
        </is>
      </c>
      <c r="G2198" t="inlineStr">
        <is>
          <t>Niterói</t>
        </is>
      </c>
      <c r="H2198" t="inlineStr">
        <is>
          <t>RJ</t>
        </is>
      </c>
      <c r="I2198" t="n">
        <v>7745</v>
      </c>
      <c r="J2198" t="inlineStr">
        <is>
          <t>CAT 2</t>
        </is>
      </c>
      <c r="K2198" t="inlineStr">
        <is>
          <t>Sim</t>
        </is>
      </c>
    </row>
    <row r="2199">
      <c r="A2199" s="1">
        <f>HYPERLINK("https://eurofarma-latam-crm.veevavault.com/#object/account__v/V4TZ00001914COW", "Rosane Salerno")</f>
        <v/>
      </c>
      <c r="B2199" s="1">
        <f>HYPERLINK("https://eurofarma-latam-crm.veevavault.com/#object/account__v/V4TZ00001914COW", "Rosane Barroso Salerno")</f>
        <v/>
      </c>
      <c r="C2199" t="inlineStr">
        <is>
          <t>RJ0339162</t>
        </is>
      </c>
      <c r="D2199" t="inlineStr">
        <is>
          <t>END</t>
        </is>
      </c>
      <c r="E2199" t="inlineStr">
        <is>
          <t>Avenida Rio Branco, 156 - Sala 526</t>
        </is>
      </c>
      <c r="F2199" t="inlineStr">
        <is>
          <t>Centro</t>
        </is>
      </c>
      <c r="G2199" t="inlineStr">
        <is>
          <t>Rio de Janeiro</t>
        </is>
      </c>
      <c r="H2199" t="inlineStr">
        <is>
          <t>RJ</t>
        </is>
      </c>
      <c r="I2199" t="n">
        <v>7745</v>
      </c>
      <c r="J2199" t="inlineStr">
        <is>
          <t>CAT 3</t>
        </is>
      </c>
      <c r="K2199" t="inlineStr">
        <is>
          <t>Sim</t>
        </is>
      </c>
    </row>
    <row r="2200">
      <c r="A2200" s="1">
        <f>HYPERLINK("https://eurofarma-latam-crm.veevavault.com/#object/account__v/V4TZ00001912WBI", "Rosimeri Bruno")</f>
        <v/>
      </c>
      <c r="B2200" s="1">
        <f>HYPERLINK("https://eurofarma-latam-crm.veevavault.com/#object/account__v/V4TZ00001912WBI", "Rosimeri Eirado Ribeiro Bruno")</f>
        <v/>
      </c>
      <c r="C2200" t="inlineStr">
        <is>
          <t>RJ0503372</t>
        </is>
      </c>
      <c r="D2200" t="inlineStr">
        <is>
          <t>CLG / END</t>
        </is>
      </c>
      <c r="E2200" t="inlineStr">
        <is>
          <t>Estrada da Cacuiá, 745</t>
        </is>
      </c>
      <c r="F2200" t="inlineStr">
        <is>
          <t>Cacuia</t>
        </is>
      </c>
      <c r="G2200" t="inlineStr">
        <is>
          <t>Rio de Janeiro</t>
        </is>
      </c>
      <c r="H2200" t="inlineStr">
        <is>
          <t>RJ</t>
        </is>
      </c>
      <c r="I2200" t="n">
        <v>7745</v>
      </c>
      <c r="J2200" t="inlineStr">
        <is>
          <t>CAT 4</t>
        </is>
      </c>
      <c r="K2200" t="inlineStr">
        <is>
          <t>Sim</t>
        </is>
      </c>
    </row>
    <row r="2201">
      <c r="A2201" s="1">
        <f>HYPERLINK("https://eurofarma-latam-crm.veevavault.com/#object/account__v/V4TZ025E8EZ84E3", "Ruanna Silva")</f>
        <v/>
      </c>
      <c r="B2201" s="1">
        <f>HYPERLINK("https://eurofarma-latam-crm.veevavault.com/#object/account__v/V4TZ025E8EZ84E3", "Ruanna Fagundes Da Silva")</f>
        <v/>
      </c>
      <c r="C2201" t="inlineStr">
        <is>
          <t>RJ1383786</t>
        </is>
      </c>
      <c r="D2201" t="inlineStr">
        <is>
          <t>CLG / END</t>
        </is>
      </c>
      <c r="E2201" t="inlineStr">
        <is>
          <t>Rua Reverendo Armando Ferreira, S/N</t>
        </is>
      </c>
      <c r="F2201" t="inlineStr">
        <is>
          <t>Largo da Batalha</t>
        </is>
      </c>
      <c r="G2201" t="inlineStr">
        <is>
          <t>Niterói</t>
        </is>
      </c>
      <c r="H2201" t="inlineStr">
        <is>
          <t>RJ</t>
        </is>
      </c>
      <c r="I2201" t="n">
        <v>7745</v>
      </c>
      <c r="J2201" t="inlineStr">
        <is>
          <t>CAT 5</t>
        </is>
      </c>
      <c r="K2201" t="inlineStr">
        <is>
          <t>Sim</t>
        </is>
      </c>
    </row>
    <row r="2202">
      <c r="A2202" s="1">
        <f>HYPERLINK("https://eurofarma-latam-crm.veevavault.com/#object/account__v/V4TZ000019147YW", "Rubens Hoelz")</f>
        <v/>
      </c>
      <c r="B2202" s="1">
        <f>HYPERLINK("https://eurofarma-latam-crm.veevavault.com/#object/account__v/V4TZ000019147YW", "Rubens Amancio Correa Hoelz")</f>
        <v/>
      </c>
      <c r="C2202" t="inlineStr">
        <is>
          <t>RJ0305482</t>
        </is>
      </c>
      <c r="D2202" t="inlineStr">
        <is>
          <t>URO</t>
        </is>
      </c>
      <c r="E2202" t="inlineStr">
        <is>
          <t>Rua da Conceição, 188 - Sala 1008</t>
        </is>
      </c>
      <c r="F2202" t="inlineStr">
        <is>
          <t>Centro</t>
        </is>
      </c>
      <c r="G2202" t="inlineStr">
        <is>
          <t>Niterói</t>
        </is>
      </c>
      <c r="H2202" t="inlineStr">
        <is>
          <t>RJ</t>
        </is>
      </c>
      <c r="I2202" t="n">
        <v>7745</v>
      </c>
      <c r="J2202" t="inlineStr">
        <is>
          <t>CAT 5</t>
        </is>
      </c>
      <c r="K2202" t="inlineStr">
        <is>
          <t>Sim</t>
        </is>
      </c>
    </row>
    <row r="2203">
      <c r="A2203" s="1">
        <f>HYPERLINK("https://eurofarma-latam-crm.veevavault.com/#object/account__v/V4TZ00001915P2G", "Samuel Kutwak")</f>
        <v/>
      </c>
      <c r="B2203" s="1">
        <f>HYPERLINK("https://eurofarma-latam-crm.veevavault.com/#object/account__v/V4TZ00001915P2G", "Samuel Kutwak")</f>
        <v/>
      </c>
      <c r="C2203" t="inlineStr">
        <is>
          <t>RJ0144696</t>
        </is>
      </c>
      <c r="D2203" t="inlineStr">
        <is>
          <t>END</t>
        </is>
      </c>
      <c r="E2203" t="inlineStr">
        <is>
          <t>Rua Divisória, 10 - Sala 201</t>
        </is>
      </c>
      <c r="F2203" t="inlineStr">
        <is>
          <t>Bento Ribeiro</t>
        </is>
      </c>
      <c r="G2203" t="inlineStr">
        <is>
          <t>Rio de Janeiro</t>
        </is>
      </c>
      <c r="H2203" t="inlineStr">
        <is>
          <t>RJ</t>
        </is>
      </c>
      <c r="I2203" t="n">
        <v>7745</v>
      </c>
      <c r="J2203" t="inlineStr">
        <is>
          <t>CAT 5</t>
        </is>
      </c>
      <c r="K2203" t="inlineStr">
        <is>
          <t>Sim</t>
        </is>
      </c>
    </row>
    <row r="2204">
      <c r="A2204" s="1">
        <f>HYPERLINK("https://eurofarma-latam-crm.veevavault.com/#object/account__v/V4TZ00001913LNM", "Samuel Roberto Maultasch")</f>
        <v/>
      </c>
      <c r="B2204" s="1">
        <f>HYPERLINK("https://eurofarma-latam-crm.veevavault.com/#object/account__v/V4TZ00001913LNM", "Samuel Roberto Maultasch")</f>
        <v/>
      </c>
      <c r="C2204" t="inlineStr">
        <is>
          <t>RJ0231298</t>
        </is>
      </c>
      <c r="D2204" t="inlineStr">
        <is>
          <t>PSQ</t>
        </is>
      </c>
      <c r="E2204" t="inlineStr">
        <is>
          <t>Avenida Treze de Maio,13 - Sala 1809</t>
        </is>
      </c>
      <c r="F2204" t="inlineStr">
        <is>
          <t>Centro</t>
        </is>
      </c>
      <c r="G2204" t="inlineStr">
        <is>
          <t>Rio de Janeiro</t>
        </is>
      </c>
      <c r="H2204" t="inlineStr">
        <is>
          <t>RJ</t>
        </is>
      </c>
      <c r="I2204" t="n">
        <v>7745</v>
      </c>
      <c r="J2204" t="inlineStr">
        <is>
          <t>CAT 1</t>
        </is>
      </c>
      <c r="K2204" t="inlineStr">
        <is>
          <t>Sim</t>
        </is>
      </c>
    </row>
    <row r="2205">
      <c r="A2205" s="1">
        <f>HYPERLINK("https://eurofarma-latam-crm.veevavault.com/#object/account__v/V4TZ00001915XY1", "Sérgio dos Santos")</f>
        <v/>
      </c>
      <c r="B2205" s="1">
        <f>HYPERLINK("https://eurofarma-latam-crm.veevavault.com/#object/account__v/V4TZ00001915XY1", "Sérgio de Assis Cordeiro dos Santos")</f>
        <v/>
      </c>
      <c r="C2205" t="inlineStr">
        <is>
          <t>RJ0249430</t>
        </is>
      </c>
      <c r="D2205" t="inlineStr">
        <is>
          <t>ORT</t>
        </is>
      </c>
      <c r="E2205" t="inlineStr">
        <is>
          <t>Rua São José, 90 - Sala 706</t>
        </is>
      </c>
      <c r="F2205" t="inlineStr">
        <is>
          <t>Centro</t>
        </is>
      </c>
      <c r="G2205" t="inlineStr">
        <is>
          <t>Rio de Janeiro</t>
        </is>
      </c>
      <c r="H2205" t="inlineStr">
        <is>
          <t>RJ</t>
        </is>
      </c>
      <c r="I2205" t="n">
        <v>7745</v>
      </c>
      <c r="J2205" t="inlineStr">
        <is>
          <t>CAT 4</t>
        </is>
      </c>
      <c r="K2205" t="inlineStr">
        <is>
          <t>Sim</t>
        </is>
      </c>
    </row>
    <row r="2206">
      <c r="A2206" s="1">
        <f>HYPERLINK("https://eurofarma-latam-crm.veevavault.com/#object/account__v/V4TZ00001913VLJ", "Sergio Marques")</f>
        <v/>
      </c>
      <c r="B2206" s="1">
        <f>HYPERLINK("https://eurofarma-latam-crm.veevavault.com/#object/account__v/V4TZ00001913VLJ", "Sergio Tasso Pacifico Marques")</f>
        <v/>
      </c>
      <c r="C2206" t="inlineStr">
        <is>
          <t>RJ0458243</t>
        </is>
      </c>
      <c r="D2206" t="inlineStr">
        <is>
          <t>ORL</t>
        </is>
      </c>
      <c r="E2206" t="inlineStr">
        <is>
          <t>Rua Sete de Setembro, 92 - Salas 905 a 908</t>
        </is>
      </c>
      <c r="F2206" t="inlineStr">
        <is>
          <t>Centro</t>
        </is>
      </c>
      <c r="G2206" t="inlineStr">
        <is>
          <t>Rio de Janeiro</t>
        </is>
      </c>
      <c r="H2206" t="inlineStr">
        <is>
          <t>RJ</t>
        </is>
      </c>
      <c r="I2206" t="n">
        <v>7745</v>
      </c>
      <c r="J2206" t="inlineStr">
        <is>
          <t>CAT 3</t>
        </is>
      </c>
      <c r="K2206" t="inlineStr">
        <is>
          <t>Sim</t>
        </is>
      </c>
    </row>
    <row r="2207">
      <c r="A2207" s="1">
        <f>HYPERLINK("https://eurofarma-latam-crm.veevavault.com/#object/account__v/V4TZ000018NYTU2", "Shirlene do Amaral")</f>
        <v/>
      </c>
      <c r="B2207" s="1">
        <f>HYPERLINK("https://eurofarma-latam-crm.veevavault.com/#object/account__v/V4TZ000018NYTU2", "Shirlene Neves do Amaral")</f>
        <v/>
      </c>
      <c r="C2207" t="inlineStr">
        <is>
          <t>RJ0386606</t>
        </is>
      </c>
      <c r="D2207" t="inlineStr">
        <is>
          <t>CLG</t>
        </is>
      </c>
      <c r="E2207" t="inlineStr">
        <is>
          <t>Praia do Flamengo, 66 - Sala 1109</t>
        </is>
      </c>
      <c r="F2207" t="inlineStr">
        <is>
          <t>Flamengo</t>
        </is>
      </c>
      <c r="G2207" t="inlineStr">
        <is>
          <t>Rio de Janeiro</t>
        </is>
      </c>
      <c r="H2207" t="inlineStr">
        <is>
          <t>RJ</t>
        </is>
      </c>
      <c r="I2207" t="n">
        <v>7745</v>
      </c>
      <c r="J2207" t="inlineStr">
        <is>
          <t>CAT 3</t>
        </is>
      </c>
      <c r="K2207" t="inlineStr">
        <is>
          <t>Sim</t>
        </is>
      </c>
    </row>
    <row r="2208">
      <c r="A2208" s="1">
        <f>HYPERLINK("https://eurofarma-latam-crm.veevavault.com/#object/account__v/V4TZ000018NZ5U1", "Sidney Bustamante")</f>
        <v/>
      </c>
      <c r="B2208" s="1">
        <f>HYPERLINK("https://eurofarma-latam-crm.veevavault.com/#object/account__v/V4TZ000018NZ5U1", "Sidney de Oliveira Bustamante")</f>
        <v/>
      </c>
      <c r="C2208" t="inlineStr">
        <is>
          <t>RJ0625981</t>
        </is>
      </c>
      <c r="D2208" t="inlineStr">
        <is>
          <t>PSQ</t>
        </is>
      </c>
      <c r="E2208" t="inlineStr">
        <is>
          <t>Rua Guilherme Briggs, 51</t>
        </is>
      </c>
      <c r="F2208" t="inlineStr">
        <is>
          <t>São Domingos</t>
        </is>
      </c>
      <c r="G2208" t="inlineStr">
        <is>
          <t>Niterói</t>
        </is>
      </c>
      <c r="H2208" t="inlineStr">
        <is>
          <t>RJ</t>
        </is>
      </c>
      <c r="I2208" t="n">
        <v>7745</v>
      </c>
      <c r="J2208" t="inlineStr">
        <is>
          <t>CAT 1</t>
        </is>
      </c>
      <c r="K2208" t="inlineStr">
        <is>
          <t>Sim</t>
        </is>
      </c>
    </row>
    <row r="2209">
      <c r="A2209" s="1">
        <f>HYPERLINK("https://eurofarma-latam-crm.veevavault.com/#object/account__v/V4TZ00001914Q5W", "Silvio Chagas")</f>
        <v/>
      </c>
      <c r="B2209" s="1">
        <f>HYPERLINK("https://eurofarma-latam-crm.veevavault.com/#object/account__v/V4TZ00001914Q5W", "Silvio Batista Chagas")</f>
        <v/>
      </c>
      <c r="C2209" t="inlineStr">
        <is>
          <t>RJ0228280</t>
        </is>
      </c>
      <c r="D2209" t="inlineStr">
        <is>
          <t>CLG</t>
        </is>
      </c>
      <c r="E2209" t="inlineStr">
        <is>
          <t>Rua Dom Marcos Barbosa, 2 - Loja I</t>
        </is>
      </c>
      <c r="F2209" t="inlineStr">
        <is>
          <t>Cidade Nova</t>
        </is>
      </c>
      <c r="G2209" t="inlineStr">
        <is>
          <t>Rio de Janeiro</t>
        </is>
      </c>
      <c r="H2209" t="inlineStr">
        <is>
          <t>RJ</t>
        </is>
      </c>
      <c r="I2209" t="n">
        <v>7745</v>
      </c>
      <c r="J2209" t="inlineStr">
        <is>
          <t>CAT 3</t>
        </is>
      </c>
      <c r="K2209" t="inlineStr">
        <is>
          <t>Sim</t>
        </is>
      </c>
    </row>
    <row r="2210">
      <c r="A2210" s="1">
        <f>HYPERLINK("https://eurofarma-latam-crm.veevavault.com/#object/account__v/V4TZ00001915YTK", "Simone Vitório")</f>
        <v/>
      </c>
      <c r="B2210" s="1">
        <f>HYPERLINK("https://eurofarma-latam-crm.veevavault.com/#object/account__v/V4TZ00001915YTK", "Simone Costa Vitório")</f>
        <v/>
      </c>
      <c r="C2210" t="inlineStr">
        <is>
          <t>RJ0801224</t>
        </is>
      </c>
      <c r="D2210" t="inlineStr">
        <is>
          <t>ORT</t>
        </is>
      </c>
      <c r="E2210" t="inlineStr">
        <is>
          <t>Largo do Ibam, 01 - 1 e 2 Andar</t>
        </is>
      </c>
      <c r="F2210" t="inlineStr">
        <is>
          <t>Humaitá</t>
        </is>
      </c>
      <c r="G2210" t="inlineStr">
        <is>
          <t>Rio de Janeiro</t>
        </is>
      </c>
      <c r="H2210" t="inlineStr">
        <is>
          <t>RJ</t>
        </is>
      </c>
      <c r="I2210" t="n">
        <v>7745</v>
      </c>
      <c r="J2210" t="inlineStr">
        <is>
          <t>CAT 5</t>
        </is>
      </c>
      <c r="K2210" t="inlineStr">
        <is>
          <t>Sim</t>
        </is>
      </c>
    </row>
    <row r="2211">
      <c r="A2211" s="1">
        <f>HYPERLINK("https://eurofarma-latam-crm.veevavault.com/#object/account__v/V4TZ000018NXTEQ", "Solange Maria Gualter")</f>
        <v/>
      </c>
      <c r="B2211" s="1">
        <f>HYPERLINK("https://eurofarma-latam-crm.veevavault.com/#object/account__v/V4TZ000018NXTEQ", "Solange Maria Moreira de Mendonça Gualter")</f>
        <v/>
      </c>
      <c r="C2211" t="inlineStr">
        <is>
          <t>RJ0544201</t>
        </is>
      </c>
      <c r="D2211" t="inlineStr">
        <is>
          <t>CLG</t>
        </is>
      </c>
      <c r="E2211" t="inlineStr">
        <is>
          <t>Rua Guarujá, 69</t>
        </is>
      </c>
      <c r="F2211" t="inlineStr">
        <is>
          <t>Inhoaíba</t>
        </is>
      </c>
      <c r="G2211" t="inlineStr">
        <is>
          <t>Rio de Janeiro</t>
        </is>
      </c>
      <c r="H2211" t="inlineStr">
        <is>
          <t>RJ</t>
        </is>
      </c>
      <c r="I2211" t="n">
        <v>7745</v>
      </c>
      <c r="J2211" t="inlineStr">
        <is>
          <t>CAT 3</t>
        </is>
      </c>
      <c r="K2211" t="inlineStr">
        <is>
          <t>Sim</t>
        </is>
      </c>
    </row>
    <row r="2212">
      <c r="A2212" s="1">
        <f>HYPERLINK("https://eurofarma-latam-crm.veevavault.com/#object/account__v/V4TZ00001913C21", "Sonia Costa")</f>
        <v/>
      </c>
      <c r="B2212" s="1">
        <f>HYPERLINK("https://eurofarma-latam-crm.veevavault.com/#object/account__v/V4TZ00001913C21", "Sonia Conte Caracciolo Costa")</f>
        <v/>
      </c>
      <c r="C2212" t="inlineStr">
        <is>
          <t>RJ0425019</t>
        </is>
      </c>
      <c r="D2212" t="inlineStr">
        <is>
          <t>PED</t>
        </is>
      </c>
      <c r="E2212" t="inlineStr">
        <is>
          <t>Avenida Marechal Rondon, 381</t>
        </is>
      </c>
      <c r="F2212" t="inlineStr">
        <is>
          <t>São Francisco Xavier</t>
        </is>
      </c>
      <c r="G2212" t="inlineStr">
        <is>
          <t>Rio de Janeiro</t>
        </is>
      </c>
      <c r="H2212" t="inlineStr">
        <is>
          <t>RJ</t>
        </is>
      </c>
      <c r="I2212" t="n">
        <v>7745</v>
      </c>
      <c r="J2212" t="inlineStr">
        <is>
          <t>CAT 5</t>
        </is>
      </c>
      <c r="K2212" t="inlineStr">
        <is>
          <t>Sim</t>
        </is>
      </c>
    </row>
    <row r="2213">
      <c r="A2213" s="1">
        <f>HYPERLINK("https://eurofarma-latam-crm.veevavault.com/#object/account__v/V4TZ00001913048", "Talys Pinheiro")</f>
        <v/>
      </c>
      <c r="B2213" s="1">
        <f>HYPERLINK("https://eurofarma-latam-crm.veevavault.com/#object/account__v/V4TZ00001913048", "Talys Jason Pinheiro")</f>
        <v/>
      </c>
      <c r="C2213" t="inlineStr">
        <is>
          <t>RJ0986194</t>
        </is>
      </c>
      <c r="D2213" t="inlineStr">
        <is>
          <t>NEU</t>
        </is>
      </c>
      <c r="E2213" t="inlineStr">
        <is>
          <t>Avenida Rio Branco, 173</t>
        </is>
      </c>
      <c r="F2213" t="inlineStr">
        <is>
          <t>Centro</t>
        </is>
      </c>
      <c r="G2213" t="inlineStr">
        <is>
          <t>Rio de Janeiro</t>
        </is>
      </c>
      <c r="H2213" t="inlineStr">
        <is>
          <t>RJ</t>
        </is>
      </c>
      <c r="I2213" t="n">
        <v>7745</v>
      </c>
      <c r="J2213" t="inlineStr">
        <is>
          <t>CAT 3</t>
        </is>
      </c>
      <c r="K2213" t="inlineStr">
        <is>
          <t>Sim</t>
        </is>
      </c>
    </row>
    <row r="2214">
      <c r="A2214" s="1">
        <f>HYPERLINK("https://eurofarma-latam-crm.veevavault.com/#object/account__v/V4TZ00001912YZK", "Tania Faria")</f>
        <v/>
      </c>
      <c r="B2214" s="1">
        <f>HYPERLINK("https://eurofarma-latam-crm.veevavault.com/#object/account__v/V4TZ00001912YZK", "Tania Alves Costa de Castro Pache de Faria")</f>
        <v/>
      </c>
      <c r="C2214" t="inlineStr">
        <is>
          <t>RJ0304382</t>
        </is>
      </c>
      <c r="D2214" t="inlineStr">
        <is>
          <t>PED</t>
        </is>
      </c>
      <c r="E2214" t="inlineStr">
        <is>
          <t>Rua Martins Torres, 245</t>
        </is>
      </c>
      <c r="F2214" t="inlineStr">
        <is>
          <t>Santa Rosa</t>
        </is>
      </c>
      <c r="G2214" t="inlineStr">
        <is>
          <t>Niterói</t>
        </is>
      </c>
      <c r="H2214" t="inlineStr">
        <is>
          <t>RJ</t>
        </is>
      </c>
      <c r="I2214" t="n">
        <v>7745</v>
      </c>
      <c r="J2214" t="inlineStr">
        <is>
          <t>CAT 5</t>
        </is>
      </c>
      <c r="K2214" t="inlineStr">
        <is>
          <t>Sim</t>
        </is>
      </c>
    </row>
    <row r="2215">
      <c r="A2215" s="1">
        <f>HYPERLINK("https://eurofarma-latam-crm.veevavault.com/#object/account__v/V4TZ00001914TTN", "Tatiana de Carvalho")</f>
        <v/>
      </c>
      <c r="B2215" s="1">
        <f>HYPERLINK("https://eurofarma-latam-crm.veevavault.com/#object/account__v/V4TZ00001914TTN", "Tatiana Lemos de Carvalho")</f>
        <v/>
      </c>
      <c r="C2215" t="inlineStr">
        <is>
          <t>MG0057538,RJ0842478</t>
        </is>
      </c>
      <c r="D2215" t="inlineStr">
        <is>
          <t>ORL</t>
        </is>
      </c>
      <c r="E2215" t="inlineStr">
        <is>
          <t>Rua Sete de Setembro, 92 - Salas 905 a 908</t>
        </is>
      </c>
      <c r="F2215" t="inlineStr">
        <is>
          <t>Centro</t>
        </is>
      </c>
      <c r="G2215" t="inlineStr">
        <is>
          <t>Rio de Janeiro</t>
        </is>
      </c>
      <c r="H2215" t="inlineStr">
        <is>
          <t>RJ</t>
        </is>
      </c>
      <c r="I2215" t="n">
        <v>7745</v>
      </c>
      <c r="J2215" t="inlineStr">
        <is>
          <t>CAT 3</t>
        </is>
      </c>
      <c r="K2215" t="inlineStr">
        <is>
          <t>Sim</t>
        </is>
      </c>
    </row>
    <row r="2216">
      <c r="A2216" s="1">
        <f>HYPERLINK("https://eurofarma-latam-crm.veevavault.com/#object/account__v/V4TZ00001913OI3", "Tatiane de Toledo")</f>
        <v/>
      </c>
      <c r="B2216" s="1">
        <f>HYPERLINK("https://eurofarma-latam-crm.veevavault.com/#object/account__v/V4TZ00001913OI3", "Tatiane Bertoni de Toledo")</f>
        <v/>
      </c>
      <c r="C2216" t="inlineStr">
        <is>
          <t>RJ0717479</t>
        </is>
      </c>
      <c r="D2216" t="inlineStr">
        <is>
          <t>END</t>
        </is>
      </c>
      <c r="E2216" t="inlineStr">
        <is>
          <t>Rua Ator Paulo Gustavo, 229 - Sala 1818</t>
        </is>
      </c>
      <c r="F2216" t="inlineStr">
        <is>
          <t>Icaraí</t>
        </is>
      </c>
      <c r="G2216" t="inlineStr">
        <is>
          <t>Niterói</t>
        </is>
      </c>
      <c r="H2216" t="inlineStr">
        <is>
          <t>RJ</t>
        </is>
      </c>
      <c r="I2216" t="n">
        <v>7745</v>
      </c>
      <c r="J2216" t="inlineStr">
        <is>
          <t>CAT 3</t>
        </is>
      </c>
      <c r="K2216" t="inlineStr">
        <is>
          <t>Sim</t>
        </is>
      </c>
    </row>
    <row r="2217">
      <c r="A2217" s="1">
        <f>HYPERLINK("https://eurofarma-latam-crm.veevavault.com/#object/account__v/V4TZ00001915HB3", "Teresa Aranha")</f>
        <v/>
      </c>
      <c r="B2217" s="1">
        <f>HYPERLINK("https://eurofarma-latam-crm.veevavault.com/#object/account__v/V4TZ00001915HB3", "Teresa Rubino Costanza Aranha")</f>
        <v/>
      </c>
      <c r="C2217" t="inlineStr">
        <is>
          <t>RJ0553252</t>
        </is>
      </c>
      <c r="D2217" t="inlineStr">
        <is>
          <t>END</t>
        </is>
      </c>
      <c r="E2217" t="inlineStr">
        <is>
          <t>Avenida Graça Aranha, 81 - Sala 501 a 504</t>
        </is>
      </c>
      <c r="F2217" t="inlineStr">
        <is>
          <t>Centro</t>
        </is>
      </c>
      <c r="G2217" t="inlineStr">
        <is>
          <t>Rio de Janeiro</t>
        </is>
      </c>
      <c r="H2217" t="inlineStr">
        <is>
          <t>RJ</t>
        </is>
      </c>
      <c r="I2217" t="n">
        <v>7745</v>
      </c>
      <c r="J2217" t="inlineStr">
        <is>
          <t>CAT 4</t>
        </is>
      </c>
      <c r="K2217" t="inlineStr">
        <is>
          <t>N�o</t>
        </is>
      </c>
    </row>
    <row r="2218">
      <c r="A2218" s="1">
        <f>HYPERLINK("https://eurofarma-latam-crm.veevavault.com/#object/account__v/V4TZ000018NXJWI", "Thyago Vinicius de Azevedo")</f>
        <v/>
      </c>
      <c r="B2218" s="1">
        <f>HYPERLINK("https://eurofarma-latam-crm.veevavault.com/#object/account__v/V4TZ000018NXJWI", "Thyago Vinicius Gomes de Azevedo")</f>
        <v/>
      </c>
      <c r="C2218" t="inlineStr">
        <is>
          <t>RJ0950106</t>
        </is>
      </c>
      <c r="D2218" t="inlineStr">
        <is>
          <t>PSQ</t>
        </is>
      </c>
      <c r="E2218" t="inlineStr">
        <is>
          <t>Rua Adolfo Bravo, S/N</t>
        </is>
      </c>
      <c r="F2218" t="inlineStr">
        <is>
          <t>Bacaxá (Bacaxá)</t>
        </is>
      </c>
      <c r="G2218" t="inlineStr">
        <is>
          <t>Saquarema</t>
        </is>
      </c>
      <c r="H2218" t="inlineStr">
        <is>
          <t>RJ</t>
        </is>
      </c>
      <c r="I2218" t="n">
        <v>7745</v>
      </c>
      <c r="J2218" t="inlineStr">
        <is>
          <t>CAT 2</t>
        </is>
      </c>
      <c r="K2218" t="inlineStr">
        <is>
          <t>Sim</t>
        </is>
      </c>
    </row>
    <row r="2219">
      <c r="A2219" s="1">
        <f>HYPERLINK("https://eurofarma-latam-crm.veevavault.com/#object/account__v/V4TZ00001913RDI", "Toshio Enokibara")</f>
        <v/>
      </c>
      <c r="B2219" s="1">
        <f>HYPERLINK("https://eurofarma-latam-crm.veevavault.com/#object/account__v/V4TZ00001913RDI", "Toshio Pinheiro Enokibara")</f>
        <v/>
      </c>
      <c r="C2219" t="inlineStr">
        <is>
          <t>RJ1146300</t>
        </is>
      </c>
      <c r="D2219" t="inlineStr">
        <is>
          <t>ORT</t>
        </is>
      </c>
      <c r="E2219" t="inlineStr">
        <is>
          <t>Rua São José, 20 - Andar 6 Sala 601 e 602</t>
        </is>
      </c>
      <c r="F2219" t="inlineStr">
        <is>
          <t>Centro</t>
        </is>
      </c>
      <c r="G2219" t="inlineStr">
        <is>
          <t>Rio de Janeiro</t>
        </is>
      </c>
      <c r="H2219" t="inlineStr">
        <is>
          <t>RJ</t>
        </is>
      </c>
      <c r="I2219" t="n">
        <v>7745</v>
      </c>
      <c r="J2219" t="inlineStr">
        <is>
          <t>CAT 5</t>
        </is>
      </c>
      <c r="K2219" t="inlineStr">
        <is>
          <t>Sim</t>
        </is>
      </c>
    </row>
    <row r="2220">
      <c r="A2220" s="1">
        <f>HYPERLINK("https://eurofarma-latam-crm.veevavault.com/#object/account__v/V4TZ0000191633G", "Toyomi Okada")</f>
        <v/>
      </c>
      <c r="B2220" s="1">
        <f>HYPERLINK("https://eurofarma-latam-crm.veevavault.com/#object/account__v/V4TZ0000191633G", "Toyomi Okada")</f>
        <v/>
      </c>
      <c r="C2220" t="inlineStr">
        <is>
          <t>RJ0455492</t>
        </is>
      </c>
      <c r="D2220" t="inlineStr">
        <is>
          <t>CLG / END</t>
        </is>
      </c>
      <c r="E2220" t="inlineStr">
        <is>
          <t>Rua Acadêmico Walter Gonçalves, 1 - Sala 301 e 302</t>
        </is>
      </c>
      <c r="F2220" t="inlineStr">
        <is>
          <t>Centro</t>
        </is>
      </c>
      <c r="G2220" t="inlineStr">
        <is>
          <t>Niterói</t>
        </is>
      </c>
      <c r="H2220" t="inlineStr">
        <is>
          <t>RJ</t>
        </is>
      </c>
      <c r="I2220" t="n">
        <v>7745</v>
      </c>
      <c r="J2220" t="inlineStr">
        <is>
          <t>CAT 3</t>
        </is>
      </c>
      <c r="K2220" t="inlineStr">
        <is>
          <t>Sim</t>
        </is>
      </c>
    </row>
    <row r="2221">
      <c r="A2221" s="1">
        <f>HYPERLINK("https://eurofarma-latam-crm.veevavault.com/#object/account__v/V4TZ000018NYQ36", "Túlio Zanchin")</f>
        <v/>
      </c>
      <c r="B2221" s="1">
        <f>HYPERLINK("https://eurofarma-latam-crm.veevavault.com/#object/account__v/V4TZ000018NYQ36", "Túlio Neutzling Zanchin")</f>
        <v/>
      </c>
      <c r="C2221" t="inlineStr">
        <is>
          <t>RJ1066900</t>
        </is>
      </c>
      <c r="D2221" t="inlineStr">
        <is>
          <t>ORL</t>
        </is>
      </c>
      <c r="E2221" t="inlineStr">
        <is>
          <t>Rua Santa Luzia, 50 - A 206</t>
        </is>
      </c>
      <c r="F2221" t="inlineStr">
        <is>
          <t>Centro</t>
        </is>
      </c>
      <c r="G2221" t="inlineStr">
        <is>
          <t>Rio de Janeiro</t>
        </is>
      </c>
      <c r="H2221" t="inlineStr">
        <is>
          <t>RJ</t>
        </is>
      </c>
      <c r="I2221" t="n">
        <v>7745</v>
      </c>
      <c r="J2221" t="inlineStr">
        <is>
          <t>CAT 4</t>
        </is>
      </c>
      <c r="K2221" t="inlineStr">
        <is>
          <t>Sim</t>
        </is>
      </c>
    </row>
    <row r="2222">
      <c r="A2222" s="1">
        <f>HYPERLINK("https://eurofarma-latam-crm.veevavault.com/#object/account__v/V4TZ00001913HQ6", "Valéria Dib")</f>
        <v/>
      </c>
      <c r="B2222" s="1">
        <f>HYPERLINK("https://eurofarma-latam-crm.veevavault.com/#object/account__v/V4TZ00001913HQ6", "Valéria Cury Dib")</f>
        <v/>
      </c>
      <c r="C2222" t="inlineStr">
        <is>
          <t>RJ0581455</t>
        </is>
      </c>
      <c r="D2222" t="inlineStr">
        <is>
          <t>PSQ</t>
        </is>
      </c>
      <c r="E2222" t="inlineStr">
        <is>
          <t>Rua Luiz Leopoldo Fernandes Pinheiro 521</t>
        </is>
      </c>
      <c r="F2222" t="inlineStr">
        <is>
          <t>Centro</t>
        </is>
      </c>
      <c r="G2222" t="inlineStr">
        <is>
          <t>Niterói</t>
        </is>
      </c>
      <c r="H2222" t="inlineStr">
        <is>
          <t>RJ</t>
        </is>
      </c>
      <c r="I2222" t="n">
        <v>7745</v>
      </c>
      <c r="J2222" t="inlineStr">
        <is>
          <t>CAT 1</t>
        </is>
      </c>
      <c r="K2222" t="inlineStr">
        <is>
          <t>Sim</t>
        </is>
      </c>
    </row>
    <row r="2223">
      <c r="A2223" s="1">
        <f>HYPERLINK("https://eurofarma-latam-crm.veevavault.com/#object/account__v/V4TZ000018NXH2F", "Valter Javaroni")</f>
        <v/>
      </c>
      <c r="B2223" s="1">
        <f>HYPERLINK("https://eurofarma-latam-crm.veevavault.com/#object/account__v/V4TZ000018NXH2F", "Valter Javaroni")</f>
        <v/>
      </c>
      <c r="C2223" t="inlineStr">
        <is>
          <t>RJ0575160</t>
        </is>
      </c>
      <c r="D2223" t="inlineStr">
        <is>
          <t>URO</t>
        </is>
      </c>
      <c r="E2223" t="inlineStr">
        <is>
          <t>Rua Leopoldo, 280</t>
        </is>
      </c>
      <c r="F2223" t="inlineStr">
        <is>
          <t>Andaraí</t>
        </is>
      </c>
      <c r="G2223" t="inlineStr">
        <is>
          <t>Rio de Janeiro</t>
        </is>
      </c>
      <c r="H2223" t="inlineStr">
        <is>
          <t>RJ</t>
        </is>
      </c>
      <c r="I2223" t="n">
        <v>7745</v>
      </c>
      <c r="J2223" t="inlineStr">
        <is>
          <t>CAT 4</t>
        </is>
      </c>
      <c r="K2223" t="inlineStr">
        <is>
          <t>Sim</t>
        </is>
      </c>
    </row>
    <row r="2224">
      <c r="A2224" s="1">
        <f>HYPERLINK("https://eurofarma-latam-crm.veevavault.com/#object/account__v/V4TZ00001913UY2", "Vanessa Belmiro")</f>
        <v/>
      </c>
      <c r="B2224" s="1">
        <f>HYPERLINK("https://eurofarma-latam-crm.veevavault.com/#object/account__v/V4TZ00001913UY2", "Vanessa Mendonça Duque Belmiro")</f>
        <v/>
      </c>
      <c r="C2224" t="inlineStr">
        <is>
          <t>RJ0701157</t>
        </is>
      </c>
      <c r="D2224" t="inlineStr">
        <is>
          <t>PED</t>
        </is>
      </c>
      <c r="E2224" t="inlineStr">
        <is>
          <t>Estrada de Jacarepaguá, 7655, 7655 - Sala 401</t>
        </is>
      </c>
      <c r="F2224" t="inlineStr">
        <is>
          <t>Freguesia (Jacarepaguá)</t>
        </is>
      </c>
      <c r="G2224" t="inlineStr">
        <is>
          <t>Rio de Janeiro</t>
        </is>
      </c>
      <c r="H2224" t="inlineStr">
        <is>
          <t>RJ</t>
        </is>
      </c>
      <c r="I2224" t="n">
        <v>7745</v>
      </c>
      <c r="J2224" t="inlineStr">
        <is>
          <t>CAT 4</t>
        </is>
      </c>
      <c r="K2224" t="inlineStr">
        <is>
          <t>Sim</t>
        </is>
      </c>
    </row>
    <row r="2225">
      <c r="A2225" s="1">
        <f>HYPERLINK("https://eurofarma-latam-crm.veevavault.com/#object/account__v/V4TZ00001913OZU", "Vera Lucia Mesquita")</f>
        <v/>
      </c>
      <c r="B2225" s="1">
        <f>HYPERLINK("https://eurofarma-latam-crm.veevavault.com/#object/account__v/V4TZ00001913OZU", "Vera Lucia Pedreira Mesquita")</f>
        <v/>
      </c>
      <c r="C2225" t="inlineStr">
        <is>
          <t>RJ0316340</t>
        </is>
      </c>
      <c r="D2225" t="inlineStr">
        <is>
          <t>ORL</t>
        </is>
      </c>
      <c r="E2225" t="inlineStr">
        <is>
          <t>Rua Sete de Setembro, 92 - Salas 905 a 908</t>
        </is>
      </c>
      <c r="F2225" t="inlineStr">
        <is>
          <t>Centro</t>
        </is>
      </c>
      <c r="G2225" t="inlineStr">
        <is>
          <t>Rio de Janeiro</t>
        </is>
      </c>
      <c r="H2225" t="inlineStr">
        <is>
          <t>RJ</t>
        </is>
      </c>
      <c r="I2225" t="n">
        <v>7745</v>
      </c>
      <c r="J2225" t="inlineStr">
        <is>
          <t>CAT 4</t>
        </is>
      </c>
      <c r="K2225" t="inlineStr">
        <is>
          <t>N�o</t>
        </is>
      </c>
    </row>
    <row r="2226">
      <c r="A2226" s="1">
        <f>HYPERLINK("https://eurofarma-latam-crm.veevavault.com/#object/account__v/V4TZ00001912W6X", "Vera Mastrangelo")</f>
        <v/>
      </c>
      <c r="B2226" s="1">
        <f>HYPERLINK("https://eurofarma-latam-crm.veevavault.com/#object/account__v/V4TZ00001912W6X", "Vera Lucia Mastrangelo")</f>
        <v/>
      </c>
      <c r="C2226" t="inlineStr">
        <is>
          <t>RJ0423010</t>
        </is>
      </c>
      <c r="D2226" t="inlineStr">
        <is>
          <t>PED</t>
        </is>
      </c>
      <c r="E2226" t="inlineStr">
        <is>
          <t>Avenida Feliciano Sodré, 47</t>
        </is>
      </c>
      <c r="F2226" t="inlineStr">
        <is>
          <t>Centro</t>
        </is>
      </c>
      <c r="G2226" t="inlineStr">
        <is>
          <t>Niterói</t>
        </is>
      </c>
      <c r="H2226" t="inlineStr">
        <is>
          <t>RJ</t>
        </is>
      </c>
      <c r="I2226" t="n">
        <v>7745</v>
      </c>
      <c r="J2226" t="inlineStr"/>
      <c r="K2226" t="inlineStr"/>
    </row>
    <row r="2227">
      <c r="A2227" s="1">
        <f>HYPERLINK("https://eurofarma-latam-crm.veevavault.com/#object/account__v/V4TZ00001914W83", "Verena Maximo")</f>
        <v/>
      </c>
      <c r="B2227" s="1">
        <f>HYPERLINK("https://eurofarma-latam-crm.veevavault.com/#object/account__v/V4TZ00001914W83", "Verena Guimarães Coelho Maximo")</f>
        <v/>
      </c>
      <c r="C2227" t="inlineStr">
        <is>
          <t>RJ0959650</t>
        </is>
      </c>
      <c r="D2227" t="inlineStr">
        <is>
          <t>END</t>
        </is>
      </c>
      <c r="E2227" t="inlineStr">
        <is>
          <t>Rua Ator Paulo Gustavo, 26 - Sala 811</t>
        </is>
      </c>
      <c r="F2227" t="inlineStr">
        <is>
          <t>Icaraí</t>
        </is>
      </c>
      <c r="G2227" t="inlineStr">
        <is>
          <t>Niterói</t>
        </is>
      </c>
      <c r="H2227" t="inlineStr">
        <is>
          <t>RJ</t>
        </is>
      </c>
      <c r="I2227" t="n">
        <v>7745</v>
      </c>
      <c r="J2227" t="inlineStr">
        <is>
          <t>CAT 4</t>
        </is>
      </c>
      <c r="K2227" t="inlineStr">
        <is>
          <t>Sim</t>
        </is>
      </c>
    </row>
    <row r="2228">
      <c r="A2228" s="1">
        <f>HYPERLINK("https://eurofarma-latam-crm.veevavault.com/#object/account__v/V4TZ000019144R4", "Victor Luis Rodrigues")</f>
        <v/>
      </c>
      <c r="B2228" s="1">
        <f>HYPERLINK("https://eurofarma-latam-crm.veevavault.com/#object/account__v/V4TZ000019144R4", "Victor Luis Prado de Souza Rodrigues")</f>
        <v/>
      </c>
      <c r="C2228" t="inlineStr">
        <is>
          <t>RJ0903760</t>
        </is>
      </c>
      <c r="D2228" t="inlineStr">
        <is>
          <t>ORT</t>
        </is>
      </c>
      <c r="E2228" t="inlineStr">
        <is>
          <t>Rua Quinze de Novembro, 4 - Bloco 01 Sala 712</t>
        </is>
      </c>
      <c r="F2228" t="inlineStr">
        <is>
          <t>Centro</t>
        </is>
      </c>
      <c r="G2228" t="inlineStr">
        <is>
          <t>Niterói</t>
        </is>
      </c>
      <c r="H2228" t="inlineStr">
        <is>
          <t>RJ</t>
        </is>
      </c>
      <c r="I2228" t="n">
        <v>7745</v>
      </c>
      <c r="J2228" t="inlineStr"/>
      <c r="K2228" t="inlineStr"/>
    </row>
    <row r="2229">
      <c r="A2229" s="1">
        <f>HYPERLINK("https://eurofarma-latam-crm.veevavault.com/#object/account__v/V4TZ00001915WUX", "Victor Pamplona")</f>
        <v/>
      </c>
      <c r="B2229" s="1">
        <f>HYPERLINK("https://eurofarma-latam-crm.veevavault.com/#object/account__v/V4TZ00001915WUX", "Victor Rio Verde Pamplona")</f>
        <v/>
      </c>
      <c r="C2229" t="inlineStr">
        <is>
          <t>RJ1216295</t>
        </is>
      </c>
      <c r="D2229" t="inlineStr">
        <is>
          <t>END</t>
        </is>
      </c>
      <c r="E2229" t="inlineStr">
        <is>
          <t>Rua Moncorvo Filho, 90</t>
        </is>
      </c>
      <c r="F2229" t="inlineStr">
        <is>
          <t>Centro</t>
        </is>
      </c>
      <c r="G2229" t="inlineStr">
        <is>
          <t>Rio de Janeiro</t>
        </is>
      </c>
      <c r="H2229" t="inlineStr">
        <is>
          <t>RJ</t>
        </is>
      </c>
      <c r="I2229" t="n">
        <v>7745</v>
      </c>
      <c r="J2229" t="inlineStr">
        <is>
          <t>CAT 5</t>
        </is>
      </c>
      <c r="K2229" t="inlineStr">
        <is>
          <t>N�o</t>
        </is>
      </c>
    </row>
    <row r="2230">
      <c r="A2230" s="1">
        <f>HYPERLINK("https://eurofarma-latam-crm.veevavault.com/#object/account__v/V4TZ025E8FHRPQ2", "Vinicius de Oliveira")</f>
        <v/>
      </c>
      <c r="B2230" s="1">
        <f>HYPERLINK("https://eurofarma-latam-crm.veevavault.com/#object/account__v/V4TZ025E8FHRPQ2", "Vinicius Feliciano de Oliveira")</f>
        <v/>
      </c>
      <c r="C2230" t="inlineStr">
        <is>
          <t>RJ1069330</t>
        </is>
      </c>
      <c r="D2230" t="inlineStr">
        <is>
          <t>END</t>
        </is>
      </c>
      <c r="E2230" t="inlineStr">
        <is>
          <t>Rua Santa Luzia, 206</t>
        </is>
      </c>
      <c r="F2230" t="inlineStr">
        <is>
          <t>Centro</t>
        </is>
      </c>
      <c r="G2230" t="inlineStr">
        <is>
          <t>Rio de Janeiro</t>
        </is>
      </c>
      <c r="H2230" t="inlineStr">
        <is>
          <t>RJ</t>
        </is>
      </c>
      <c r="I2230" t="n">
        <v>7745</v>
      </c>
      <c r="J2230" t="inlineStr"/>
      <c r="K2230" t="inlineStr"/>
    </row>
    <row r="2231">
      <c r="A2231" s="1">
        <f>HYPERLINK("https://eurofarma-latam-crm.veevavault.com/#object/account__v/V4TZ025E8EY4JUM", "Vívian Almeida")</f>
        <v/>
      </c>
      <c r="B2231" s="1">
        <f>HYPERLINK("https://eurofarma-latam-crm.veevavault.com/#object/account__v/V4TZ025E8EY4JUM", "Vívian de Castro Almeida")</f>
        <v/>
      </c>
      <c r="C2231" t="inlineStr">
        <is>
          <t>MG0084617,RJ1402819</t>
        </is>
      </c>
      <c r="D2231" t="inlineStr">
        <is>
          <t>END</t>
        </is>
      </c>
      <c r="E2231" t="inlineStr">
        <is>
          <t>Rua Moncorvo Filho, 90</t>
        </is>
      </c>
      <c r="F2231" t="inlineStr">
        <is>
          <t>Centro</t>
        </is>
      </c>
      <c r="G2231" t="inlineStr">
        <is>
          <t>Rio de Janeiro</t>
        </is>
      </c>
      <c r="H2231" t="inlineStr">
        <is>
          <t>RJ</t>
        </is>
      </c>
      <c r="I2231" t="n">
        <v>7745</v>
      </c>
      <c r="J2231" t="inlineStr">
        <is>
          <t>CAT 5</t>
        </is>
      </c>
      <c r="K2231" t="inlineStr">
        <is>
          <t>N�o</t>
        </is>
      </c>
    </row>
    <row r="2232">
      <c r="A2232" s="1">
        <f>HYPERLINK("https://eurofarma-latam-crm.veevavault.com/#object/account__v/V4TZ00001914CP6", "Walter Francisco Ebecken")</f>
        <v/>
      </c>
      <c r="B2232" s="1">
        <f>HYPERLINK("https://eurofarma-latam-crm.veevavault.com/#object/account__v/V4TZ00001914CP6", "Walter Francisco Favilla Ebecken")</f>
        <v/>
      </c>
      <c r="C2232" t="inlineStr">
        <is>
          <t>RJ0377518</t>
        </is>
      </c>
      <c r="D2232" t="inlineStr">
        <is>
          <t>NEU</t>
        </is>
      </c>
      <c r="E2232" t="inlineStr">
        <is>
          <t>Avenida Almirante Ary Parreiras, 643</t>
        </is>
      </c>
      <c r="F2232" t="inlineStr">
        <is>
          <t>Icaraí</t>
        </is>
      </c>
      <c r="G2232" t="inlineStr">
        <is>
          <t>Niterói</t>
        </is>
      </c>
      <c r="H2232" t="inlineStr">
        <is>
          <t>RJ</t>
        </is>
      </c>
      <c r="I2232" t="n">
        <v>7745</v>
      </c>
      <c r="J2232" t="inlineStr">
        <is>
          <t>CAT 3</t>
        </is>
      </c>
      <c r="K2232" t="inlineStr">
        <is>
          <t>Sim</t>
        </is>
      </c>
    </row>
    <row r="2233">
      <c r="A2233" s="1">
        <f>HYPERLINK("https://eurofarma-latam-crm.veevavault.com/#object/account__v/V4TZ000018NXK1D", "Walter Silva")</f>
        <v/>
      </c>
      <c r="B2233" s="1">
        <f>HYPERLINK("https://eurofarma-latam-crm.veevavault.com/#object/account__v/V4TZ000018NXK1D", "Walter de Araujo Eyer Silva")</f>
        <v/>
      </c>
      <c r="C2233" t="inlineStr">
        <is>
          <t>RJ0541711</t>
        </is>
      </c>
      <c r="D2233" t="inlineStr">
        <is>
          <t>ORL</t>
        </is>
      </c>
      <c r="E2233" t="inlineStr">
        <is>
          <t>Rua Mariz e Barros, 775</t>
        </is>
      </c>
      <c r="F2233" t="inlineStr">
        <is>
          <t>Maracanã</t>
        </is>
      </c>
      <c r="G2233" t="inlineStr">
        <is>
          <t>Rio de Janeiro</t>
        </is>
      </c>
      <c r="H2233" t="inlineStr">
        <is>
          <t>RJ</t>
        </is>
      </c>
      <c r="I2233" t="n">
        <v>7745</v>
      </c>
      <c r="J2233" t="inlineStr">
        <is>
          <t>CAT 3</t>
        </is>
      </c>
      <c r="K2233" t="inlineStr">
        <is>
          <t>Sim</t>
        </is>
      </c>
    </row>
    <row r="2234">
      <c r="A2234" s="1">
        <f>HYPERLINK("https://eurofarma-latam-crm.veevavault.com/#object/account__v/V4TZ000018NYWUW", "Wendy Yuri Uno")</f>
        <v/>
      </c>
      <c r="B2234" s="1">
        <f>HYPERLINK("https://eurofarma-latam-crm.veevavault.com/#object/account__v/V4TZ000018NYWUW", "Wendy Yuri Uno")</f>
        <v/>
      </c>
      <c r="C2234" t="inlineStr">
        <is>
          <t>RJ1066595</t>
        </is>
      </c>
      <c r="D2234" t="inlineStr">
        <is>
          <t>ORT</t>
        </is>
      </c>
      <c r="E2234" t="inlineStr">
        <is>
          <t>Avenida Presidente Vargas, 914</t>
        </is>
      </c>
      <c r="F2234" t="inlineStr">
        <is>
          <t>Centro</t>
        </is>
      </c>
      <c r="G2234" t="inlineStr">
        <is>
          <t>Rio de Janeiro</t>
        </is>
      </c>
      <c r="H2234" t="inlineStr">
        <is>
          <t>RJ</t>
        </is>
      </c>
      <c r="I2234" t="n">
        <v>7745</v>
      </c>
      <c r="J2234" t="inlineStr">
        <is>
          <t>CAT 4</t>
        </is>
      </c>
      <c r="K2234" t="inlineStr">
        <is>
          <t>Sim</t>
        </is>
      </c>
    </row>
    <row r="2235">
      <c r="A2235" s="1">
        <f>HYPERLINK("https://eurofarma-latam-crm.veevavault.com/#object/account__v/V4TZ000018NXHMZ", "Wiler Vasconcellos")</f>
        <v/>
      </c>
      <c r="B2235" s="1">
        <f>HYPERLINK("https://eurofarma-latam-crm.veevavault.com/#object/account__v/V4TZ000018NXHMZ", "Wiler Vasconcellos")</f>
        <v/>
      </c>
      <c r="C2235" t="inlineStr">
        <is>
          <t>RJ0903043</t>
        </is>
      </c>
      <c r="D2235" t="inlineStr">
        <is>
          <t>CLG / END</t>
        </is>
      </c>
      <c r="E2235" t="inlineStr">
        <is>
          <t>Avenida Nossa Senhora de Copacabana, 1155 - Loja</t>
        </is>
      </c>
      <c r="F2235" t="inlineStr">
        <is>
          <t>Copacabana</t>
        </is>
      </c>
      <c r="G2235" t="inlineStr">
        <is>
          <t>Rio de Janeiro</t>
        </is>
      </c>
      <c r="H2235" t="inlineStr">
        <is>
          <t>RJ</t>
        </is>
      </c>
      <c r="I2235" t="n">
        <v>7745</v>
      </c>
      <c r="J2235" t="inlineStr">
        <is>
          <t>CAT 2</t>
        </is>
      </c>
      <c r="K2235" t="inlineStr">
        <is>
          <t>Sim</t>
        </is>
      </c>
    </row>
    <row r="2236">
      <c r="A2236" s="1">
        <f>HYPERLINK("https://eurofarma-latam-crm.veevavault.com/#object/account__v/V4T00000001N132", "Acram Francis")</f>
        <v/>
      </c>
      <c r="B2236" s="1">
        <f>HYPERLINK("https://eurofarma-latam-crm.veevavault.com/#object/account__v/V4T00000001N132", "Acram Fares Francis")</f>
        <v/>
      </c>
      <c r="C2236" t="inlineStr">
        <is>
          <t>RJ0594819</t>
        </is>
      </c>
      <c r="D2236" t="inlineStr">
        <is>
          <t>CLG</t>
        </is>
      </c>
      <c r="E2236" t="inlineStr">
        <is>
          <t>Rua Hum, 2</t>
        </is>
      </c>
      <c r="F2236" t="inlineStr">
        <is>
          <t>Parque das Missões</t>
        </is>
      </c>
      <c r="G2236" t="inlineStr">
        <is>
          <t>Duque de Caxias</t>
        </is>
      </c>
      <c r="H2236" t="inlineStr">
        <is>
          <t>RJ</t>
        </is>
      </c>
      <c r="I2236" t="n">
        <v>7748</v>
      </c>
      <c r="J2236" t="inlineStr"/>
      <c r="K2236" t="inlineStr"/>
    </row>
    <row r="2237">
      <c r="A2237" s="1">
        <f>HYPERLINK("https://eurofarma-latam-crm.veevavault.com/#object/account__v/V4TZ000019145SY", "Adriana dos Santos")</f>
        <v/>
      </c>
      <c r="B2237" s="1">
        <f>HYPERLINK("https://eurofarma-latam-crm.veevavault.com/#object/account__v/V4TZ000019145SY", "Adriana Belchior dos Santos")</f>
        <v/>
      </c>
      <c r="C2237" t="inlineStr">
        <is>
          <t>RJ1238019</t>
        </is>
      </c>
      <c r="D2237" t="inlineStr">
        <is>
          <t>PED</t>
        </is>
      </c>
      <c r="E2237" t="inlineStr">
        <is>
          <t>Rua Presidente Costa e Silva, S/N</t>
        </is>
      </c>
      <c r="F2237" t="inlineStr">
        <is>
          <t>Edson Passos</t>
        </is>
      </c>
      <c r="G2237" t="inlineStr">
        <is>
          <t>Mesquita</t>
        </is>
      </c>
      <c r="H2237" t="inlineStr">
        <is>
          <t>RJ</t>
        </is>
      </c>
      <c r="I2237" t="n">
        <v>7748</v>
      </c>
      <c r="J2237" t="inlineStr">
        <is>
          <t>CAT 5</t>
        </is>
      </c>
      <c r="K2237" t="inlineStr">
        <is>
          <t>Sim</t>
        </is>
      </c>
    </row>
    <row r="2238">
      <c r="A2238" s="1">
        <f>HYPERLINK("https://eurofarma-latam-crm.veevavault.com/#object/account__v/V4TZ025E8BBCGVK", "Adriano Agostinho Alves")</f>
        <v/>
      </c>
      <c r="B2238" s="1">
        <f>HYPERLINK("https://eurofarma-latam-crm.veevavault.com/#object/account__v/V4TZ025E8BBCGVK", "Adriano Agostinho Alves")</f>
        <v/>
      </c>
      <c r="C2238" t="inlineStr">
        <is>
          <t>RJ1363853</t>
        </is>
      </c>
      <c r="D2238" t="inlineStr">
        <is>
          <t>CLG / PA</t>
        </is>
      </c>
      <c r="E2238" t="inlineStr">
        <is>
          <t>Avenida Dr Alvaro Lessa, 110</t>
        </is>
      </c>
      <c r="F2238" t="inlineStr">
        <is>
          <t>Rocha Sobrinho</t>
        </is>
      </c>
      <c r="G2238" t="inlineStr">
        <is>
          <t>Mesquita</t>
        </is>
      </c>
      <c r="H2238" t="inlineStr">
        <is>
          <t>RJ</t>
        </is>
      </c>
      <c r="I2238" t="n">
        <v>7748</v>
      </c>
      <c r="J2238" t="inlineStr">
        <is>
          <t>CAT 5</t>
        </is>
      </c>
      <c r="K2238" t="inlineStr">
        <is>
          <t>N�o</t>
        </is>
      </c>
    </row>
    <row r="2239">
      <c r="A2239" s="1">
        <f>HYPERLINK("https://eurofarma-latam-crm.veevavault.com/#object/account__v/V4TZ025E86549ER", "Adriano Augusto Villela")</f>
        <v/>
      </c>
      <c r="B2239" s="1">
        <f>HYPERLINK("https://eurofarma-latam-crm.veevavault.com/#object/account__v/V4TZ025E86549ER", "Adriano Augusto Mascarenhas Villela")</f>
        <v/>
      </c>
      <c r="C2239" t="inlineStr">
        <is>
          <t>RJ1314335</t>
        </is>
      </c>
      <c r="D2239" t="inlineStr">
        <is>
          <t>PSQ</t>
        </is>
      </c>
      <c r="E2239" t="inlineStr">
        <is>
          <t>Rua Dom Marcos Barbosa, 2 - Loja I</t>
        </is>
      </c>
      <c r="F2239" t="inlineStr">
        <is>
          <t>Cidade Nova</t>
        </is>
      </c>
      <c r="G2239" t="inlineStr">
        <is>
          <t>Rio de Janeiro</t>
        </is>
      </c>
      <c r="H2239" t="inlineStr">
        <is>
          <t>RJ</t>
        </is>
      </c>
      <c r="I2239" t="n">
        <v>7748</v>
      </c>
      <c r="J2239" t="inlineStr">
        <is>
          <t>CAT 2</t>
        </is>
      </c>
      <c r="K2239" t="inlineStr">
        <is>
          <t>Sim</t>
        </is>
      </c>
    </row>
    <row r="2240">
      <c r="A2240" s="1">
        <f>HYPERLINK("https://eurofarma-latam-crm.veevavault.com/#object/account__v/V4TZ000018NXVL8", "Afonso Vieira Junior")</f>
        <v/>
      </c>
      <c r="B2240" s="1">
        <f>HYPERLINK("https://eurofarma-latam-crm.veevavault.com/#object/account__v/V4TZ000018NXVL8", "Afonso Alves Vieira Junior")</f>
        <v/>
      </c>
      <c r="C2240" t="inlineStr">
        <is>
          <t>RJ0556173</t>
        </is>
      </c>
      <c r="D2240" t="inlineStr">
        <is>
          <t>PSQ</t>
        </is>
      </c>
      <c r="E2240" t="inlineStr">
        <is>
          <t>Parque Vital Brasil, S/N</t>
        </is>
      </c>
      <c r="F2240" t="inlineStr">
        <is>
          <t>Vital Brazil</t>
        </is>
      </c>
      <c r="G2240" t="inlineStr">
        <is>
          <t>Niterói</t>
        </is>
      </c>
      <c r="H2240" t="inlineStr">
        <is>
          <t>RJ</t>
        </is>
      </c>
      <c r="I2240" t="n">
        <v>7748</v>
      </c>
      <c r="J2240" t="inlineStr">
        <is>
          <t>CAT 2</t>
        </is>
      </c>
      <c r="K2240" t="inlineStr">
        <is>
          <t>Sim</t>
        </is>
      </c>
    </row>
    <row r="2241">
      <c r="A2241" s="1">
        <f>HYPERLINK("https://eurofarma-latam-crm.veevavault.com/#object/account__v/V4TZ000018NXPD0", "Alessandra Silva")</f>
        <v/>
      </c>
      <c r="B2241" s="1">
        <f>HYPERLINK("https://eurofarma-latam-crm.veevavault.com/#object/account__v/V4TZ000018NXPD0", "Alessandra Rodrigues Silva")</f>
        <v/>
      </c>
      <c r="C2241" t="inlineStr">
        <is>
          <t>RJ0962066,SP0207567</t>
        </is>
      </c>
      <c r="D2241" t="inlineStr">
        <is>
          <t>PED</t>
        </is>
      </c>
      <c r="E2241" t="inlineStr">
        <is>
          <t>Avenida Cesário de Melo, 3146</t>
        </is>
      </c>
      <c r="F2241" t="inlineStr">
        <is>
          <t>Campo Grande</t>
        </is>
      </c>
      <c r="G2241" t="inlineStr">
        <is>
          <t>Rio de Janeiro</t>
        </is>
      </c>
      <c r="H2241" t="inlineStr">
        <is>
          <t>RJ</t>
        </is>
      </c>
      <c r="I2241" t="n">
        <v>7748</v>
      </c>
      <c r="J2241" t="inlineStr">
        <is>
          <t>CAT 4</t>
        </is>
      </c>
      <c r="K2241" t="inlineStr">
        <is>
          <t>Sim</t>
        </is>
      </c>
    </row>
    <row r="2242">
      <c r="A2242" s="1">
        <f>HYPERLINK("https://eurofarma-latam-crm.veevavault.com/#object/account__v/V4TZ00001914F3P", "Alex Cesar Ferreira")</f>
        <v/>
      </c>
      <c r="B2242" s="1">
        <f>HYPERLINK("https://eurofarma-latam-crm.veevavault.com/#object/account__v/V4TZ00001914F3P", "Alex Cesar Ferreira")</f>
        <v/>
      </c>
      <c r="C2242" t="inlineStr">
        <is>
          <t>RJ1269038</t>
        </is>
      </c>
      <c r="D2242" t="inlineStr">
        <is>
          <t>CLG / PA</t>
        </is>
      </c>
      <c r="E2242" t="inlineStr">
        <is>
          <t>Rua Major Ávila, 260 - Sala 401 4° Andar</t>
        </is>
      </c>
      <c r="F2242" t="inlineStr">
        <is>
          <t>Tijuca</t>
        </is>
      </c>
      <c r="G2242" t="inlineStr">
        <is>
          <t>Rio de Janeiro</t>
        </is>
      </c>
      <c r="H2242" t="inlineStr">
        <is>
          <t>RJ</t>
        </is>
      </c>
      <c r="I2242" t="n">
        <v>7748</v>
      </c>
      <c r="J2242" t="inlineStr">
        <is>
          <t>CAT 3</t>
        </is>
      </c>
      <c r="K2242" t="inlineStr">
        <is>
          <t>Sim</t>
        </is>
      </c>
    </row>
    <row r="2243">
      <c r="A2243" s="1">
        <f>HYPERLINK("https://eurofarma-latam-crm.veevavault.com/#object/account__v/V4TZ025E8F6B2BK", "Aline Barbosa")</f>
        <v/>
      </c>
      <c r="B2243" s="1">
        <f>HYPERLINK("https://eurofarma-latam-crm.veevavault.com/#object/account__v/V4TZ025E8F6B2BK", "Aline Rosemberger Barbosa")</f>
        <v/>
      </c>
      <c r="C2243" t="inlineStr">
        <is>
          <t>RJ1373706</t>
        </is>
      </c>
      <c r="D2243" t="inlineStr">
        <is>
          <t>PED</t>
        </is>
      </c>
      <c r="E2243" t="inlineStr">
        <is>
          <t>Avenida Dagmar Simões de Souza, 54</t>
        </is>
      </c>
      <c r="F2243" t="inlineStr">
        <is>
          <t>Miguel Couto</t>
        </is>
      </c>
      <c r="G2243" t="inlineStr">
        <is>
          <t>Nova Iguaçu</t>
        </is>
      </c>
      <c r="H2243" t="inlineStr">
        <is>
          <t>RJ</t>
        </is>
      </c>
      <c r="I2243" t="n">
        <v>7748</v>
      </c>
      <c r="J2243" t="inlineStr">
        <is>
          <t>CAT 5</t>
        </is>
      </c>
      <c r="K2243" t="inlineStr">
        <is>
          <t>Sim</t>
        </is>
      </c>
    </row>
    <row r="2244">
      <c r="A2244" s="1">
        <f>HYPERLINK("https://eurofarma-latam-crm.veevavault.com/#object/account__v/V4TZ000018NXYXY", "Aline Salvany")</f>
        <v/>
      </c>
      <c r="B2244" s="1">
        <f>HYPERLINK("https://eurofarma-latam-crm.veevavault.com/#object/account__v/V4TZ000018NXYXY", "Aline Marcolan Salvany")</f>
        <v/>
      </c>
      <c r="C2244" t="inlineStr">
        <is>
          <t>RJ1014102</t>
        </is>
      </c>
      <c r="D2244" t="inlineStr">
        <is>
          <t>CLG / END</t>
        </is>
      </c>
      <c r="E2244" t="inlineStr">
        <is>
          <t>Rua Nicomédio Anselmo de Oliveira, 50</t>
        </is>
      </c>
      <c r="F2244" t="inlineStr">
        <is>
          <t>Centro</t>
        </is>
      </c>
      <c r="G2244" t="inlineStr">
        <is>
          <t>Guapimirim</t>
        </is>
      </c>
      <c r="H2244" t="inlineStr">
        <is>
          <t>RJ</t>
        </is>
      </c>
      <c r="I2244" t="n">
        <v>7748</v>
      </c>
      <c r="J2244" t="inlineStr">
        <is>
          <t>CAT 5</t>
        </is>
      </c>
      <c r="K2244" t="inlineStr">
        <is>
          <t>Sim</t>
        </is>
      </c>
    </row>
    <row r="2245">
      <c r="A2245" s="1">
        <f>HYPERLINK("https://eurofarma-latam-crm.veevavault.com/#object/account__v/V4TZ000018NZ9IO", "Alipio de Mattos Junior")</f>
        <v/>
      </c>
      <c r="B2245" s="1">
        <f>HYPERLINK("https://eurofarma-latam-crm.veevavault.com/#object/account__v/V4TZ000018NZ9IO", "Alipio Bernabe de Mattos Junior")</f>
        <v/>
      </c>
      <c r="C2245" t="inlineStr">
        <is>
          <t>RJ0625310</t>
        </is>
      </c>
      <c r="D2245" t="inlineStr">
        <is>
          <t>ORT</t>
        </is>
      </c>
      <c r="E2245" t="inlineStr">
        <is>
          <t>Rua Otávio Tarquino, 410 - Sala 208</t>
        </is>
      </c>
      <c r="F2245" t="inlineStr">
        <is>
          <t>Centro</t>
        </is>
      </c>
      <c r="G2245" t="inlineStr">
        <is>
          <t>Nova Iguaçu</t>
        </is>
      </c>
      <c r="H2245" t="inlineStr">
        <is>
          <t>RJ</t>
        </is>
      </c>
      <c r="I2245" t="n">
        <v>7748</v>
      </c>
      <c r="J2245" t="inlineStr">
        <is>
          <t>CAT 3</t>
        </is>
      </c>
      <c r="K2245" t="inlineStr">
        <is>
          <t>Sim</t>
        </is>
      </c>
    </row>
    <row r="2246">
      <c r="A2246" s="1">
        <f>HYPERLINK("https://eurofarma-latam-crm.veevavault.com/#object/account__v/V4TZ000018NZ40R", "Allisson Machado")</f>
        <v/>
      </c>
      <c r="B2246" s="1">
        <f>HYPERLINK("https://eurofarma-latam-crm.veevavault.com/#object/account__v/V4TZ000018NZ40R", "Allisson de Almeida Machado")</f>
        <v/>
      </c>
      <c r="C2246" t="inlineStr">
        <is>
          <t>RJ1243870</t>
        </is>
      </c>
      <c r="D2246" t="inlineStr">
        <is>
          <t>PED</t>
        </is>
      </c>
      <c r="E2246" t="inlineStr">
        <is>
          <t>Rua Papa Pio XII, 90</t>
        </is>
      </c>
      <c r="F2246" t="inlineStr">
        <is>
          <t>Figueira</t>
        </is>
      </c>
      <c r="G2246" t="inlineStr">
        <is>
          <t>Magé</t>
        </is>
      </c>
      <c r="H2246" t="inlineStr">
        <is>
          <t>RJ</t>
        </is>
      </c>
      <c r="I2246" t="n">
        <v>7748</v>
      </c>
      <c r="J2246" t="inlineStr">
        <is>
          <t>CAT 4</t>
        </is>
      </c>
      <c r="K2246" t="inlineStr">
        <is>
          <t>Sim</t>
        </is>
      </c>
    </row>
    <row r="2247">
      <c r="A2247" s="1">
        <f>HYPERLINK("https://eurofarma-latam-crm.veevavault.com/#object/account__v/V4TZ00001913CU7", "Amanda Luzia Macedo")</f>
        <v/>
      </c>
      <c r="B2247" s="1">
        <f>HYPERLINK("https://eurofarma-latam-crm.veevavault.com/#object/account__v/V4TZ00001913CU7", "Amanda Luzia de Souza Macedo")</f>
        <v/>
      </c>
      <c r="C2247" t="inlineStr">
        <is>
          <t>RJ1107356</t>
        </is>
      </c>
      <c r="D2247" t="inlineStr">
        <is>
          <t>CLG / PA</t>
        </is>
      </c>
      <c r="E2247" t="inlineStr">
        <is>
          <t>Avenida Roberto Silveira, S/N</t>
        </is>
      </c>
      <c r="F2247" t="inlineStr">
        <is>
          <t>Praia de Olaria (Guia de Pacobaíba)</t>
        </is>
      </c>
      <c r="G2247" t="inlineStr">
        <is>
          <t>Magé</t>
        </is>
      </c>
      <c r="H2247" t="inlineStr">
        <is>
          <t>RJ</t>
        </is>
      </c>
      <c r="I2247" t="n">
        <v>7748</v>
      </c>
      <c r="J2247" t="inlineStr">
        <is>
          <t>CAT 5</t>
        </is>
      </c>
      <c r="K2247" t="inlineStr">
        <is>
          <t>Sim</t>
        </is>
      </c>
    </row>
    <row r="2248">
      <c r="A2248" s="1">
        <f>HYPERLINK("https://eurofarma-latam-crm.veevavault.com/#object/account__v/V4TZ025E8COVM5U", "Amanda Torres")</f>
        <v/>
      </c>
      <c r="B2248" s="1">
        <f>HYPERLINK("https://eurofarma-latam-crm.veevavault.com/#object/account__v/V4TZ025E8COVM5U", "Amanda Barbosa Torres")</f>
        <v/>
      </c>
      <c r="C2248" t="inlineStr">
        <is>
          <t>RJ1365377</t>
        </is>
      </c>
      <c r="D2248" t="inlineStr">
        <is>
          <t>CLG / PA</t>
        </is>
      </c>
      <c r="E2248" t="inlineStr">
        <is>
          <t>Rua Augusto de Vasconcelos, 606</t>
        </is>
      </c>
      <c r="F2248" t="inlineStr">
        <is>
          <t>Campo Grande</t>
        </is>
      </c>
      <c r="G2248" t="inlineStr">
        <is>
          <t>Rio de Janeiro</t>
        </is>
      </c>
      <c r="H2248" t="inlineStr">
        <is>
          <t>RJ</t>
        </is>
      </c>
      <c r="I2248" t="n">
        <v>7748</v>
      </c>
      <c r="J2248" t="inlineStr">
        <is>
          <t>CAT 4</t>
        </is>
      </c>
      <c r="K2248" t="inlineStr">
        <is>
          <t>Sim</t>
        </is>
      </c>
    </row>
    <row r="2249">
      <c r="A2249" s="1">
        <f>HYPERLINK("https://eurofarma-latam-crm.veevavault.com/#object/account__v/V4TZ025E8F9OMJV", "Ana Beatriz Vieira")</f>
        <v/>
      </c>
      <c r="B2249" s="1">
        <f>HYPERLINK("https://eurofarma-latam-crm.veevavault.com/#object/account__v/V4TZ025E8F9OMJV", "Ana Beatriz Marinho Vieira")</f>
        <v/>
      </c>
      <c r="C2249" t="inlineStr">
        <is>
          <t>MG0113169,RJ1403883</t>
        </is>
      </c>
      <c r="D2249" t="inlineStr">
        <is>
          <t>CLG / PA</t>
        </is>
      </c>
      <c r="E2249" t="inlineStr">
        <is>
          <t>Rua Oswaldo Cruz, S/N</t>
        </is>
      </c>
      <c r="F2249" t="inlineStr">
        <is>
          <t>Bananal</t>
        </is>
      </c>
      <c r="G2249" t="inlineStr">
        <is>
          <t>Guapimirim</t>
        </is>
      </c>
      <c r="H2249" t="inlineStr">
        <is>
          <t>RJ</t>
        </is>
      </c>
      <c r="I2249" t="n">
        <v>7748</v>
      </c>
      <c r="J2249" t="inlineStr">
        <is>
          <t>CAT 5</t>
        </is>
      </c>
      <c r="K2249" t="inlineStr">
        <is>
          <t>N�o</t>
        </is>
      </c>
    </row>
    <row r="2250">
      <c r="A2250" s="1">
        <f>HYPERLINK("https://eurofarma-latam-crm.veevavault.com/#object/account__v/V4TZ025E8BI4D9Z", "Ana Clara Pereira")</f>
        <v/>
      </c>
      <c r="B2250" s="1">
        <f>HYPERLINK("https://eurofarma-latam-crm.veevavault.com/#object/account__v/V4TZ025E8BI4D9Z", "Ana Clara Fiuza Pereira")</f>
        <v/>
      </c>
      <c r="C2250" t="inlineStr">
        <is>
          <t>RJ1354582</t>
        </is>
      </c>
      <c r="D2250" t="inlineStr">
        <is>
          <t>CLG / PA</t>
        </is>
      </c>
      <c r="E2250" t="inlineStr">
        <is>
          <t>Rua Judith Maurício de Paula, 40</t>
        </is>
      </c>
      <c r="F2250" t="inlineStr">
        <is>
          <t>Iucas</t>
        </is>
      </c>
      <c r="G2250" t="inlineStr">
        <is>
          <t>Teresópolis</t>
        </is>
      </c>
      <c r="H2250" t="inlineStr">
        <is>
          <t>RJ</t>
        </is>
      </c>
      <c r="I2250" t="n">
        <v>7748</v>
      </c>
      <c r="J2250" t="inlineStr">
        <is>
          <t>CAT 5</t>
        </is>
      </c>
      <c r="K2250" t="inlineStr">
        <is>
          <t>Sim</t>
        </is>
      </c>
    </row>
    <row r="2251">
      <c r="A2251" s="1">
        <f>HYPERLINK("https://eurofarma-latam-crm.veevavault.com/#object/account__v/V4TZ025E8F5CLYN", "Ana Lovatte")</f>
        <v/>
      </c>
      <c r="B2251" s="1">
        <f>HYPERLINK("https://eurofarma-latam-crm.veevavault.com/#object/account__v/V4TZ025E8F5CLYN", "Ana Beatriz De Andrade Lovatte")</f>
        <v/>
      </c>
      <c r="C2251" t="inlineStr">
        <is>
          <t>RJ1386003</t>
        </is>
      </c>
      <c r="D2251" t="inlineStr">
        <is>
          <t>CLG / PA</t>
        </is>
      </c>
      <c r="E2251" t="inlineStr">
        <is>
          <t>Rua Oswaldo Cruz, S/N</t>
        </is>
      </c>
      <c r="F2251" t="inlineStr">
        <is>
          <t>Bananal</t>
        </is>
      </c>
      <c r="G2251" t="inlineStr">
        <is>
          <t>Guapimirim</t>
        </is>
      </c>
      <c r="H2251" t="inlineStr">
        <is>
          <t>RJ</t>
        </is>
      </c>
      <c r="I2251" t="n">
        <v>7748</v>
      </c>
      <c r="J2251" t="inlineStr">
        <is>
          <t>CAT 5</t>
        </is>
      </c>
      <c r="K2251" t="inlineStr">
        <is>
          <t>N�o</t>
        </is>
      </c>
    </row>
    <row r="2252">
      <c r="A2252" s="1">
        <f>HYPERLINK("https://eurofarma-latam-crm.veevavault.com/#object/account__v/V4TZ00001913KPZ", "Ana Maria Chagas")</f>
        <v/>
      </c>
      <c r="B2252" s="1">
        <f>HYPERLINK("https://eurofarma-latam-crm.veevavault.com/#object/account__v/V4TZ00001913KPZ", "Ana Maria Monteiro Chagas")</f>
        <v/>
      </c>
      <c r="C2252" t="inlineStr">
        <is>
          <t>RJ1155377</t>
        </is>
      </c>
      <c r="D2252" t="inlineStr">
        <is>
          <t>PED</t>
        </is>
      </c>
      <c r="E2252" t="inlineStr">
        <is>
          <t>Rua Dez De Maio, 491 - Loja 2 e 3</t>
        </is>
      </c>
      <c r="F2252" t="inlineStr">
        <is>
          <t>Centro</t>
        </is>
      </c>
      <c r="G2252" t="inlineStr">
        <is>
          <t>Itaperuna</t>
        </is>
      </c>
      <c r="H2252" t="inlineStr">
        <is>
          <t>RJ</t>
        </is>
      </c>
      <c r="I2252" t="n">
        <v>7748</v>
      </c>
      <c r="J2252" t="inlineStr">
        <is>
          <t>CAT 5</t>
        </is>
      </c>
      <c r="K2252" t="inlineStr">
        <is>
          <t>Sim</t>
        </is>
      </c>
    </row>
    <row r="2253">
      <c r="A2253" s="1">
        <f>HYPERLINK("https://eurofarma-latam-crm.veevavault.com/#object/account__v/V4TZ000018NY06D", "Ana Tavares")</f>
        <v/>
      </c>
      <c r="B2253" s="1">
        <f>HYPERLINK("https://eurofarma-latam-crm.veevavault.com/#object/account__v/V4TZ000018NY06D", "Ana Paula Ferreira Pinto Tavares")</f>
        <v/>
      </c>
      <c r="C2253" t="inlineStr">
        <is>
          <t>RJ0658561</t>
        </is>
      </c>
      <c r="D2253" t="inlineStr">
        <is>
          <t>PED</t>
        </is>
      </c>
      <c r="E2253" t="inlineStr">
        <is>
          <t>Rua Mariano Sendra dos Santos, 25</t>
        </is>
      </c>
      <c r="F2253" t="inlineStr">
        <is>
          <t>Centro</t>
        </is>
      </c>
      <c r="G2253" t="inlineStr">
        <is>
          <t>Duque de Caxias</t>
        </is>
      </c>
      <c r="H2253" t="inlineStr">
        <is>
          <t>RJ</t>
        </is>
      </c>
      <c r="I2253" t="n">
        <v>7748</v>
      </c>
      <c r="J2253" t="inlineStr">
        <is>
          <t>CAT 4</t>
        </is>
      </c>
      <c r="K2253" t="inlineStr">
        <is>
          <t>Sim</t>
        </is>
      </c>
    </row>
    <row r="2254">
      <c r="A2254" s="1">
        <f>HYPERLINK("https://eurofarma-latam-crm.veevavault.com/#object/account__v/V4TZ025E8EZBZFM", "Ana Vasconcellos")</f>
        <v/>
      </c>
      <c r="B2254" s="1">
        <f>HYPERLINK("https://eurofarma-latam-crm.veevavault.com/#object/account__v/V4TZ025E8EZBZFM", "Ana Beatriz Ferreira De Vasconcellos")</f>
        <v/>
      </c>
      <c r="C2254" t="inlineStr">
        <is>
          <t>RJ1375826</t>
        </is>
      </c>
      <c r="D2254" t="inlineStr">
        <is>
          <t>PED</t>
        </is>
      </c>
      <c r="E2254" t="inlineStr">
        <is>
          <t>Rua Marechal Joaquim Inácio, S/N</t>
        </is>
      </c>
      <c r="F2254" t="inlineStr">
        <is>
          <t>Realengo</t>
        </is>
      </c>
      <c r="G2254" t="inlineStr">
        <is>
          <t>Rio de Janeiro</t>
        </is>
      </c>
      <c r="H2254" t="inlineStr">
        <is>
          <t>RJ</t>
        </is>
      </c>
      <c r="I2254" t="n">
        <v>7748</v>
      </c>
      <c r="J2254" t="inlineStr">
        <is>
          <t>CAT 5</t>
        </is>
      </c>
      <c r="K2254" t="inlineStr">
        <is>
          <t>N�o</t>
        </is>
      </c>
    </row>
    <row r="2255">
      <c r="A2255" s="1">
        <f>HYPERLINK("https://eurofarma-latam-crm.veevavault.com/#object/account__v/V4TZ00001913Q2P", "Anderson Duarte")</f>
        <v/>
      </c>
      <c r="B2255" s="1">
        <f>HYPERLINK("https://eurofarma-latam-crm.veevavault.com/#object/account__v/V4TZ00001913Q2P", "Anderson Moreira Duarte")</f>
        <v/>
      </c>
      <c r="C2255" t="inlineStr">
        <is>
          <t>RJ1302493</t>
        </is>
      </c>
      <c r="D2255" t="inlineStr">
        <is>
          <t>PSQ</t>
        </is>
      </c>
      <c r="E2255" t="inlineStr">
        <is>
          <t>Rua Zumbi dos Palmares, S/N</t>
        </is>
      </c>
      <c r="F2255" t="inlineStr">
        <is>
          <t>Vila Irene</t>
        </is>
      </c>
      <c r="G2255" t="inlineStr">
        <is>
          <t>Duque de Caxias</t>
        </is>
      </c>
      <c r="H2255" t="inlineStr">
        <is>
          <t>RJ</t>
        </is>
      </c>
      <c r="I2255" t="n">
        <v>7748</v>
      </c>
      <c r="J2255" t="inlineStr">
        <is>
          <t>CAT 4</t>
        </is>
      </c>
      <c r="K2255" t="inlineStr">
        <is>
          <t>Sim</t>
        </is>
      </c>
    </row>
    <row r="2256">
      <c r="A2256" s="1">
        <f>HYPERLINK("https://eurofarma-latam-crm.veevavault.com/#object/account__v/V4TZ025E8EY3XMH", "Anderson Oliveira")</f>
        <v/>
      </c>
      <c r="B2256" s="1">
        <f>HYPERLINK("https://eurofarma-latam-crm.veevavault.com/#object/account__v/V4TZ025E8EY3XMH", "Anderson de Almeida Oliveira")</f>
        <v/>
      </c>
      <c r="C2256" t="inlineStr">
        <is>
          <t>RJ1386178</t>
        </is>
      </c>
      <c r="D2256" t="inlineStr">
        <is>
          <t>CLG</t>
        </is>
      </c>
      <c r="E2256" t="inlineStr">
        <is>
          <t>Rua General Lucas Guimarães, Lote 2 Quadra 6</t>
        </is>
      </c>
      <c r="F2256" t="inlineStr">
        <is>
          <t>Saracuruna</t>
        </is>
      </c>
      <c r="G2256" t="inlineStr">
        <is>
          <t>Duque de Caxias</t>
        </is>
      </c>
      <c r="H2256" t="inlineStr">
        <is>
          <t>RJ</t>
        </is>
      </c>
      <c r="I2256" t="n">
        <v>7748</v>
      </c>
      <c r="J2256" t="inlineStr">
        <is>
          <t>CAT 5</t>
        </is>
      </c>
      <c r="K2256" t="inlineStr">
        <is>
          <t>N�o</t>
        </is>
      </c>
    </row>
    <row r="2257">
      <c r="A2257" s="1">
        <f>HYPERLINK("https://eurofarma-latam-crm.veevavault.com/#object/account__v/V4TZ00001913CWA", "Andre Correia")</f>
        <v/>
      </c>
      <c r="B2257" s="1">
        <f>HYPERLINK("https://eurofarma-latam-crm.veevavault.com/#object/account__v/V4TZ00001913CWA", "Andre Felipe Ribeiro Correia")</f>
        <v/>
      </c>
      <c r="C2257" t="inlineStr">
        <is>
          <t>MG0041990,RJ0748510</t>
        </is>
      </c>
      <c r="D2257" t="inlineStr">
        <is>
          <t>PSQ</t>
        </is>
      </c>
      <c r="E2257" t="inlineStr">
        <is>
          <t>Rua Carolina Abreu Costa, 91</t>
        </is>
      </c>
      <c r="F2257" t="inlineStr">
        <is>
          <t>Maria Adelaide</t>
        </is>
      </c>
      <c r="G2257" t="inlineStr">
        <is>
          <t>Abre Campo</t>
        </is>
      </c>
      <c r="H2257" t="inlineStr">
        <is>
          <t>MG</t>
        </is>
      </c>
      <c r="I2257" t="n">
        <v>7748</v>
      </c>
      <c r="J2257" t="inlineStr">
        <is>
          <t>CAT 4</t>
        </is>
      </c>
      <c r="K2257" t="inlineStr">
        <is>
          <t>Sim</t>
        </is>
      </c>
    </row>
    <row r="2258">
      <c r="A2258" s="1">
        <f>HYPERLINK("https://eurofarma-latam-crm.veevavault.com/#object/account__v/V4TZ00001915IFK", "André da Cunha")</f>
        <v/>
      </c>
      <c r="B2258" s="1">
        <f>HYPERLINK("https://eurofarma-latam-crm.veevavault.com/#object/account__v/V4TZ00001915IFK", "André Melo da Cunha")</f>
        <v/>
      </c>
      <c r="C2258" t="inlineStr">
        <is>
          <t>RJ1096621</t>
        </is>
      </c>
      <c r="D2258" t="inlineStr">
        <is>
          <t>CLG / PA</t>
        </is>
      </c>
      <c r="E2258" t="inlineStr">
        <is>
          <t>Rua Visconde de Barbacena, 546</t>
        </is>
      </c>
      <c r="F2258" t="inlineStr">
        <is>
          <t>Jardim José Bonifácio</t>
        </is>
      </c>
      <c r="G2258" t="inlineStr">
        <is>
          <t>São João de Meriti</t>
        </is>
      </c>
      <c r="H2258" t="inlineStr">
        <is>
          <t>RJ</t>
        </is>
      </c>
      <c r="I2258" t="n">
        <v>7748</v>
      </c>
      <c r="J2258" t="inlineStr">
        <is>
          <t>CAT 4</t>
        </is>
      </c>
      <c r="K2258" t="inlineStr">
        <is>
          <t>Sim</t>
        </is>
      </c>
    </row>
    <row r="2259">
      <c r="A2259" s="1">
        <f>HYPERLINK("https://eurofarma-latam-crm.veevavault.com/#object/account__v/V4TZ00001913A7C", "André Félix")</f>
        <v/>
      </c>
      <c r="B2259" s="1">
        <f>HYPERLINK("https://eurofarma-latam-crm.veevavault.com/#object/account__v/V4TZ00001913A7C", "André Santos Félix")</f>
        <v/>
      </c>
      <c r="C2259" t="inlineStr">
        <is>
          <t>RJ0629936</t>
        </is>
      </c>
      <c r="D2259" t="inlineStr">
        <is>
          <t>CLG / END</t>
        </is>
      </c>
      <c r="E2259" t="inlineStr">
        <is>
          <t>Rua General Lucas Guimarães, S/N - Quadra 06 Lote 02</t>
        </is>
      </c>
      <c r="F2259" t="inlineStr">
        <is>
          <t>Saracuruna</t>
        </is>
      </c>
      <c r="G2259" t="inlineStr">
        <is>
          <t>Duque de Caxias</t>
        </is>
      </c>
      <c r="H2259" t="inlineStr">
        <is>
          <t>RJ</t>
        </is>
      </c>
      <c r="I2259" t="n">
        <v>7748</v>
      </c>
      <c r="J2259" t="inlineStr">
        <is>
          <t>CAT 3</t>
        </is>
      </c>
      <c r="K2259" t="inlineStr">
        <is>
          <t>Sim</t>
        </is>
      </c>
    </row>
    <row r="2260">
      <c r="A2260" s="1">
        <f>HYPERLINK("https://eurofarma-latam-crm.veevavault.com/#object/account__v/V4TZ000019159L5", "Andrea Escobar")</f>
        <v/>
      </c>
      <c r="B2260" s="1">
        <f>HYPERLINK("https://eurofarma-latam-crm.veevavault.com/#object/account__v/V4TZ000019159L5", "Andrea Martins Escobar")</f>
        <v/>
      </c>
      <c r="C2260" t="inlineStr">
        <is>
          <t>RJ0651400</t>
        </is>
      </c>
      <c r="D2260" t="inlineStr">
        <is>
          <t>CLG / END</t>
        </is>
      </c>
      <c r="E2260" t="inlineStr">
        <is>
          <t>Estrada Doutor Rogério de Moura Estevão, S/N - Km 29</t>
        </is>
      </c>
      <c r="F2260" t="inlineStr">
        <is>
          <t>Bonsucesso</t>
        </is>
      </c>
      <c r="G2260" t="inlineStr">
        <is>
          <t>Teresópolis</t>
        </is>
      </c>
      <c r="H2260" t="inlineStr">
        <is>
          <t>RJ</t>
        </is>
      </c>
      <c r="I2260" t="n">
        <v>7748</v>
      </c>
      <c r="J2260" t="inlineStr">
        <is>
          <t>CAT 5</t>
        </is>
      </c>
      <c r="K2260" t="inlineStr">
        <is>
          <t>Sim</t>
        </is>
      </c>
    </row>
    <row r="2261">
      <c r="A2261" s="1">
        <f>HYPERLINK("https://eurofarma-latam-crm.veevavault.com/#object/account__v/V4TZ000019143XR", "Andrea Fonseca")</f>
        <v/>
      </c>
      <c r="B2261" s="1">
        <f>HYPERLINK("https://eurofarma-latam-crm.veevavault.com/#object/account__v/V4TZ000019143XR", "Andrea Alencar da Fonseca")</f>
        <v/>
      </c>
      <c r="C2261" t="inlineStr">
        <is>
          <t>RJ0610214</t>
        </is>
      </c>
      <c r="D2261" t="inlineStr">
        <is>
          <t>GAS</t>
        </is>
      </c>
      <c r="E2261" t="inlineStr">
        <is>
          <t>Estrada do Bananal, 1940</t>
        </is>
      </c>
      <c r="F2261" t="inlineStr">
        <is>
          <t>Bananal</t>
        </is>
      </c>
      <c r="G2261" t="inlineStr">
        <is>
          <t>Guapimirim</t>
        </is>
      </c>
      <c r="H2261" t="inlineStr">
        <is>
          <t>RJ</t>
        </is>
      </c>
      <c r="I2261" t="n">
        <v>7748</v>
      </c>
      <c r="J2261" t="inlineStr">
        <is>
          <t>CAT 5</t>
        </is>
      </c>
      <c r="K2261" t="inlineStr">
        <is>
          <t>Sim</t>
        </is>
      </c>
    </row>
    <row r="2262">
      <c r="A2262" s="1">
        <f>HYPERLINK("https://eurofarma-latam-crm.veevavault.com/#object/account__v/V4TZ00001914T1N", "Andrea Machado")</f>
        <v/>
      </c>
      <c r="B2262" s="1">
        <f>HYPERLINK("https://eurofarma-latam-crm.veevavault.com/#object/account__v/V4TZ00001914T1N", "Andrea da Silva Machado")</f>
        <v/>
      </c>
      <c r="C2262" t="inlineStr">
        <is>
          <t>RJ0599107</t>
        </is>
      </c>
      <c r="D2262" t="inlineStr">
        <is>
          <t>PED</t>
        </is>
      </c>
      <c r="E2262" t="inlineStr">
        <is>
          <t>Praça Bom Jesus, 40</t>
        </is>
      </c>
      <c r="F2262" t="inlineStr">
        <is>
          <t>Paquetá</t>
        </is>
      </c>
      <c r="G2262" t="inlineStr">
        <is>
          <t>Rio de Janeiro</t>
        </is>
      </c>
      <c r="H2262" t="inlineStr">
        <is>
          <t>RJ</t>
        </is>
      </c>
      <c r="I2262" t="n">
        <v>7748</v>
      </c>
      <c r="J2262" t="inlineStr">
        <is>
          <t>CAT 5</t>
        </is>
      </c>
      <c r="K2262" t="inlineStr">
        <is>
          <t>Sim</t>
        </is>
      </c>
    </row>
    <row r="2263">
      <c r="A2263" s="1">
        <f>HYPERLINK("https://eurofarma-latam-crm.veevavault.com/#object/account__v/V4TZ000018NXUGC", "Ane Bermanzon")</f>
        <v/>
      </c>
      <c r="B2263" s="1">
        <f>HYPERLINK("https://eurofarma-latam-crm.veevavault.com/#object/account__v/V4TZ000018NXUGC", "Ane Bermanzon")</f>
        <v/>
      </c>
      <c r="C2263" t="inlineStr">
        <is>
          <t>RJ0458533</t>
        </is>
      </c>
      <c r="D2263" t="inlineStr">
        <is>
          <t>PED</t>
        </is>
      </c>
      <c r="E2263" t="inlineStr">
        <is>
          <t>Praça Doutor Nilo Peçanha, 42</t>
        </is>
      </c>
      <c r="F2263" t="inlineStr">
        <is>
          <t>Centro</t>
        </is>
      </c>
      <c r="G2263" t="inlineStr">
        <is>
          <t>Magé</t>
        </is>
      </c>
      <c r="H2263" t="inlineStr">
        <is>
          <t>RJ</t>
        </is>
      </c>
      <c r="I2263" t="n">
        <v>7748</v>
      </c>
      <c r="J2263" t="inlineStr">
        <is>
          <t>CAT 4</t>
        </is>
      </c>
      <c r="K2263" t="inlineStr">
        <is>
          <t>Sim</t>
        </is>
      </c>
    </row>
    <row r="2264">
      <c r="A2264" s="1">
        <f>HYPERLINK("https://eurofarma-latam-crm.veevavault.com/#object/account__v/V4TZ00001914V9Z", "Angela Santos")</f>
        <v/>
      </c>
      <c r="B2264" s="1">
        <f>HYPERLINK("https://eurofarma-latam-crm.veevavault.com/#object/account__v/V4TZ00001914V9Z", "Angela Maria de Souza Kendrick dos Santos")</f>
        <v/>
      </c>
      <c r="C2264" t="inlineStr">
        <is>
          <t>RJ0462894</t>
        </is>
      </c>
      <c r="D2264" t="inlineStr">
        <is>
          <t>PED</t>
        </is>
      </c>
      <c r="E2264" t="inlineStr">
        <is>
          <t>Rua Marechal Ângelo Mendes de Moraes, S/N</t>
        </is>
      </c>
      <c r="F2264" t="inlineStr">
        <is>
          <t>Centro (Vila Inhomirim)</t>
        </is>
      </c>
      <c r="G2264" t="inlineStr">
        <is>
          <t>Magé</t>
        </is>
      </c>
      <c r="H2264" t="inlineStr">
        <is>
          <t>RJ</t>
        </is>
      </c>
      <c r="I2264" t="n">
        <v>7748</v>
      </c>
      <c r="J2264" t="inlineStr">
        <is>
          <t>CAT 5</t>
        </is>
      </c>
      <c r="K2264" t="inlineStr">
        <is>
          <t>Sim</t>
        </is>
      </c>
    </row>
    <row r="2265">
      <c r="A2265" s="1">
        <f>HYPERLINK("https://eurofarma-latam-crm.veevavault.com/#object/account__v/V4TZ025E8BICQTI", "Aniele Lima")</f>
        <v/>
      </c>
      <c r="B2265" s="1">
        <f>HYPERLINK("https://eurofarma-latam-crm.veevavault.com/#object/account__v/V4TZ025E8BICQTI", "Aniele de Freitas Lima")</f>
        <v/>
      </c>
      <c r="C2265" t="inlineStr">
        <is>
          <t>RJ1358901</t>
        </is>
      </c>
      <c r="D2265" t="inlineStr">
        <is>
          <t>PSQ</t>
        </is>
      </c>
      <c r="E2265" t="inlineStr">
        <is>
          <t>Rua General Rondon, 402</t>
        </is>
      </c>
      <c r="F2265" t="inlineStr">
        <is>
          <t>Quitandinha</t>
        </is>
      </c>
      <c r="G2265" t="inlineStr">
        <is>
          <t>Petrópolis</t>
        </is>
      </c>
      <c r="H2265" t="inlineStr">
        <is>
          <t>RJ</t>
        </is>
      </c>
      <c r="I2265" t="n">
        <v>7748</v>
      </c>
      <c r="J2265" t="inlineStr">
        <is>
          <t>CAT 4</t>
        </is>
      </c>
      <c r="K2265" t="inlineStr">
        <is>
          <t>Sim</t>
        </is>
      </c>
    </row>
    <row r="2266">
      <c r="A2266" s="1">
        <f>HYPERLINK("https://eurofarma-latam-crm.veevavault.com/#object/account__v/V4TZ000018NZ34C", "Anna Luiza Coelho")</f>
        <v/>
      </c>
      <c r="B2266" s="1">
        <f>HYPERLINK("https://eurofarma-latam-crm.veevavault.com/#object/account__v/V4TZ000018NZ34C", "Anna Luiza Stofeles de Figueiredo Coelho")</f>
        <v/>
      </c>
      <c r="C2266" t="inlineStr">
        <is>
          <t>RJ0935263</t>
        </is>
      </c>
      <c r="D2266" t="inlineStr">
        <is>
          <t>CLG</t>
        </is>
      </c>
      <c r="E2266" t="inlineStr">
        <is>
          <t>Rua Diva De Brito, 124</t>
        </is>
      </c>
      <c r="F2266" t="inlineStr">
        <is>
          <t>Fazenda Sobradinho</t>
        </is>
      </c>
      <c r="G2266" t="inlineStr">
        <is>
          <t>Magé</t>
        </is>
      </c>
      <c r="H2266" t="inlineStr">
        <is>
          <t>RJ</t>
        </is>
      </c>
      <c r="I2266" t="n">
        <v>7748</v>
      </c>
      <c r="J2266" t="inlineStr">
        <is>
          <t>CAT 5</t>
        </is>
      </c>
      <c r="K2266" t="inlineStr">
        <is>
          <t>Sim</t>
        </is>
      </c>
    </row>
    <row r="2267">
      <c r="A2267" s="1">
        <f>HYPERLINK("https://eurofarma-latam-crm.veevavault.com/#object/account__v/V4TZ00001916BXZ", "Anna Reis")</f>
        <v/>
      </c>
      <c r="B2267" s="1">
        <f>HYPERLINK("https://eurofarma-latam-crm.veevavault.com/#object/account__v/V4TZ00001916BXZ", "Anna Luiza Pedroza dos Reis")</f>
        <v/>
      </c>
      <c r="C2267" t="inlineStr">
        <is>
          <t>RJ1221841</t>
        </is>
      </c>
      <c r="D2267" t="inlineStr">
        <is>
          <t>CLG / PA</t>
        </is>
      </c>
      <c r="E2267" t="inlineStr">
        <is>
          <t>Avenida Perimetral República do Paraguai, S/N</t>
        </is>
      </c>
      <c r="F2267" t="inlineStr">
        <is>
          <t>Vila Sarapuí</t>
        </is>
      </c>
      <c r="G2267" t="inlineStr">
        <is>
          <t>Duque de Caxias</t>
        </is>
      </c>
      <c r="H2267" t="inlineStr">
        <is>
          <t>RJ</t>
        </is>
      </c>
      <c r="I2267" t="n">
        <v>7748</v>
      </c>
      <c r="J2267" t="inlineStr"/>
      <c r="K2267" t="inlineStr"/>
    </row>
    <row r="2268">
      <c r="A2268" s="1">
        <f>HYPERLINK("https://eurofarma-latam-crm.veevavault.com/#object/account__v/V4TZ00001913MPE", "Anne Natalye Silveira")</f>
        <v/>
      </c>
      <c r="B2268" s="1">
        <f>HYPERLINK("https://eurofarma-latam-crm.veevavault.com/#object/account__v/V4TZ00001913MPE", "Anne Natalye Barboza Martins Silveira")</f>
        <v/>
      </c>
      <c r="C2268" t="inlineStr">
        <is>
          <t>RJ1231715</t>
        </is>
      </c>
      <c r="D2268" t="inlineStr">
        <is>
          <t>CLG</t>
        </is>
      </c>
      <c r="E2268" t="inlineStr">
        <is>
          <t>Avenida Monsenhor Félix, 380</t>
        </is>
      </c>
      <c r="F2268" t="inlineStr">
        <is>
          <t>Vaz Lobo</t>
        </is>
      </c>
      <c r="G2268" t="inlineStr">
        <is>
          <t>Rio de Janeiro</t>
        </is>
      </c>
      <c r="H2268" t="inlineStr">
        <is>
          <t>RJ</t>
        </is>
      </c>
      <c r="I2268" t="n">
        <v>7748</v>
      </c>
      <c r="J2268" t="inlineStr">
        <is>
          <t>CAT 5</t>
        </is>
      </c>
      <c r="K2268" t="inlineStr">
        <is>
          <t>N�o</t>
        </is>
      </c>
    </row>
    <row r="2269">
      <c r="A2269" s="1">
        <f>HYPERLINK("https://eurofarma-latam-crm.veevavault.com/#object/account__v/V4TZ025E83VFX69", "Annelyz Martins")</f>
        <v/>
      </c>
      <c r="B2269" s="1">
        <f>HYPERLINK("https://eurofarma-latam-crm.veevavault.com/#object/account__v/V4TZ025E83VFX69", "Annelyz Barboza Martins")</f>
        <v/>
      </c>
      <c r="C2269" t="inlineStr">
        <is>
          <t>RJ1287362</t>
        </is>
      </c>
      <c r="D2269" t="inlineStr">
        <is>
          <t>CLG / PA</t>
        </is>
      </c>
      <c r="E2269" t="inlineStr">
        <is>
          <t>Rua da Gamboa, 303</t>
        </is>
      </c>
      <c r="F2269" t="inlineStr">
        <is>
          <t>Gamboa</t>
        </is>
      </c>
      <c r="G2269" t="inlineStr">
        <is>
          <t>Rio de Janeiro</t>
        </is>
      </c>
      <c r="H2269" t="inlineStr">
        <is>
          <t>RJ</t>
        </is>
      </c>
      <c r="I2269" t="n">
        <v>7748</v>
      </c>
      <c r="J2269" t="inlineStr">
        <is>
          <t>CAT 4</t>
        </is>
      </c>
      <c r="K2269" t="inlineStr">
        <is>
          <t>Sim</t>
        </is>
      </c>
    </row>
    <row r="2270">
      <c r="A2270" s="1">
        <f>HYPERLINK("https://eurofarma-latam-crm.veevavault.com/#object/account__v/V4TZ000018NY2W1", "Antonio Barbosa")</f>
        <v/>
      </c>
      <c r="B2270" s="1">
        <f>HYPERLINK("https://eurofarma-latam-crm.veevavault.com/#object/account__v/V4TZ000018NY2W1", "Antonio Carlos Medeiros de Oliveira Barbosa")</f>
        <v/>
      </c>
      <c r="C2270" t="inlineStr">
        <is>
          <t>RJ0488764</t>
        </is>
      </c>
      <c r="D2270" t="inlineStr">
        <is>
          <t>ORT</t>
        </is>
      </c>
      <c r="E2270" t="inlineStr">
        <is>
          <t>Rua Iracema, S/N - Lote 90 Quadra 7 L B</t>
        </is>
      </c>
      <c r="F2270" t="inlineStr">
        <is>
          <t>Parque Novo Rio</t>
        </is>
      </c>
      <c r="G2270" t="inlineStr">
        <is>
          <t>São João de Meriti</t>
        </is>
      </c>
      <c r="H2270" t="inlineStr">
        <is>
          <t>RJ</t>
        </is>
      </c>
      <c r="I2270" t="n">
        <v>7748</v>
      </c>
      <c r="J2270" t="inlineStr">
        <is>
          <t>CAT 4</t>
        </is>
      </c>
      <c r="K2270" t="inlineStr">
        <is>
          <t>Sim</t>
        </is>
      </c>
    </row>
    <row r="2271">
      <c r="A2271" s="1">
        <f>HYPERLINK("https://eurofarma-latam-crm.veevavault.com/#object/account__v/V4TZ0000191674M", "Antonio Cunha")</f>
        <v/>
      </c>
      <c r="B2271" s="1">
        <f>HYPERLINK("https://eurofarma-latam-crm.veevavault.com/#object/account__v/V4TZ0000191674M", "Antonio Amarante Cunha")</f>
        <v/>
      </c>
      <c r="C2271" t="inlineStr">
        <is>
          <t>RJ0839574</t>
        </is>
      </c>
      <c r="D2271" t="inlineStr">
        <is>
          <t>ORT</t>
        </is>
      </c>
      <c r="E2271" t="inlineStr">
        <is>
          <t>Rua Ministro Francisco Dornelles, 69</t>
        </is>
      </c>
      <c r="F2271" t="inlineStr">
        <is>
          <t>São Sebastião do Alto</t>
        </is>
      </c>
      <c r="G2271" t="inlineStr">
        <is>
          <t>São Sebastião do Alto</t>
        </is>
      </c>
      <c r="H2271" t="inlineStr">
        <is>
          <t>RJ</t>
        </is>
      </c>
      <c r="I2271" t="n">
        <v>7748</v>
      </c>
      <c r="J2271" t="inlineStr">
        <is>
          <t>CAT 2</t>
        </is>
      </c>
      <c r="K2271" t="inlineStr">
        <is>
          <t>Sim</t>
        </is>
      </c>
    </row>
    <row r="2272">
      <c r="A2272" s="1">
        <f>HYPERLINK("https://eurofarma-latam-crm.veevavault.com/#object/account__v/V4TZ00001915UZN", "Antonio Gullo")</f>
        <v/>
      </c>
      <c r="B2272" s="1">
        <f>HYPERLINK("https://eurofarma-latam-crm.veevavault.com/#object/account__v/V4TZ00001915UZN", "Antonio Gullo")</f>
        <v/>
      </c>
      <c r="C2272" t="inlineStr">
        <is>
          <t>RJ0435621</t>
        </is>
      </c>
      <c r="D2272" t="inlineStr">
        <is>
          <t>GER</t>
        </is>
      </c>
      <c r="E2272" t="inlineStr">
        <is>
          <t>Estrada das Mirindibas Quadra 30 Lote 01</t>
        </is>
      </c>
      <c r="F2272" t="inlineStr">
        <is>
          <t>Jardim Primavera</t>
        </is>
      </c>
      <c r="G2272" t="inlineStr">
        <is>
          <t>Duque de Caxias</t>
        </is>
      </c>
      <c r="H2272" t="inlineStr">
        <is>
          <t>RJ</t>
        </is>
      </c>
      <c r="I2272" t="n">
        <v>7748</v>
      </c>
      <c r="J2272" t="inlineStr">
        <is>
          <t>CAT 4</t>
        </is>
      </c>
      <c r="K2272" t="inlineStr">
        <is>
          <t>Sim</t>
        </is>
      </c>
    </row>
    <row r="2273">
      <c r="A2273" s="1">
        <f>HYPERLINK("https://eurofarma-latam-crm.veevavault.com/#object/account__v/V4TZ00001913J2L", "Antonio Manuel Azevedo")</f>
        <v/>
      </c>
      <c r="B2273" s="1">
        <f>HYPERLINK("https://eurofarma-latam-crm.veevavault.com/#object/account__v/V4TZ00001913J2L", "Antonio Manuel Morgado Azevedo")</f>
        <v/>
      </c>
      <c r="C2273" t="inlineStr">
        <is>
          <t>RJ0323468</t>
        </is>
      </c>
      <c r="D2273" t="inlineStr">
        <is>
          <t>PED</t>
        </is>
      </c>
      <c r="E2273" t="inlineStr">
        <is>
          <t>Rua Marechal Ângelo Mendes de Moraes, S/N</t>
        </is>
      </c>
      <c r="F2273" t="inlineStr">
        <is>
          <t>Centro (Vila Inhomirim)</t>
        </is>
      </c>
      <c r="G2273" t="inlineStr">
        <is>
          <t>Magé</t>
        </is>
      </c>
      <c r="H2273" t="inlineStr">
        <is>
          <t>RJ</t>
        </is>
      </c>
      <c r="I2273" t="n">
        <v>7748</v>
      </c>
      <c r="J2273" t="inlineStr">
        <is>
          <t>CAT 4</t>
        </is>
      </c>
      <c r="K2273" t="inlineStr">
        <is>
          <t>Sim</t>
        </is>
      </c>
    </row>
    <row r="2274">
      <c r="A2274" s="1">
        <f>HYPERLINK("https://eurofarma-latam-crm.veevavault.com/#object/account__v/V4TZ00001913GKD", "Antonio Pinto")</f>
        <v/>
      </c>
      <c r="B2274" s="1">
        <f>HYPERLINK("https://eurofarma-latam-crm.veevavault.com/#object/account__v/V4TZ00001913GKD", "Antonio Jose Cordeiro Pinto")</f>
        <v/>
      </c>
      <c r="C2274" t="inlineStr">
        <is>
          <t>RJ1232045</t>
        </is>
      </c>
      <c r="D2274" t="inlineStr">
        <is>
          <t>END</t>
        </is>
      </c>
      <c r="E2274" t="inlineStr">
        <is>
          <t>Avenida Feliciano Sodré, 266 - Sala 114 e 115</t>
        </is>
      </c>
      <c r="F2274" t="inlineStr">
        <is>
          <t>Várzea</t>
        </is>
      </c>
      <c r="G2274" t="inlineStr">
        <is>
          <t>Teresópolis</t>
        </is>
      </c>
      <c r="H2274" t="inlineStr">
        <is>
          <t>RJ</t>
        </is>
      </c>
      <c r="I2274" t="n">
        <v>7748</v>
      </c>
      <c r="J2274" t="inlineStr"/>
      <c r="K2274" t="inlineStr"/>
    </row>
    <row r="2275">
      <c r="A2275" s="1">
        <f>HYPERLINK("https://eurofarma-latam-crm.veevavault.com/#object/account__v/V4TZ00001913S9F", "Áquila Eduardo Barreto")</f>
        <v/>
      </c>
      <c r="B2275" s="1">
        <f>HYPERLINK("https://eurofarma-latam-crm.veevavault.com/#object/account__v/V4TZ00001913S9F", "Áquila Eduardo da Silva Barreto")</f>
        <v/>
      </c>
      <c r="C2275" t="inlineStr">
        <is>
          <t>RJ0536443</t>
        </is>
      </c>
      <c r="D2275" t="inlineStr">
        <is>
          <t>CLG / END</t>
        </is>
      </c>
      <c r="E2275" t="inlineStr">
        <is>
          <t>Avenida Brasil, 108 - Quadra 51 Lote 19</t>
        </is>
      </c>
      <c r="F2275" t="inlineStr">
        <is>
          <t>Vila São Luís</t>
        </is>
      </c>
      <c r="G2275" t="inlineStr">
        <is>
          <t>Duque de Caxias</t>
        </is>
      </c>
      <c r="H2275" t="inlineStr">
        <is>
          <t>RJ</t>
        </is>
      </c>
      <c r="I2275" t="n">
        <v>7748</v>
      </c>
      <c r="J2275" t="inlineStr">
        <is>
          <t>CAT 5</t>
        </is>
      </c>
      <c r="K2275" t="inlineStr">
        <is>
          <t>Sim</t>
        </is>
      </c>
    </row>
    <row r="2276">
      <c r="A2276" s="1">
        <f>HYPERLINK("https://eurofarma-latam-crm.veevavault.com/#object/account__v/V4TZ000018NZ1EU", "Armindo Correa")</f>
        <v/>
      </c>
      <c r="B2276" s="1">
        <f>HYPERLINK("https://eurofarma-latam-crm.veevavault.com/#object/account__v/V4TZ000018NZ1EU", "Armindo Rosa Correa")</f>
        <v/>
      </c>
      <c r="C2276" t="inlineStr">
        <is>
          <t>RJ0476821</t>
        </is>
      </c>
      <c r="D2276" t="inlineStr">
        <is>
          <t>GER</t>
        </is>
      </c>
      <c r="E2276" t="inlineStr">
        <is>
          <t>Praça Doutor Nilo Peçanha, 45 - Sala 410 Shoping Da Praca</t>
        </is>
      </c>
      <c r="F2276" t="inlineStr">
        <is>
          <t>Centro</t>
        </is>
      </c>
      <c r="G2276" t="inlineStr">
        <is>
          <t>Magé</t>
        </is>
      </c>
      <c r="H2276" t="inlineStr">
        <is>
          <t>RJ</t>
        </is>
      </c>
      <c r="I2276" t="n">
        <v>7748</v>
      </c>
      <c r="J2276" t="inlineStr">
        <is>
          <t>CAT 4</t>
        </is>
      </c>
      <c r="K2276" t="inlineStr">
        <is>
          <t>Sim</t>
        </is>
      </c>
    </row>
    <row r="2277">
      <c r="A2277" s="1">
        <f>HYPERLINK("https://eurofarma-latam-crm.veevavault.com/#object/account__v/V4TZ00001915NPE", "Artemis Palmeira")</f>
        <v/>
      </c>
      <c r="B2277" s="1">
        <f>HYPERLINK("https://eurofarma-latam-crm.veevavault.com/#object/account__v/V4TZ00001915NPE", "Artemis Espindola Palmeira")</f>
        <v/>
      </c>
      <c r="C2277" t="inlineStr">
        <is>
          <t>MT0004600,RJ0381320</t>
        </is>
      </c>
      <c r="D2277" t="inlineStr">
        <is>
          <t>END</t>
        </is>
      </c>
      <c r="E2277" t="inlineStr">
        <is>
          <t>Rua Doutor Nelson de Sá Earp, 25 - 29 31 E 35</t>
        </is>
      </c>
      <c r="F2277" t="inlineStr">
        <is>
          <t>Centro</t>
        </is>
      </c>
      <c r="G2277" t="inlineStr">
        <is>
          <t>Petrópolis</t>
        </is>
      </c>
      <c r="H2277" t="inlineStr">
        <is>
          <t>RJ</t>
        </is>
      </c>
      <c r="I2277" t="n">
        <v>7748</v>
      </c>
      <c r="J2277" t="inlineStr">
        <is>
          <t>CAT 4</t>
        </is>
      </c>
      <c r="K2277" t="inlineStr">
        <is>
          <t>Sim</t>
        </is>
      </c>
    </row>
    <row r="2278">
      <c r="A2278" s="1">
        <f>HYPERLINK("https://eurofarma-latam-crm.veevavault.com/#object/account__v/V4TZ000018NZ3ZJ", "Beatriz do Amaral")</f>
        <v/>
      </c>
      <c r="B2278" s="1">
        <f>HYPERLINK("https://eurofarma-latam-crm.veevavault.com/#object/account__v/V4TZ000018NZ3ZJ", "Beatriz Melo Alves do Amaral")</f>
        <v/>
      </c>
      <c r="C2278" t="inlineStr">
        <is>
          <t>RJ1244140</t>
        </is>
      </c>
      <c r="D2278" t="inlineStr">
        <is>
          <t>CLG / PA</t>
        </is>
      </c>
      <c r="E2278" t="inlineStr">
        <is>
          <t>Estrada Teresopolis Friburgo, S/N - 3 Distrito</t>
        </is>
      </c>
      <c r="F2278" t="inlineStr">
        <is>
          <t>Bom Retiro</t>
        </is>
      </c>
      <c r="G2278" t="inlineStr">
        <is>
          <t>Teresópolis</t>
        </is>
      </c>
      <c r="H2278" t="inlineStr">
        <is>
          <t>RJ</t>
        </is>
      </c>
      <c r="I2278" t="n">
        <v>7748</v>
      </c>
      <c r="J2278" t="inlineStr">
        <is>
          <t>CAT 5</t>
        </is>
      </c>
      <c r="K2278" t="inlineStr">
        <is>
          <t>N�o</t>
        </is>
      </c>
    </row>
    <row r="2279">
      <c r="A2279" s="1">
        <f>HYPERLINK("https://eurofarma-latam-crm.veevavault.com/#object/account__v/V4TZ025E88NCP8Q", "Bernard Cozzolino")</f>
        <v/>
      </c>
      <c r="B2279" s="1">
        <f>HYPERLINK("https://eurofarma-latam-crm.veevavault.com/#object/account__v/V4TZ025E88NCP8Q", "Bernard Rodrigues Cozzolino")</f>
        <v/>
      </c>
      <c r="C2279" t="inlineStr">
        <is>
          <t>RJ1252917</t>
        </is>
      </c>
      <c r="D2279" t="inlineStr">
        <is>
          <t>CLG / PA</t>
        </is>
      </c>
      <c r="E2279" t="inlineStr">
        <is>
          <t>Rua Papa Pio XII, 90</t>
        </is>
      </c>
      <c r="F2279" t="inlineStr">
        <is>
          <t>Figueira</t>
        </is>
      </c>
      <c r="G2279" t="inlineStr">
        <is>
          <t>Magé</t>
        </is>
      </c>
      <c r="H2279" t="inlineStr">
        <is>
          <t>RJ</t>
        </is>
      </c>
      <c r="I2279" t="n">
        <v>7748</v>
      </c>
      <c r="J2279" t="inlineStr">
        <is>
          <t>CAT 5</t>
        </is>
      </c>
      <c r="K2279" t="inlineStr">
        <is>
          <t>Sim</t>
        </is>
      </c>
    </row>
    <row r="2280">
      <c r="A2280" s="1">
        <f>HYPERLINK("https://eurofarma-latam-crm.veevavault.com/#object/account__v/V4TZ025E88DVBCF", "Bernardo Gomes")</f>
        <v/>
      </c>
      <c r="B2280" s="1">
        <f>HYPERLINK("https://eurofarma-latam-crm.veevavault.com/#object/account__v/V4TZ025E88DVBCF", "Bernardo Oneto Gomes")</f>
        <v/>
      </c>
      <c r="C2280" t="inlineStr">
        <is>
          <t>RJ1328344</t>
        </is>
      </c>
      <c r="D2280" t="inlineStr">
        <is>
          <t>CLG / PA</t>
        </is>
      </c>
      <c r="E2280" t="inlineStr">
        <is>
          <t>Rua Otacílio de Sousa, 653</t>
        </is>
      </c>
      <c r="F2280" t="inlineStr">
        <is>
          <t>Pau Grande (Vila Inhomirim)</t>
        </is>
      </c>
      <c r="G2280" t="inlineStr">
        <is>
          <t>Magé</t>
        </is>
      </c>
      <c r="H2280" t="inlineStr">
        <is>
          <t>RJ</t>
        </is>
      </c>
      <c r="I2280" t="n">
        <v>7748</v>
      </c>
      <c r="J2280" t="inlineStr">
        <is>
          <t>CAT 5</t>
        </is>
      </c>
      <c r="K2280" t="inlineStr">
        <is>
          <t>N�o</t>
        </is>
      </c>
    </row>
    <row r="2281">
      <c r="A2281" s="1">
        <f>HYPERLINK("https://eurofarma-latam-crm.veevavault.com/#object/account__v/V4TZ000018NYGOD", "Breno Vilela")</f>
        <v/>
      </c>
      <c r="B2281" s="1">
        <f>HYPERLINK("https://eurofarma-latam-crm.veevavault.com/#object/account__v/V4TZ000018NYGOD", "Breno D'Oliveira Vilela")</f>
        <v/>
      </c>
      <c r="C2281" t="inlineStr">
        <is>
          <t>RJ0973858</t>
        </is>
      </c>
      <c r="D2281" t="inlineStr">
        <is>
          <t>ORT</t>
        </is>
      </c>
      <c r="E2281" t="inlineStr">
        <is>
          <t>Rodovia Washington Luiz, S/N - BR 040 Km 109</t>
        </is>
      </c>
      <c r="F2281" t="inlineStr">
        <is>
          <t>Vila Actura</t>
        </is>
      </c>
      <c r="G2281" t="inlineStr">
        <is>
          <t>Duque de Caxias</t>
        </is>
      </c>
      <c r="H2281" t="inlineStr">
        <is>
          <t>RJ</t>
        </is>
      </c>
      <c r="I2281" t="n">
        <v>7748</v>
      </c>
      <c r="J2281" t="inlineStr">
        <is>
          <t>CAT 5</t>
        </is>
      </c>
      <c r="K2281" t="inlineStr">
        <is>
          <t>N�o</t>
        </is>
      </c>
    </row>
    <row r="2282">
      <c r="A2282" s="1">
        <f>HYPERLINK("https://eurofarma-latam-crm.veevavault.com/#object/account__v/V4TZ000019166NB", "Bruna da Silva")</f>
        <v/>
      </c>
      <c r="B2282" s="1">
        <f>HYPERLINK("https://eurofarma-latam-crm.veevavault.com/#object/account__v/V4TZ000019166NB", "Bruna Teixeira da Silva")</f>
        <v/>
      </c>
      <c r="C2282" t="inlineStr">
        <is>
          <t>RJ0797596</t>
        </is>
      </c>
      <c r="D2282" t="inlineStr">
        <is>
          <t>CLG / END</t>
        </is>
      </c>
      <c r="E2282" t="inlineStr">
        <is>
          <t>Rua Expedicionários, 75</t>
        </is>
      </c>
      <c r="F2282" t="inlineStr">
        <is>
          <t>Centro</t>
        </is>
      </c>
      <c r="G2282" t="inlineStr">
        <is>
          <t>São João de Meriti</t>
        </is>
      </c>
      <c r="H2282" t="inlineStr">
        <is>
          <t>RJ</t>
        </is>
      </c>
      <c r="I2282" t="n">
        <v>7748</v>
      </c>
      <c r="J2282" t="inlineStr">
        <is>
          <t>CAT 5</t>
        </is>
      </c>
      <c r="K2282" t="inlineStr">
        <is>
          <t>Sim</t>
        </is>
      </c>
    </row>
    <row r="2283">
      <c r="A2283" s="1">
        <f>HYPERLINK("https://eurofarma-latam-crm.veevavault.com/#object/account__v/V4TZ025E83PLWG2", "Bruna Guarilha")</f>
        <v/>
      </c>
      <c r="B2283" s="1">
        <f>HYPERLINK("https://eurofarma-latam-crm.veevavault.com/#object/account__v/V4TZ025E83PLWG2", "Bruna Mariano da Rosa Guarilha")</f>
        <v/>
      </c>
      <c r="C2283" t="inlineStr">
        <is>
          <t>RJ1245970</t>
        </is>
      </c>
      <c r="D2283" t="inlineStr">
        <is>
          <t>END</t>
        </is>
      </c>
      <c r="E2283" t="inlineStr">
        <is>
          <t>Rua Prefeito Sebastião Teixeira, 354 - Sala 209 e 210</t>
        </is>
      </c>
      <c r="F2283" t="inlineStr">
        <is>
          <t>Várzea</t>
        </is>
      </c>
      <c r="G2283" t="inlineStr">
        <is>
          <t>Teresópolis</t>
        </is>
      </c>
      <c r="H2283" t="inlineStr">
        <is>
          <t>RJ</t>
        </is>
      </c>
      <c r="I2283" t="n">
        <v>7748</v>
      </c>
      <c r="J2283" t="inlineStr">
        <is>
          <t>CAT 5</t>
        </is>
      </c>
      <c r="K2283" t="inlineStr">
        <is>
          <t>Sim</t>
        </is>
      </c>
    </row>
    <row r="2284">
      <c r="A2284" s="1">
        <f>HYPERLINK("https://eurofarma-latam-crm.veevavault.com/#object/account__v/V4TZ00001914TEN", "Bruno da Cunha")</f>
        <v/>
      </c>
      <c r="B2284" s="1">
        <f>HYPERLINK("https://eurofarma-latam-crm.veevavault.com/#object/account__v/V4TZ00001914TEN", "Bruno Vianna da Cunha")</f>
        <v/>
      </c>
      <c r="C2284" t="inlineStr">
        <is>
          <t>RJ1046870</t>
        </is>
      </c>
      <c r="D2284" t="inlineStr">
        <is>
          <t>CLG</t>
        </is>
      </c>
      <c r="E2284" t="inlineStr">
        <is>
          <t>Estrada Rio Douro, 1026 - A</t>
        </is>
      </c>
      <c r="F2284" t="inlineStr">
        <is>
          <t>Mantiquira</t>
        </is>
      </c>
      <c r="G2284" t="inlineStr">
        <is>
          <t>Duque de Caxias</t>
        </is>
      </c>
      <c r="H2284" t="inlineStr">
        <is>
          <t>RJ</t>
        </is>
      </c>
      <c r="I2284" t="n">
        <v>7748</v>
      </c>
      <c r="J2284" t="inlineStr">
        <is>
          <t>CAT 5</t>
        </is>
      </c>
      <c r="K2284" t="inlineStr">
        <is>
          <t>Sim</t>
        </is>
      </c>
    </row>
    <row r="2285">
      <c r="A2285" s="1">
        <f>HYPERLINK("https://eurofarma-latam-crm.veevavault.com/#object/account__v/V4TZ025E8D6P7RP", "Bruno Ponciano")</f>
        <v/>
      </c>
      <c r="B2285" s="1">
        <f>HYPERLINK("https://eurofarma-latam-crm.veevavault.com/#object/account__v/V4TZ025E8D6P7RP", "Bruno Mendonça Ponciano")</f>
        <v/>
      </c>
      <c r="C2285" t="inlineStr">
        <is>
          <t>DF0034605</t>
        </is>
      </c>
      <c r="D2285" t="inlineStr">
        <is>
          <t>CLG / PA</t>
        </is>
      </c>
      <c r="E2285" t="inlineStr">
        <is>
          <t>Rua Oswaldo Cruz, S/N</t>
        </is>
      </c>
      <c r="F2285" t="inlineStr">
        <is>
          <t>Bananal</t>
        </is>
      </c>
      <c r="G2285" t="inlineStr">
        <is>
          <t>Guapimirim</t>
        </is>
      </c>
      <c r="H2285" t="inlineStr">
        <is>
          <t>RJ</t>
        </is>
      </c>
      <c r="I2285" t="n">
        <v>7748</v>
      </c>
      <c r="J2285" t="inlineStr"/>
      <c r="K2285" t="inlineStr"/>
    </row>
    <row r="2286">
      <c r="A2286" s="1">
        <f>HYPERLINK("https://eurofarma-latam-crm.veevavault.com/#object/account__v/V4TZ025E88IFBZ2", "Caio Madruga")</f>
        <v/>
      </c>
      <c r="B2286" s="1">
        <f>HYPERLINK("https://eurofarma-latam-crm.veevavault.com/#object/account__v/V4TZ025E88IFBZ2", "Caio Liszt Rangel Madruga")</f>
        <v/>
      </c>
      <c r="C2286" t="inlineStr">
        <is>
          <t>RJ1328034</t>
        </is>
      </c>
      <c r="D2286" t="inlineStr">
        <is>
          <t>CLG / PA</t>
        </is>
      </c>
      <c r="E2286" t="inlineStr">
        <is>
          <t>Rua Oswaldo Cruz, S/N</t>
        </is>
      </c>
      <c r="F2286" t="inlineStr">
        <is>
          <t>Bananal</t>
        </is>
      </c>
      <c r="G2286" t="inlineStr">
        <is>
          <t>Guapimirim</t>
        </is>
      </c>
      <c r="H2286" t="inlineStr">
        <is>
          <t>RJ</t>
        </is>
      </c>
      <c r="I2286" t="n">
        <v>7748</v>
      </c>
      <c r="J2286" t="inlineStr">
        <is>
          <t>CAT 5</t>
        </is>
      </c>
      <c r="K2286" t="inlineStr">
        <is>
          <t>Sim</t>
        </is>
      </c>
    </row>
    <row r="2287">
      <c r="A2287" s="1">
        <f>HYPERLINK("https://eurofarma-latam-crm.veevavault.com/#object/account__v/V4TZ025E8CIPB31", "Camilla Cunha")</f>
        <v/>
      </c>
      <c r="B2287" s="1">
        <f>HYPERLINK("https://eurofarma-latam-crm.veevavault.com/#object/account__v/V4TZ025E8CIPB31", "Camilla Corradini De Abreu Cunha")</f>
        <v/>
      </c>
      <c r="C2287" t="inlineStr">
        <is>
          <t>RJ1356950</t>
        </is>
      </c>
      <c r="D2287" t="inlineStr">
        <is>
          <t>CLG / PA</t>
        </is>
      </c>
      <c r="E2287" t="inlineStr">
        <is>
          <t>Avenida Othon Linch Bezerra de Mello, 329 - Ant Pred Centro Adm</t>
        </is>
      </c>
      <c r="F2287" t="inlineStr">
        <is>
          <t>Vila Velha (Santo Aleixo)</t>
        </is>
      </c>
      <c r="G2287" t="inlineStr">
        <is>
          <t>Magé</t>
        </is>
      </c>
      <c r="H2287" t="inlineStr">
        <is>
          <t>RJ</t>
        </is>
      </c>
      <c r="I2287" t="n">
        <v>7748</v>
      </c>
      <c r="J2287" t="inlineStr">
        <is>
          <t>CAT 5</t>
        </is>
      </c>
      <c r="K2287" t="inlineStr">
        <is>
          <t>Sim</t>
        </is>
      </c>
    </row>
    <row r="2288">
      <c r="A2288" s="1">
        <f>HYPERLINK("https://eurofarma-latam-crm.veevavault.com/#object/account__v/V4TZ025E8E4L31R", "Carla Guzmán")</f>
        <v/>
      </c>
      <c r="B2288" s="1">
        <f>HYPERLINK("https://eurofarma-latam-crm.veevavault.com/#object/account__v/V4TZ025E8E4L31R", "Carla David De Guzmán")</f>
        <v/>
      </c>
      <c r="C2288" t="inlineStr">
        <is>
          <t>RJ1372876</t>
        </is>
      </c>
      <c r="D2288" t="inlineStr">
        <is>
          <t>CLG / PA</t>
        </is>
      </c>
      <c r="E2288" t="inlineStr">
        <is>
          <t>Avenida Henrique Duque Estrada Meyer, 953</t>
        </is>
      </c>
      <c r="F2288" t="inlineStr">
        <is>
          <t>Posse</t>
        </is>
      </c>
      <c r="G2288" t="inlineStr">
        <is>
          <t>Nova Iguaçu</t>
        </is>
      </c>
      <c r="H2288" t="inlineStr">
        <is>
          <t>RJ</t>
        </is>
      </c>
      <c r="I2288" t="n">
        <v>7748</v>
      </c>
      <c r="J2288" t="inlineStr">
        <is>
          <t>CAT 5</t>
        </is>
      </c>
      <c r="K2288" t="inlineStr">
        <is>
          <t>N�o</t>
        </is>
      </c>
    </row>
    <row r="2289">
      <c r="A2289" s="1">
        <f>HYPERLINK("https://eurofarma-latam-crm.veevavault.com/#object/account__v/V4TZ000019137UW", "Catarina Barata")</f>
        <v/>
      </c>
      <c r="B2289" s="1">
        <f>HYPERLINK("https://eurofarma-latam-crm.veevavault.com/#object/account__v/V4TZ000019137UW", "Catarina Barata")</f>
        <v/>
      </c>
      <c r="C2289" t="inlineStr">
        <is>
          <t>RJ1149148</t>
        </is>
      </c>
      <c r="D2289" t="inlineStr">
        <is>
          <t>PSQ</t>
        </is>
      </c>
      <c r="E2289" t="inlineStr">
        <is>
          <t>Rua Nicomédio Anselmo de Oliveira, 221</t>
        </is>
      </c>
      <c r="F2289" t="inlineStr">
        <is>
          <t>Centro</t>
        </is>
      </c>
      <c r="G2289" t="inlineStr">
        <is>
          <t>Guapimirim</t>
        </is>
      </c>
      <c r="H2289" t="inlineStr">
        <is>
          <t>RJ</t>
        </is>
      </c>
      <c r="I2289" t="n">
        <v>7748</v>
      </c>
      <c r="J2289" t="inlineStr">
        <is>
          <t>CAT 4</t>
        </is>
      </c>
      <c r="K2289" t="inlineStr">
        <is>
          <t>Sim</t>
        </is>
      </c>
    </row>
    <row r="2290">
      <c r="A2290" s="1">
        <f>HYPERLINK("https://eurofarma-latam-crm.veevavault.com/#object/account__v/V4TZ000019137B9", "Christina Lopes")</f>
        <v/>
      </c>
      <c r="B2290" s="1">
        <f>HYPERLINK("https://eurofarma-latam-crm.veevavault.com/#object/account__v/V4TZ000019137B9", "Christina Cardoso Silva Lopes")</f>
        <v/>
      </c>
      <c r="C2290" t="inlineStr">
        <is>
          <t>RJ1248910</t>
        </is>
      </c>
      <c r="D2290" t="inlineStr">
        <is>
          <t>PED</t>
        </is>
      </c>
      <c r="E2290" t="inlineStr">
        <is>
          <t>Avenida Presidente Kennedy, 985</t>
        </is>
      </c>
      <c r="F2290" t="inlineStr">
        <is>
          <t>São Miguel</t>
        </is>
      </c>
      <c r="G2290" t="inlineStr">
        <is>
          <t>São Gonçalo</t>
        </is>
      </c>
      <c r="H2290" t="inlineStr">
        <is>
          <t>RJ</t>
        </is>
      </c>
      <c r="I2290" t="n">
        <v>7748</v>
      </c>
      <c r="J2290" t="inlineStr">
        <is>
          <t>CAT 5</t>
        </is>
      </c>
      <c r="K2290" t="inlineStr">
        <is>
          <t>Sim</t>
        </is>
      </c>
    </row>
    <row r="2291">
      <c r="A2291" s="1">
        <f>HYPERLINK("https://eurofarma-latam-crm.veevavault.com/#object/account__v/V4TZ00001916C5F", "Cidine Caldeira")</f>
        <v/>
      </c>
      <c r="B2291" s="1">
        <f>HYPERLINK("https://eurofarma-latam-crm.veevavault.com/#object/account__v/V4TZ00001916C5F", "Cidine Junior Garcia Caldeira")</f>
        <v/>
      </c>
      <c r="C2291" t="inlineStr">
        <is>
          <t>RJ1144316</t>
        </is>
      </c>
      <c r="D2291" t="inlineStr">
        <is>
          <t>CLG</t>
        </is>
      </c>
      <c r="E2291" t="inlineStr">
        <is>
          <t>Rua Professor Dilermano Reis, S/N</t>
        </is>
      </c>
      <c r="F2291" t="inlineStr">
        <is>
          <t>Centro (Rio do Ouro)</t>
        </is>
      </c>
      <c r="G2291" t="inlineStr">
        <is>
          <t>Magé</t>
        </is>
      </c>
      <c r="H2291" t="inlineStr">
        <is>
          <t>RJ</t>
        </is>
      </c>
      <c r="I2291" t="n">
        <v>7748</v>
      </c>
      <c r="J2291" t="inlineStr">
        <is>
          <t>CAT 4</t>
        </is>
      </c>
      <c r="K2291" t="inlineStr">
        <is>
          <t>Sim</t>
        </is>
      </c>
    </row>
    <row r="2292">
      <c r="A2292" s="1">
        <f>HYPERLINK("https://eurofarma-latam-crm.veevavault.com/#object/account__v/V4TZ000018NZ3V0", "Cíntia da Costa")</f>
        <v/>
      </c>
      <c r="B2292" s="1">
        <f>HYPERLINK("https://eurofarma-latam-crm.veevavault.com/#object/account__v/V4TZ000018NZ3V0", "Cíntia Klippel da Costa")</f>
        <v/>
      </c>
      <c r="C2292" t="inlineStr">
        <is>
          <t>RJ1080717</t>
        </is>
      </c>
      <c r="D2292" t="inlineStr">
        <is>
          <t>CLG</t>
        </is>
      </c>
      <c r="E2292" t="inlineStr">
        <is>
          <t>Avenida Automóvel Clube, S/N</t>
        </is>
      </c>
      <c r="F2292" t="inlineStr">
        <is>
          <t>Jardim Barro Branco</t>
        </is>
      </c>
      <c r="G2292" t="inlineStr">
        <is>
          <t>Duque de Caxias</t>
        </is>
      </c>
      <c r="H2292" t="inlineStr">
        <is>
          <t>RJ</t>
        </is>
      </c>
      <c r="I2292" t="n">
        <v>7748</v>
      </c>
      <c r="J2292" t="inlineStr">
        <is>
          <t>CAT 5</t>
        </is>
      </c>
      <c r="K2292" t="inlineStr">
        <is>
          <t>Sim</t>
        </is>
      </c>
    </row>
    <row r="2293">
      <c r="A2293" s="1">
        <f>HYPERLINK("https://eurofarma-latam-crm.veevavault.com/#object/account__v/V4TZ00001913CVV", "Cláudia Miguel de Souza")</f>
        <v/>
      </c>
      <c r="B2293" s="1">
        <f>HYPERLINK("https://eurofarma-latam-crm.veevavault.com/#object/account__v/V4TZ00001913CVV", "Cláudia Miguel Coelho Ramos de Souza")</f>
        <v/>
      </c>
      <c r="C2293" t="inlineStr">
        <is>
          <t>RJ0618003</t>
        </is>
      </c>
      <c r="D2293" t="inlineStr">
        <is>
          <t>PED</t>
        </is>
      </c>
      <c r="E2293" t="inlineStr">
        <is>
          <t>Praça Expedicionários, S/N</t>
        </is>
      </c>
      <c r="F2293" t="inlineStr">
        <is>
          <t>São Pedro</t>
        </is>
      </c>
      <c r="G2293" t="inlineStr">
        <is>
          <t>Teresópolis</t>
        </is>
      </c>
      <c r="H2293" t="inlineStr">
        <is>
          <t>RJ</t>
        </is>
      </c>
      <c r="I2293" t="n">
        <v>7748</v>
      </c>
      <c r="J2293" t="inlineStr">
        <is>
          <t>CAT 5</t>
        </is>
      </c>
      <c r="K2293" t="inlineStr">
        <is>
          <t>Sim</t>
        </is>
      </c>
    </row>
    <row r="2294">
      <c r="A2294" s="1">
        <f>HYPERLINK("https://eurofarma-latam-crm.veevavault.com/#object/account__v/V4TZ04ASGMAKSL9", "Claudio Morgado")</f>
        <v/>
      </c>
      <c r="B2294" s="1">
        <f>HYPERLINK("https://eurofarma-latam-crm.veevavault.com/#object/account__v/V4TZ04ASGMAKSL9", "Claudio Hernanes Morgado")</f>
        <v/>
      </c>
      <c r="C2294" t="inlineStr">
        <is>
          <t>RJ0278070</t>
        </is>
      </c>
      <c r="D2294" t="inlineStr">
        <is>
          <t>PED</t>
        </is>
      </c>
      <c r="E2294" t="inlineStr">
        <is>
          <t>Rua Teresa, 1415</t>
        </is>
      </c>
      <c r="F2294" t="inlineStr">
        <is>
          <t>Alto da Serra</t>
        </is>
      </c>
      <c r="G2294" t="inlineStr">
        <is>
          <t>Petrópolis</t>
        </is>
      </c>
      <c r="H2294" t="inlineStr">
        <is>
          <t>RJ</t>
        </is>
      </c>
      <c r="I2294" t="n">
        <v>7748</v>
      </c>
      <c r="J2294" t="inlineStr">
        <is>
          <t>CAT 5</t>
        </is>
      </c>
      <c r="K2294" t="inlineStr">
        <is>
          <t>N�o</t>
        </is>
      </c>
    </row>
    <row r="2295">
      <c r="A2295" s="1">
        <f>HYPERLINK("https://eurofarma-latam-crm.veevavault.com/#object/account__v/V4TZ000018NYA4H", "Clei Pereira")</f>
        <v/>
      </c>
      <c r="B2295" s="1">
        <f>HYPERLINK("https://eurofarma-latam-crm.veevavault.com/#object/account__v/V4TZ000018NYA4H", "Clei Djane Soares Pereira")</f>
        <v/>
      </c>
      <c r="C2295" t="inlineStr">
        <is>
          <t>RJ0408251</t>
        </is>
      </c>
      <c r="D2295" t="inlineStr">
        <is>
          <t>CLG / END</t>
        </is>
      </c>
      <c r="E2295" t="inlineStr">
        <is>
          <t>Rua Benjamin Constant 300</t>
        </is>
      </c>
      <c r="F2295" t="inlineStr">
        <is>
          <t>Piabetá (Inhomirim)</t>
        </is>
      </c>
      <c r="G2295" t="inlineStr">
        <is>
          <t>Magé</t>
        </is>
      </c>
      <c r="H2295" t="inlineStr">
        <is>
          <t>RJ</t>
        </is>
      </c>
      <c r="I2295" t="n">
        <v>7748</v>
      </c>
      <c r="J2295" t="inlineStr">
        <is>
          <t>CAT 5</t>
        </is>
      </c>
      <c r="K2295" t="inlineStr">
        <is>
          <t>N�o</t>
        </is>
      </c>
    </row>
    <row r="2296">
      <c r="A2296" s="1">
        <f>HYPERLINK("https://eurofarma-latam-crm.veevavault.com/#object/account__v/V4TZ00001914R6Q", "Cristiana Malagrici")</f>
        <v/>
      </c>
      <c r="B2296" s="1">
        <f>HYPERLINK("https://eurofarma-latam-crm.veevavault.com/#object/account__v/V4TZ00001914R6Q", "Cristiana Batista Malagrici")</f>
        <v/>
      </c>
      <c r="C2296" t="inlineStr">
        <is>
          <t>RJ0768243</t>
        </is>
      </c>
      <c r="D2296" t="inlineStr">
        <is>
          <t>PED</t>
        </is>
      </c>
      <c r="E2296" t="inlineStr">
        <is>
          <t>Avenida General Osvaldo Cordeiro de Farias, 466</t>
        </is>
      </c>
      <c r="F2296" t="inlineStr">
        <is>
          <t>Marechal Hermes</t>
        </is>
      </c>
      <c r="G2296" t="inlineStr">
        <is>
          <t>Rio de Janeiro</t>
        </is>
      </c>
      <c r="H2296" t="inlineStr">
        <is>
          <t>RJ</t>
        </is>
      </c>
      <c r="I2296" t="n">
        <v>7748</v>
      </c>
      <c r="J2296" t="inlineStr">
        <is>
          <t>CAT 5</t>
        </is>
      </c>
      <c r="K2296" t="inlineStr">
        <is>
          <t>Sim</t>
        </is>
      </c>
    </row>
    <row r="2297">
      <c r="A2297" s="1">
        <f>HYPERLINK("https://eurofarma-latam-crm.veevavault.com/#object/account__v/V4TZ000018NZ4V7", "Cristina Matsumoto")</f>
        <v/>
      </c>
      <c r="B2297" s="1">
        <f>HYPERLINK("https://eurofarma-latam-crm.veevavault.com/#object/account__v/V4TZ000018NZ4V7", "Cristina Shizue Matsumoto")</f>
        <v/>
      </c>
      <c r="C2297" t="inlineStr">
        <is>
          <t>RJ0637076,SP0138708</t>
        </is>
      </c>
      <c r="D2297" t="inlineStr">
        <is>
          <t>PED</t>
        </is>
      </c>
      <c r="E2297" t="inlineStr">
        <is>
          <t>Rodovia BR-493, S/N</t>
        </is>
      </c>
      <c r="F2297" t="inlineStr">
        <is>
          <t>Centro (Manilha)</t>
        </is>
      </c>
      <c r="G2297" t="inlineStr">
        <is>
          <t>Itaboraí</t>
        </is>
      </c>
      <c r="H2297" t="inlineStr">
        <is>
          <t>RJ</t>
        </is>
      </c>
      <c r="I2297" t="n">
        <v>7748</v>
      </c>
      <c r="J2297" t="inlineStr">
        <is>
          <t>CAT 4</t>
        </is>
      </c>
      <c r="K2297" t="inlineStr">
        <is>
          <t>Sim</t>
        </is>
      </c>
    </row>
    <row r="2298">
      <c r="A2298" s="1">
        <f>HYPERLINK("https://eurofarma-latam-crm.veevavault.com/#object/account__v/V4TZ00001914BNG", "Cristina Quitete")</f>
        <v/>
      </c>
      <c r="B2298" s="1">
        <f>HYPERLINK("https://eurofarma-latam-crm.veevavault.com/#object/account__v/V4TZ00001914BNG", "Cristina Maria Marcolan Quitete")</f>
        <v/>
      </c>
      <c r="C2298" t="inlineStr">
        <is>
          <t>RJ0418456</t>
        </is>
      </c>
      <c r="D2298" t="inlineStr">
        <is>
          <t>CLG</t>
        </is>
      </c>
      <c r="E2298" t="inlineStr">
        <is>
          <t>Rua Nicomédio Anselmo de Oliveira, 50</t>
        </is>
      </c>
      <c r="F2298" t="inlineStr">
        <is>
          <t>Centro</t>
        </is>
      </c>
      <c r="G2298" t="inlineStr">
        <is>
          <t>Guapimirim</t>
        </is>
      </c>
      <c r="H2298" t="inlineStr">
        <is>
          <t>RJ</t>
        </is>
      </c>
      <c r="I2298" t="n">
        <v>7748</v>
      </c>
      <c r="J2298" t="inlineStr">
        <is>
          <t>CAT 5</t>
        </is>
      </c>
      <c r="K2298" t="inlineStr">
        <is>
          <t>Sim</t>
        </is>
      </c>
    </row>
    <row r="2299">
      <c r="A2299" s="1">
        <f>HYPERLINK("https://eurofarma-latam-crm.veevavault.com/#object/account__v/V4TZ04ASGNQ8A9C", "Dafne Hirschmann")</f>
        <v/>
      </c>
      <c r="B2299" s="1">
        <f>HYPERLINK("https://eurofarma-latam-crm.veevavault.com/#object/account__v/V4TZ04ASGNQ8A9C", "Dafne Lais Amaral Hirschmann")</f>
        <v/>
      </c>
      <c r="C2299" t="inlineStr">
        <is>
          <t>RJ1407650,SP0287880</t>
        </is>
      </c>
      <c r="D2299" t="inlineStr">
        <is>
          <t>CLG / END</t>
        </is>
      </c>
      <c r="E2299" t="inlineStr">
        <is>
          <t>Rua Nossa Senhora da Guia, 1250 - Casa</t>
        </is>
      </c>
      <c r="F2299" t="inlineStr">
        <is>
          <t>Piabetá (Inhomirim)</t>
        </is>
      </c>
      <c r="G2299" t="inlineStr">
        <is>
          <t>Magé</t>
        </is>
      </c>
      <c r="H2299" t="inlineStr">
        <is>
          <t>RJ</t>
        </is>
      </c>
      <c r="I2299" t="n">
        <v>7748</v>
      </c>
      <c r="J2299" t="inlineStr"/>
      <c r="K2299" t="inlineStr"/>
    </row>
    <row r="2300">
      <c r="A2300" s="1">
        <f>HYPERLINK("https://eurofarma-latam-crm.veevavault.com/#object/account__v/V4TZ000018NYEV4", "Daniel Albuquerque")</f>
        <v/>
      </c>
      <c r="B2300" s="1">
        <f>HYPERLINK("https://eurofarma-latam-crm.veevavault.com/#object/account__v/V4TZ000018NYEV4", "Daniel Carrano Albuquerque")</f>
        <v/>
      </c>
      <c r="C2300" t="inlineStr">
        <is>
          <t>RJ0210051</t>
        </is>
      </c>
      <c r="D2300" t="inlineStr">
        <is>
          <t>CLG</t>
        </is>
      </c>
      <c r="E2300" t="inlineStr">
        <is>
          <t>Rua Oswaldo Cruz, S/N</t>
        </is>
      </c>
      <c r="F2300" t="inlineStr">
        <is>
          <t>Bananal</t>
        </is>
      </c>
      <c r="G2300" t="inlineStr">
        <is>
          <t>Guapimirim</t>
        </is>
      </c>
      <c r="H2300" t="inlineStr">
        <is>
          <t>RJ</t>
        </is>
      </c>
      <c r="I2300" t="n">
        <v>7748</v>
      </c>
      <c r="J2300" t="inlineStr">
        <is>
          <t>CAT 5</t>
        </is>
      </c>
      <c r="K2300" t="inlineStr">
        <is>
          <t>Sim</t>
        </is>
      </c>
    </row>
    <row r="2301">
      <c r="A2301" s="1">
        <f>HYPERLINK("https://eurofarma-latam-crm.veevavault.com/#object/account__v/V4TZ00001915665", "Daniela Pereira")</f>
        <v/>
      </c>
      <c r="B2301" s="1">
        <f>HYPERLINK("https://eurofarma-latam-crm.veevavault.com/#object/account__v/V4TZ00001915665", "Daniela Parada Pereira")</f>
        <v/>
      </c>
      <c r="C2301" t="inlineStr">
        <is>
          <t>RJ1056735</t>
        </is>
      </c>
      <c r="D2301" t="inlineStr">
        <is>
          <t>CLG</t>
        </is>
      </c>
      <c r="E2301" t="inlineStr">
        <is>
          <t>Rua da Gamboa, 303</t>
        </is>
      </c>
      <c r="F2301" t="inlineStr">
        <is>
          <t>Gamboa</t>
        </is>
      </c>
      <c r="G2301" t="inlineStr">
        <is>
          <t>Rio de Janeiro</t>
        </is>
      </c>
      <c r="H2301" t="inlineStr">
        <is>
          <t>RJ</t>
        </is>
      </c>
      <c r="I2301" t="n">
        <v>7748</v>
      </c>
      <c r="J2301" t="inlineStr">
        <is>
          <t>CAT 5</t>
        </is>
      </c>
      <c r="K2301" t="inlineStr">
        <is>
          <t>Sim</t>
        </is>
      </c>
    </row>
    <row r="2302">
      <c r="A2302" s="1">
        <f>HYPERLINK("https://eurofarma-latam-crm.veevavault.com/#object/account__v/V4TZ00001915GZI", "Danielle Sant'Anna")</f>
        <v/>
      </c>
      <c r="B2302" s="1">
        <f>HYPERLINK("https://eurofarma-latam-crm.veevavault.com/#object/account__v/V4TZ00001915GZI", "Danielle de Almeida Sant'Anna")</f>
        <v/>
      </c>
      <c r="C2302" t="inlineStr">
        <is>
          <t>RJ0935859</t>
        </is>
      </c>
      <c r="D2302" t="inlineStr">
        <is>
          <t>PED</t>
        </is>
      </c>
      <c r="E2302" t="inlineStr">
        <is>
          <t>Rua da Imperatriz, 161</t>
        </is>
      </c>
      <c r="F2302" t="inlineStr">
        <is>
          <t>Realengo</t>
        </is>
      </c>
      <c r="G2302" t="inlineStr">
        <is>
          <t>Rio de Janeiro</t>
        </is>
      </c>
      <c r="H2302" t="inlineStr">
        <is>
          <t>RJ</t>
        </is>
      </c>
      <c r="I2302" t="n">
        <v>7748</v>
      </c>
      <c r="J2302" t="inlineStr">
        <is>
          <t>CAT 5</t>
        </is>
      </c>
      <c r="K2302" t="inlineStr">
        <is>
          <t>N�o</t>
        </is>
      </c>
    </row>
    <row r="2303">
      <c r="A2303" s="1">
        <f>HYPERLINK("https://eurofarma-latam-crm.veevavault.com/#object/account__v/V4TZ00001915VLT", "Dante Piccoli")</f>
        <v/>
      </c>
      <c r="B2303" s="1">
        <f>HYPERLINK("https://eurofarma-latam-crm.veevavault.com/#object/account__v/V4TZ00001915VLT", "Dante Alighieri Ferreira Piccoli")</f>
        <v/>
      </c>
      <c r="C2303" t="inlineStr">
        <is>
          <t>ES0015964,RJ1119940</t>
        </is>
      </c>
      <c r="D2303" t="inlineStr">
        <is>
          <t>CLG / PA</t>
        </is>
      </c>
      <c r="E2303" t="inlineStr">
        <is>
          <t>Rua Paulo Escodino, 32 - Casa</t>
        </is>
      </c>
      <c r="F2303" t="inlineStr">
        <is>
          <t>Silvana</t>
        </is>
      </c>
      <c r="G2303" t="inlineStr">
        <is>
          <t>Bom Jesus do Norte</t>
        </is>
      </c>
      <c r="H2303" t="inlineStr">
        <is>
          <t>ES</t>
        </is>
      </c>
      <c r="I2303" t="n">
        <v>7748</v>
      </c>
      <c r="J2303" t="inlineStr">
        <is>
          <t>CAT 4</t>
        </is>
      </c>
      <c r="K2303" t="inlineStr">
        <is>
          <t>Sim</t>
        </is>
      </c>
    </row>
    <row r="2304">
      <c r="A2304" s="1">
        <f>HYPERLINK("https://eurofarma-latam-crm.veevavault.com/#object/account__v/V4TZ0000191KTH4", "David da Rocha")</f>
        <v/>
      </c>
      <c r="B2304" s="1">
        <f>HYPERLINK("https://eurofarma-latam-crm.veevavault.com/#object/account__v/V4TZ0000191KTH4", "David Gitirana da Rocha")</f>
        <v/>
      </c>
      <c r="C2304" t="inlineStr">
        <is>
          <t>MG0098590,RJ1279041</t>
        </is>
      </c>
      <c r="D2304" t="inlineStr">
        <is>
          <t>CLG / PA</t>
        </is>
      </c>
      <c r="E2304" t="inlineStr">
        <is>
          <t>Rua Gastão Penalva, 119</t>
        </is>
      </c>
      <c r="F2304" t="inlineStr">
        <is>
          <t>Andaraí</t>
        </is>
      </c>
      <c r="G2304" t="inlineStr">
        <is>
          <t>Rio de Janeiro</t>
        </is>
      </c>
      <c r="H2304" t="inlineStr">
        <is>
          <t>RJ</t>
        </is>
      </c>
      <c r="I2304" t="n">
        <v>7748</v>
      </c>
      <c r="J2304" t="inlineStr">
        <is>
          <t>CAT 5</t>
        </is>
      </c>
      <c r="K2304" t="inlineStr">
        <is>
          <t>Sim</t>
        </is>
      </c>
    </row>
    <row r="2305">
      <c r="A2305" s="1">
        <f>HYPERLINK("https://eurofarma-latam-crm.veevavault.com/#object/account__v/V4TZ025E82UYS6G", "Dayane Montalvão")</f>
        <v/>
      </c>
      <c r="B2305" s="1">
        <f>HYPERLINK("https://eurofarma-latam-crm.veevavault.com/#object/account__v/V4TZ025E82UYS6G", "Dayane Gomes Montalvão")</f>
        <v/>
      </c>
      <c r="C2305" t="inlineStr">
        <is>
          <t>RJ1284371</t>
        </is>
      </c>
      <c r="D2305" t="inlineStr">
        <is>
          <t>NEU</t>
        </is>
      </c>
      <c r="E2305" t="inlineStr">
        <is>
          <t>Rua Antônio Ofreddes, 174</t>
        </is>
      </c>
      <c r="F2305" t="inlineStr">
        <is>
          <t>Flexeiras</t>
        </is>
      </c>
      <c r="G2305" t="inlineStr">
        <is>
          <t>Magé</t>
        </is>
      </c>
      <c r="H2305" t="inlineStr">
        <is>
          <t>RJ</t>
        </is>
      </c>
      <c r="I2305" t="n">
        <v>7748</v>
      </c>
      <c r="J2305" t="inlineStr">
        <is>
          <t>CAT 3</t>
        </is>
      </c>
      <c r="K2305" t="inlineStr">
        <is>
          <t>Sim</t>
        </is>
      </c>
    </row>
    <row r="2306">
      <c r="A2306" s="1">
        <f>HYPERLINK("https://eurofarma-latam-crm.veevavault.com/#object/account__v/V4TZ025E83TG65I", "Diego Granado")</f>
        <v/>
      </c>
      <c r="B2306" s="1">
        <f>HYPERLINK("https://eurofarma-latam-crm.veevavault.com/#object/account__v/V4TZ025E83TG65I", "Diego Tavares Granado")</f>
        <v/>
      </c>
      <c r="C2306" t="inlineStr">
        <is>
          <t>RJ1078879</t>
        </is>
      </c>
      <c r="D2306" t="inlineStr">
        <is>
          <t>CLG / PA</t>
        </is>
      </c>
      <c r="E2306" t="inlineStr">
        <is>
          <t>Avenida Henrique Valadares, 28 - Terreo</t>
        </is>
      </c>
      <c r="F2306" t="inlineStr">
        <is>
          <t>Centro</t>
        </is>
      </c>
      <c r="G2306" t="inlineStr">
        <is>
          <t>Rio de Janeiro</t>
        </is>
      </c>
      <c r="H2306" t="inlineStr">
        <is>
          <t>RJ</t>
        </is>
      </c>
      <c r="I2306" t="n">
        <v>7748</v>
      </c>
      <c r="J2306" t="inlineStr"/>
      <c r="K2306" t="inlineStr"/>
    </row>
    <row r="2307">
      <c r="A2307" s="1">
        <f>HYPERLINK("https://eurofarma-latam-crm.veevavault.com/#object/account__v/V4TZ000018NYCCF", "Dominique Nepomuceno")</f>
        <v/>
      </c>
      <c r="B2307" s="1">
        <f>HYPERLINK("https://eurofarma-latam-crm.veevavault.com/#object/account__v/V4TZ000018NYCCF", "Dominique Barbosa Nepomuceno")</f>
        <v/>
      </c>
      <c r="C2307" t="inlineStr">
        <is>
          <t>RJ1101110</t>
        </is>
      </c>
      <c r="D2307" t="inlineStr">
        <is>
          <t>PED</t>
        </is>
      </c>
      <c r="E2307" t="inlineStr">
        <is>
          <t>Rua República, S/N</t>
        </is>
      </c>
      <c r="F2307" t="inlineStr">
        <is>
          <t>Vila Ideal</t>
        </is>
      </c>
      <c r="G2307" t="inlineStr">
        <is>
          <t>Duque de Caxias</t>
        </is>
      </c>
      <c r="H2307" t="inlineStr">
        <is>
          <t>RJ</t>
        </is>
      </c>
      <c r="I2307" t="n">
        <v>7748</v>
      </c>
      <c r="J2307" t="inlineStr">
        <is>
          <t>CAT 5</t>
        </is>
      </c>
      <c r="K2307" t="inlineStr">
        <is>
          <t>Sim</t>
        </is>
      </c>
    </row>
    <row r="2308">
      <c r="A2308" s="1">
        <f>HYPERLINK("https://eurofarma-latam-crm.veevavault.com/#object/account__v/V4TZ000019130VZ", "Douglas Costa")</f>
        <v/>
      </c>
      <c r="B2308" s="1">
        <f>HYPERLINK("https://eurofarma-latam-crm.veevavault.com/#object/account__v/V4TZ000019130VZ", "Douglas de Almeida Costa")</f>
        <v/>
      </c>
      <c r="C2308" t="inlineStr">
        <is>
          <t>RJ1245643</t>
        </is>
      </c>
      <c r="D2308" t="inlineStr">
        <is>
          <t>CLG / PA</t>
        </is>
      </c>
      <c r="E2308" t="inlineStr">
        <is>
          <t>Rod Washington Luiz, S/N - Km 113 7</t>
        </is>
      </c>
      <c r="F2308" t="inlineStr">
        <is>
          <t>Vila Itamarati</t>
        </is>
      </c>
      <c r="G2308" t="inlineStr">
        <is>
          <t>Duque de Caxias</t>
        </is>
      </c>
      <c r="H2308" t="inlineStr">
        <is>
          <t>RJ</t>
        </is>
      </c>
      <c r="I2308" t="n">
        <v>7748</v>
      </c>
      <c r="J2308" t="inlineStr">
        <is>
          <t>CAT 4</t>
        </is>
      </c>
      <c r="K2308" t="inlineStr">
        <is>
          <t>Sim</t>
        </is>
      </c>
    </row>
    <row r="2309">
      <c r="A2309" s="1">
        <f>HYPERLINK("https://eurofarma-latam-crm.veevavault.com/#object/account__v/V4TZ025E8AYRNPT", "Edson Guedinho")</f>
        <v/>
      </c>
      <c r="B2309" s="1">
        <f>HYPERLINK("https://eurofarma-latam-crm.veevavault.com/#object/account__v/V4TZ025E8AYRNPT", "Edson Mendes Guedinho")</f>
        <v/>
      </c>
      <c r="C2309" t="inlineStr">
        <is>
          <t>RJ1213989</t>
        </is>
      </c>
      <c r="D2309" t="inlineStr">
        <is>
          <t>NEU</t>
        </is>
      </c>
      <c r="E2309" t="inlineStr">
        <is>
          <t>Avenida Lúcio Meira, 165 - Loja 4/5/11 e 12 Sobre Lojas</t>
        </is>
      </c>
      <c r="F2309" t="inlineStr">
        <is>
          <t>Várzea</t>
        </is>
      </c>
      <c r="G2309" t="inlineStr">
        <is>
          <t>Teresópolis</t>
        </is>
      </c>
      <c r="H2309" t="inlineStr">
        <is>
          <t>RJ</t>
        </is>
      </c>
      <c r="I2309" t="n">
        <v>7748</v>
      </c>
      <c r="J2309" t="inlineStr">
        <is>
          <t>CAT 4</t>
        </is>
      </c>
      <c r="K2309" t="inlineStr">
        <is>
          <t>Sim</t>
        </is>
      </c>
    </row>
    <row r="2310">
      <c r="A2310" s="1">
        <f>HYPERLINK("https://eurofarma-latam-crm.veevavault.com/#object/account__v/V4TZ025E88REQWH", "Edson Oliveira")</f>
        <v/>
      </c>
      <c r="B2310" s="1">
        <f>HYPERLINK("https://eurofarma-latam-crm.veevavault.com/#object/account__v/V4TZ025E88REQWH", "Edson Carlos Samuel Oliveira")</f>
        <v/>
      </c>
      <c r="C2310" t="inlineStr">
        <is>
          <t>RJ1334492</t>
        </is>
      </c>
      <c r="D2310" t="inlineStr">
        <is>
          <t>PED</t>
        </is>
      </c>
      <c r="E2310" t="inlineStr">
        <is>
          <t>Estrada de Adrianópolis, S/N</t>
        </is>
      </c>
      <c r="F2310" t="inlineStr">
        <is>
          <t>Adrianópolis</t>
        </is>
      </c>
      <c r="G2310" t="inlineStr">
        <is>
          <t>Nova Iguaçu</t>
        </is>
      </c>
      <c r="H2310" t="inlineStr">
        <is>
          <t>RJ</t>
        </is>
      </c>
      <c r="I2310" t="n">
        <v>7748</v>
      </c>
      <c r="J2310" t="inlineStr">
        <is>
          <t>CAT 5</t>
        </is>
      </c>
      <c r="K2310" t="inlineStr">
        <is>
          <t>N�o</t>
        </is>
      </c>
    </row>
    <row r="2311">
      <c r="A2311" s="1">
        <f>HYPERLINK("https://eurofarma-latam-crm.veevavault.com/#object/account__v/V4TZ025E83TG9XF", "Eduarda Pizolati")</f>
        <v/>
      </c>
      <c r="B2311" s="1">
        <f>HYPERLINK("https://eurofarma-latam-crm.veevavault.com/#object/account__v/V4TZ025E83TG9XF", "Eduarda Balsini Pizolati")</f>
        <v/>
      </c>
      <c r="C2311" t="inlineStr">
        <is>
          <t>RJ1286838</t>
        </is>
      </c>
      <c r="D2311" t="inlineStr">
        <is>
          <t>CLG / PA</t>
        </is>
      </c>
      <c r="E2311" t="inlineStr">
        <is>
          <t>Avenida Presidente Roosevelt, S/N</t>
        </is>
      </c>
      <c r="F2311" t="inlineStr">
        <is>
          <t>Jardim Rosário</t>
        </is>
      </c>
      <c r="G2311" t="inlineStr">
        <is>
          <t>Duque de Caxias</t>
        </is>
      </c>
      <c r="H2311" t="inlineStr">
        <is>
          <t>RJ</t>
        </is>
      </c>
      <c r="I2311" t="n">
        <v>7748</v>
      </c>
      <c r="J2311" t="inlineStr">
        <is>
          <t>CAT 5</t>
        </is>
      </c>
      <c r="K2311" t="inlineStr">
        <is>
          <t>N�o</t>
        </is>
      </c>
    </row>
    <row r="2312">
      <c r="A2312" s="1">
        <f>HYPERLINK("https://eurofarma-latam-crm.veevavault.com/#object/account__v/V4TZ025E89CXIP1", "Eduarda Soares")</f>
        <v/>
      </c>
      <c r="B2312" s="1">
        <f>HYPERLINK("https://eurofarma-latam-crm.veevavault.com/#object/account__v/V4TZ025E89CXIP1", "Eduarda Pereira Domicioli Soares")</f>
        <v/>
      </c>
      <c r="C2312" t="inlineStr">
        <is>
          <t>RJ1314580</t>
        </is>
      </c>
      <c r="D2312" t="inlineStr">
        <is>
          <t>CLG / PA</t>
        </is>
      </c>
      <c r="E2312" t="inlineStr">
        <is>
          <t>Est Real De Maua, S/N</t>
        </is>
      </c>
      <c r="F2312" t="inlineStr">
        <is>
          <t>Jardim da Paz (Guia de Pacobaíba)</t>
        </is>
      </c>
      <c r="G2312" t="inlineStr">
        <is>
          <t>Magé</t>
        </is>
      </c>
      <c r="H2312" t="inlineStr">
        <is>
          <t>RJ</t>
        </is>
      </c>
      <c r="I2312" t="n">
        <v>7748</v>
      </c>
      <c r="J2312" t="inlineStr">
        <is>
          <t>CAT 5</t>
        </is>
      </c>
      <c r="K2312" t="inlineStr">
        <is>
          <t>N�o</t>
        </is>
      </c>
    </row>
    <row r="2313">
      <c r="A2313" s="1">
        <f>HYPERLINK("https://eurofarma-latam-crm.veevavault.com/#object/account__v/V4TZ025E8CGYFKM", "Eduardo Braz")</f>
        <v/>
      </c>
      <c r="B2313" s="1">
        <f>HYPERLINK("https://eurofarma-latam-crm.veevavault.com/#object/account__v/V4TZ025E8CGYFKM", "Eduardo Branco Simões Braz")</f>
        <v/>
      </c>
      <c r="C2313" t="inlineStr">
        <is>
          <t>RJ1356925</t>
        </is>
      </c>
      <c r="D2313" t="inlineStr">
        <is>
          <t>CLG / PA</t>
        </is>
      </c>
      <c r="E2313" t="inlineStr">
        <is>
          <t>Rua Oswaldo Cruz, S/N</t>
        </is>
      </c>
      <c r="F2313" t="inlineStr">
        <is>
          <t>Bananal</t>
        </is>
      </c>
      <c r="G2313" t="inlineStr">
        <is>
          <t>Guapimirim</t>
        </is>
      </c>
      <c r="H2313" t="inlineStr">
        <is>
          <t>RJ</t>
        </is>
      </c>
      <c r="I2313" t="n">
        <v>7748</v>
      </c>
      <c r="J2313" t="inlineStr">
        <is>
          <t>CAT 5</t>
        </is>
      </c>
      <c r="K2313" t="inlineStr">
        <is>
          <t>N�o</t>
        </is>
      </c>
    </row>
    <row r="2314">
      <c r="A2314" s="1">
        <f>HYPERLINK("https://eurofarma-latam-crm.veevavault.com/#object/account__v/V4TZ00001915Z7Z", "Eduardo Neumann")</f>
        <v/>
      </c>
      <c r="B2314" s="1">
        <f>HYPERLINK("https://eurofarma-latam-crm.veevavault.com/#object/account__v/V4TZ00001915Z7Z", "Eduardo Neumann")</f>
        <v/>
      </c>
      <c r="C2314" t="inlineStr">
        <is>
          <t>RJ0949655</t>
        </is>
      </c>
      <c r="D2314" t="inlineStr">
        <is>
          <t>CLG / END</t>
        </is>
      </c>
      <c r="E2314" t="inlineStr">
        <is>
          <t>Rua Marechal Ângelo Mendes de Moraes, S/N</t>
        </is>
      </c>
      <c r="F2314" t="inlineStr">
        <is>
          <t>Centro (Vila Inhomirim)</t>
        </is>
      </c>
      <c r="G2314" t="inlineStr">
        <is>
          <t>Magé</t>
        </is>
      </c>
      <c r="H2314" t="inlineStr">
        <is>
          <t>RJ</t>
        </is>
      </c>
      <c r="I2314" t="n">
        <v>7748</v>
      </c>
      <c r="J2314" t="inlineStr"/>
      <c r="K2314" t="inlineStr"/>
    </row>
    <row r="2315">
      <c r="A2315" s="1">
        <f>HYPERLINK("https://eurofarma-latam-crm.veevavault.com/#object/account__v/V4TZ00001915CHM", "Elias Srur Filho")</f>
        <v/>
      </c>
      <c r="B2315" s="1">
        <f>HYPERLINK("https://eurofarma-latam-crm.veevavault.com/#object/account__v/V4TZ00001915CHM", "Elias Neif Srur Filho")</f>
        <v/>
      </c>
      <c r="C2315" t="inlineStr">
        <is>
          <t>RJ0789291</t>
        </is>
      </c>
      <c r="D2315" t="inlineStr">
        <is>
          <t>END</t>
        </is>
      </c>
      <c r="E2315" t="inlineStr">
        <is>
          <t>Avenida Perimetral Pedro Lessa, S/N - Quadra 23 Lote 23</t>
        </is>
      </c>
      <c r="F2315" t="inlineStr">
        <is>
          <t>Olavo Bilac</t>
        </is>
      </c>
      <c r="G2315" t="inlineStr">
        <is>
          <t>Duque de Caxias</t>
        </is>
      </c>
      <c r="H2315" t="inlineStr">
        <is>
          <t>RJ</t>
        </is>
      </c>
      <c r="I2315" t="n">
        <v>7748</v>
      </c>
      <c r="J2315" t="inlineStr">
        <is>
          <t>CAT 2</t>
        </is>
      </c>
      <c r="K2315" t="inlineStr">
        <is>
          <t>Sim</t>
        </is>
      </c>
    </row>
    <row r="2316">
      <c r="A2316" s="1">
        <f>HYPERLINK("https://eurofarma-latam-crm.veevavault.com/#object/account__v/V4TZ000018NY9WZ", "Elisabete Leitão")</f>
        <v/>
      </c>
      <c r="B2316" s="1">
        <f>HYPERLINK("https://eurofarma-latam-crm.veevavault.com/#object/account__v/V4TZ000018NY9WZ", "Elisabete D'almada Franklin Leitão")</f>
        <v/>
      </c>
      <c r="C2316" t="inlineStr">
        <is>
          <t>RJ0559964</t>
        </is>
      </c>
      <c r="D2316" t="inlineStr">
        <is>
          <t>ORT</t>
        </is>
      </c>
      <c r="E2316" t="inlineStr">
        <is>
          <t>Avenida Automóvel Clube, 1443 - Loja</t>
        </is>
      </c>
      <c r="F2316" t="inlineStr">
        <is>
          <t>Vila Carvalho (Vila Inhomirim)</t>
        </is>
      </c>
      <c r="G2316" t="inlineStr">
        <is>
          <t>Magé</t>
        </is>
      </c>
      <c r="H2316" t="inlineStr">
        <is>
          <t>RJ</t>
        </is>
      </c>
      <c r="I2316" t="n">
        <v>7748</v>
      </c>
      <c r="J2316" t="inlineStr">
        <is>
          <t>CAT 5</t>
        </is>
      </c>
      <c r="K2316" t="inlineStr">
        <is>
          <t>Sim</t>
        </is>
      </c>
    </row>
    <row r="2317">
      <c r="A2317" s="1">
        <f>HYPERLINK("https://eurofarma-latam-crm.veevavault.com/#object/account__v/V4TZ00001913ES9", "Elizabeth Suedte")</f>
        <v/>
      </c>
      <c r="B2317" s="1">
        <f>HYPERLINK("https://eurofarma-latam-crm.veevavault.com/#object/account__v/V4TZ00001913ES9", "Elizabeth Rodrigues de Alencar Suedte")</f>
        <v/>
      </c>
      <c r="C2317" t="inlineStr">
        <is>
          <t>RJ0739464</t>
        </is>
      </c>
      <c r="D2317" t="inlineStr">
        <is>
          <t>CLG / END</t>
        </is>
      </c>
      <c r="E2317" t="inlineStr">
        <is>
          <t>Avenida Governador Leonel de Moura Brizola, 2231</t>
        </is>
      </c>
      <c r="F2317" t="inlineStr">
        <is>
          <t>Vila Leopoldina</t>
        </is>
      </c>
      <c r="G2317" t="inlineStr">
        <is>
          <t>Duque de Caxias</t>
        </is>
      </c>
      <c r="H2317" t="inlineStr">
        <is>
          <t>RJ</t>
        </is>
      </c>
      <c r="I2317" t="n">
        <v>7748</v>
      </c>
      <c r="J2317" t="inlineStr">
        <is>
          <t>CAT 5</t>
        </is>
      </c>
      <c r="K2317" t="inlineStr">
        <is>
          <t>Sim</t>
        </is>
      </c>
    </row>
    <row r="2318">
      <c r="A2318" s="1">
        <f>HYPERLINK("https://eurofarma-latam-crm.veevavault.com/#object/account__v/V4TZ000018NYHC7", "Emedilson de Magalhaes Junior")</f>
        <v/>
      </c>
      <c r="B2318" s="1">
        <f>HYPERLINK("https://eurofarma-latam-crm.veevavault.com/#object/account__v/V4TZ000018NYHC7", "Emedilson Garcia de Magalhaes Junior")</f>
        <v/>
      </c>
      <c r="C2318" t="inlineStr">
        <is>
          <t>RJ0921432</t>
        </is>
      </c>
      <c r="D2318" t="inlineStr">
        <is>
          <t>CLG / SNC</t>
        </is>
      </c>
      <c r="E2318" t="inlineStr">
        <is>
          <t>Rua Antônio Ofreddes, 174</t>
        </is>
      </c>
      <c r="F2318" t="inlineStr">
        <is>
          <t>Flexeiras</t>
        </is>
      </c>
      <c r="G2318" t="inlineStr">
        <is>
          <t>Magé</t>
        </is>
      </c>
      <c r="H2318" t="inlineStr">
        <is>
          <t>RJ</t>
        </is>
      </c>
      <c r="I2318" t="n">
        <v>7748</v>
      </c>
      <c r="J2318" t="inlineStr">
        <is>
          <t>CAT 2</t>
        </is>
      </c>
      <c r="K2318" t="inlineStr">
        <is>
          <t>Sim</t>
        </is>
      </c>
    </row>
    <row r="2319">
      <c r="A2319" s="1">
        <f>HYPERLINK("https://eurofarma-latam-crm.veevavault.com/#object/account__v/V4TZ00001915QZZ", "Emerson Craveiro")</f>
        <v/>
      </c>
      <c r="B2319" s="1">
        <f>HYPERLINK("https://eurofarma-latam-crm.veevavault.com/#object/account__v/V4TZ00001915QZZ", "Emerson Bruno Alencar Craveiro")</f>
        <v/>
      </c>
      <c r="C2319" t="inlineStr">
        <is>
          <t>RJ1220012</t>
        </is>
      </c>
      <c r="D2319" t="inlineStr">
        <is>
          <t>END</t>
        </is>
      </c>
      <c r="E2319" t="inlineStr">
        <is>
          <t>Rua Vinte e Cinco de Agosto, 1</t>
        </is>
      </c>
      <c r="F2319" t="inlineStr">
        <is>
          <t>Vila Santa Alice</t>
        </is>
      </c>
      <c r="G2319" t="inlineStr">
        <is>
          <t>Duque de Caxias</t>
        </is>
      </c>
      <c r="H2319" t="inlineStr">
        <is>
          <t>RJ</t>
        </is>
      </c>
      <c r="I2319" t="n">
        <v>7748</v>
      </c>
      <c r="J2319" t="inlineStr">
        <is>
          <t>CAT 3</t>
        </is>
      </c>
      <c r="K2319" t="inlineStr">
        <is>
          <t>Sim</t>
        </is>
      </c>
    </row>
    <row r="2320">
      <c r="A2320" s="1">
        <f>HYPERLINK("https://eurofarma-latam-crm.veevavault.com/#object/account__v/V4TZ00001915HBY", "Emmanuel Santos")</f>
        <v/>
      </c>
      <c r="B2320" s="1">
        <f>HYPERLINK("https://eurofarma-latam-crm.veevavault.com/#object/account__v/V4TZ00001915HBY", "Emmanuel Correa Santos")</f>
        <v/>
      </c>
      <c r="C2320" t="inlineStr">
        <is>
          <t>RJ0200963</t>
        </is>
      </c>
      <c r="D2320" t="inlineStr">
        <is>
          <t>NEU</t>
        </is>
      </c>
      <c r="E2320" t="inlineStr">
        <is>
          <t>Rua Professor Alfredo Goncalves Filgueiras, 18 - Sala 104 E 105</t>
        </is>
      </c>
      <c r="F2320" t="inlineStr">
        <is>
          <t>Centro</t>
        </is>
      </c>
      <c r="G2320" t="inlineStr">
        <is>
          <t>Nilópolis</t>
        </is>
      </c>
      <c r="H2320" t="inlineStr">
        <is>
          <t>RJ</t>
        </is>
      </c>
      <c r="I2320" t="n">
        <v>7748</v>
      </c>
      <c r="J2320" t="inlineStr">
        <is>
          <t>CAT 3</t>
        </is>
      </c>
      <c r="K2320" t="inlineStr">
        <is>
          <t>Sim</t>
        </is>
      </c>
    </row>
    <row r="2321">
      <c r="A2321" s="1">
        <f>HYPERLINK("https://eurofarma-latam-crm.veevavault.com/#object/account__v/V4TZ00001916IQ5", "Érica Cunha")</f>
        <v/>
      </c>
      <c r="B2321" s="1">
        <f>HYPERLINK("https://eurofarma-latam-crm.veevavault.com/#object/account__v/V4TZ00001916IQ5", "Érica Alves Dias da Cunha")</f>
        <v/>
      </c>
      <c r="C2321" t="inlineStr">
        <is>
          <t>RJ1152718</t>
        </is>
      </c>
      <c r="D2321" t="inlineStr">
        <is>
          <t>PED</t>
        </is>
      </c>
      <c r="E2321" t="inlineStr">
        <is>
          <t>Avenida Armando Lombardi, 333</t>
        </is>
      </c>
      <c r="F2321" t="inlineStr">
        <is>
          <t>Barra da Tijuca</t>
        </is>
      </c>
      <c r="G2321" t="inlineStr">
        <is>
          <t>Rio de Janeiro</t>
        </is>
      </c>
      <c r="H2321" t="inlineStr">
        <is>
          <t>RJ</t>
        </is>
      </c>
      <c r="I2321" t="n">
        <v>7748</v>
      </c>
      <c r="J2321" t="inlineStr">
        <is>
          <t>CAT 4</t>
        </is>
      </c>
      <c r="K2321" t="inlineStr">
        <is>
          <t>Sim</t>
        </is>
      </c>
    </row>
    <row r="2322">
      <c r="A2322" s="1">
        <f>HYPERLINK("https://eurofarma-latam-crm.veevavault.com/#object/account__v/V4TZ025E8ENPW1I", "Estevam Ullmann")</f>
        <v/>
      </c>
      <c r="B2322" s="1">
        <f>HYPERLINK("https://eurofarma-latam-crm.veevavault.com/#object/account__v/V4TZ025E8ENPW1I", "Estevam Candido Ullmann")</f>
        <v/>
      </c>
      <c r="C2322" t="inlineStr">
        <is>
          <t>RJ1297082</t>
        </is>
      </c>
      <c r="D2322" t="inlineStr">
        <is>
          <t>CLG / END</t>
        </is>
      </c>
      <c r="E2322" t="inlineStr">
        <is>
          <t>Rua Combu, 191</t>
        </is>
      </c>
      <c r="F2322" t="inlineStr">
        <is>
          <t>Jardim Carioca</t>
        </is>
      </c>
      <c r="G2322" t="inlineStr">
        <is>
          <t>Rio de Janeiro</t>
        </is>
      </c>
      <c r="H2322" t="inlineStr">
        <is>
          <t>RJ</t>
        </is>
      </c>
      <c r="I2322" t="n">
        <v>7748</v>
      </c>
      <c r="J2322" t="inlineStr"/>
      <c r="K2322" t="inlineStr"/>
    </row>
    <row r="2323">
      <c r="A2323" s="1">
        <f>HYPERLINK("https://eurofarma-latam-crm.veevavault.com/#object/account__v/V4TZ025E88M2EVW", "Fabiana Nogueira")</f>
        <v/>
      </c>
      <c r="B2323" s="1">
        <f>HYPERLINK("https://eurofarma-latam-crm.veevavault.com/#object/account__v/V4TZ025E88M2EVW", "Fabiana Cunha Nogueira")</f>
        <v/>
      </c>
      <c r="C2323" t="inlineStr">
        <is>
          <t>RJ1327534</t>
        </is>
      </c>
      <c r="D2323" t="inlineStr">
        <is>
          <t>PED</t>
        </is>
      </c>
      <c r="E2323" t="inlineStr">
        <is>
          <t>Avenida Lúcio Meira, 379</t>
        </is>
      </c>
      <c r="F2323" t="inlineStr">
        <is>
          <t>Várzea</t>
        </is>
      </c>
      <c r="G2323" t="inlineStr">
        <is>
          <t>Teresópolis</t>
        </is>
      </c>
      <c r="H2323" t="inlineStr">
        <is>
          <t>RJ</t>
        </is>
      </c>
      <c r="I2323" t="n">
        <v>7748</v>
      </c>
      <c r="J2323" t="inlineStr"/>
      <c r="K2323" t="inlineStr"/>
    </row>
    <row r="2324">
      <c r="A2324" s="1">
        <f>HYPERLINK("https://eurofarma-latam-crm.veevavault.com/#object/account__v/V4TZ00001916563", "Fábio da Silva")</f>
        <v/>
      </c>
      <c r="B2324" s="1">
        <f>HYPERLINK("https://eurofarma-latam-crm.veevavault.com/#object/account__v/V4TZ00001916563", "Fábio Seixas da Silva")</f>
        <v/>
      </c>
      <c r="C2324" t="inlineStr">
        <is>
          <t>RJ1095595,SP0233301</t>
        </is>
      </c>
      <c r="D2324" t="inlineStr">
        <is>
          <t>NEU</t>
        </is>
      </c>
      <c r="E2324" t="inlineStr">
        <is>
          <t>Praça Estefania de Carvalho, S/N</t>
        </is>
      </c>
      <c r="F2324" t="inlineStr">
        <is>
          <t>Zé Garoto</t>
        </is>
      </c>
      <c r="G2324" t="inlineStr">
        <is>
          <t>São Gonçalo</t>
        </is>
      </c>
      <c r="H2324" t="inlineStr">
        <is>
          <t>RJ</t>
        </is>
      </c>
      <c r="I2324" t="n">
        <v>7748</v>
      </c>
      <c r="J2324" t="inlineStr">
        <is>
          <t>CAT 3</t>
        </is>
      </c>
      <c r="K2324" t="inlineStr">
        <is>
          <t>Sim</t>
        </is>
      </c>
    </row>
    <row r="2325">
      <c r="A2325" s="1">
        <f>HYPERLINK("https://eurofarma-latam-crm.veevavault.com/#object/account__v/V4TZ025E855F6ZK", "Fabio Rondinelli")</f>
        <v/>
      </c>
      <c r="B2325" s="1">
        <f>HYPERLINK("https://eurofarma-latam-crm.veevavault.com/#object/account__v/V4TZ025E855F6ZK", "Fabio Gianini Rondinelli")</f>
        <v/>
      </c>
      <c r="C2325" t="inlineStr">
        <is>
          <t>RJ3305866</t>
        </is>
      </c>
      <c r="D2325" t="inlineStr">
        <is>
          <t>CLG</t>
        </is>
      </c>
      <c r="E2325" t="inlineStr">
        <is>
          <t>Rua José Zarzur, 91</t>
        </is>
      </c>
      <c r="F2325" t="inlineStr">
        <is>
          <t>Vila Nova (Suruí)</t>
        </is>
      </c>
      <c r="G2325" t="inlineStr">
        <is>
          <t>Magé</t>
        </is>
      </c>
      <c r="H2325" t="inlineStr">
        <is>
          <t>RJ</t>
        </is>
      </c>
      <c r="I2325" t="n">
        <v>7748</v>
      </c>
      <c r="J2325" t="inlineStr">
        <is>
          <t>CAT 5</t>
        </is>
      </c>
      <c r="K2325" t="inlineStr">
        <is>
          <t>N�o</t>
        </is>
      </c>
    </row>
    <row r="2326">
      <c r="A2326" s="1">
        <f>HYPERLINK("https://eurofarma-latam-crm.veevavault.com/#object/account__v/V4TZ00001914WU5", "Felippe Barreiro")</f>
        <v/>
      </c>
      <c r="B2326" s="1">
        <f>HYPERLINK("https://eurofarma-latam-crm.veevavault.com/#object/account__v/V4TZ00001914WU5", "Felippe Carneiro Beleiro Barreiro")</f>
        <v/>
      </c>
      <c r="C2326" t="inlineStr">
        <is>
          <t>RJ0816752</t>
        </is>
      </c>
      <c r="D2326" t="inlineStr">
        <is>
          <t>URO</t>
        </is>
      </c>
      <c r="E2326" t="inlineStr">
        <is>
          <t>Rua Baronesa de Mesquita, 316</t>
        </is>
      </c>
      <c r="F2326" t="inlineStr">
        <is>
          <t>Cosmorama</t>
        </is>
      </c>
      <c r="G2326" t="inlineStr">
        <is>
          <t>Mesquita</t>
        </is>
      </c>
      <c r="H2326" t="inlineStr">
        <is>
          <t>RJ</t>
        </is>
      </c>
      <c r="I2326" t="n">
        <v>7748</v>
      </c>
      <c r="J2326" t="inlineStr">
        <is>
          <t>CAT 2</t>
        </is>
      </c>
      <c r="K2326" t="inlineStr">
        <is>
          <t>Sim</t>
        </is>
      </c>
    </row>
    <row r="2327">
      <c r="A2327" s="1">
        <f>HYPERLINK("https://eurofarma-latam-crm.veevavault.com/#object/account__v/V4TZ00001916GKS", "Fernanda de Salles")</f>
        <v/>
      </c>
      <c r="B2327" s="1">
        <f>HYPERLINK("https://eurofarma-latam-crm.veevavault.com/#object/account__v/V4TZ00001916GKS", "Fernanda de Salles")</f>
        <v/>
      </c>
      <c r="C2327" t="inlineStr">
        <is>
          <t>RJ1133101</t>
        </is>
      </c>
      <c r="D2327" t="inlineStr">
        <is>
          <t>PSQ</t>
        </is>
      </c>
      <c r="E2327" t="inlineStr">
        <is>
          <t>Estrada Nilo Peçanha, 11365 - Sal 0340</t>
        </is>
      </c>
      <c r="F2327" t="inlineStr">
        <is>
          <t>Olinda</t>
        </is>
      </c>
      <c r="G2327" t="inlineStr">
        <is>
          <t>Nilópolis</t>
        </is>
      </c>
      <c r="H2327" t="inlineStr">
        <is>
          <t>RJ</t>
        </is>
      </c>
      <c r="I2327" t="n">
        <v>7748</v>
      </c>
      <c r="J2327" t="inlineStr">
        <is>
          <t>CAT 2</t>
        </is>
      </c>
      <c r="K2327" t="inlineStr">
        <is>
          <t>Sim</t>
        </is>
      </c>
    </row>
    <row r="2328">
      <c r="A2328" s="1">
        <f>HYPERLINK("https://eurofarma-latam-crm.veevavault.com/#object/account__v/V4TZ000018NY80E", "Fernanda Feijo")</f>
        <v/>
      </c>
      <c r="B2328" s="1">
        <f>HYPERLINK("https://eurofarma-latam-crm.veevavault.com/#object/account__v/V4TZ000018NY80E", "Fernanda Deolinda Alves Feijo")</f>
        <v/>
      </c>
      <c r="C2328" t="inlineStr">
        <is>
          <t>RJ0895130</t>
        </is>
      </c>
      <c r="D2328" t="inlineStr">
        <is>
          <t>PED</t>
        </is>
      </c>
      <c r="E2328" t="inlineStr">
        <is>
          <t>Rua do Prado, 325</t>
        </is>
      </c>
      <c r="F2328" t="inlineStr">
        <is>
          <t>Santa Cruz</t>
        </is>
      </c>
      <c r="G2328" t="inlineStr">
        <is>
          <t>Rio de Janeiro</t>
        </is>
      </c>
      <c r="H2328" t="inlineStr">
        <is>
          <t>RJ</t>
        </is>
      </c>
      <c r="I2328" t="n">
        <v>7748</v>
      </c>
      <c r="J2328" t="inlineStr">
        <is>
          <t>CAT 5</t>
        </is>
      </c>
      <c r="K2328" t="inlineStr">
        <is>
          <t>N�o</t>
        </is>
      </c>
    </row>
    <row r="2329">
      <c r="A2329" s="1">
        <f>HYPERLINK("https://eurofarma-latam-crm.veevavault.com/#object/account__v/V4TZ000019151IA", "Fernando Goulart")</f>
        <v/>
      </c>
      <c r="B2329" s="1">
        <f>HYPERLINK("https://eurofarma-latam-crm.veevavault.com/#object/account__v/V4TZ000019151IA", "Fernando Eduardo Guedes Goulart")</f>
        <v/>
      </c>
      <c r="C2329" t="inlineStr">
        <is>
          <t>RJ0383447</t>
        </is>
      </c>
      <c r="D2329" t="inlineStr">
        <is>
          <t>CLG / END</t>
        </is>
      </c>
      <c r="E2329" t="inlineStr">
        <is>
          <t>Rua Arthur Neiva, 100</t>
        </is>
      </c>
      <c r="F2329" t="inlineStr">
        <is>
          <t>Vila Itamarati</t>
        </is>
      </c>
      <c r="G2329" t="inlineStr">
        <is>
          <t>Duque de Caxias</t>
        </is>
      </c>
      <c r="H2329" t="inlineStr">
        <is>
          <t>RJ</t>
        </is>
      </c>
      <c r="I2329" t="n">
        <v>7748</v>
      </c>
      <c r="J2329" t="inlineStr">
        <is>
          <t>CAT 5</t>
        </is>
      </c>
      <c r="K2329" t="inlineStr">
        <is>
          <t>Sim</t>
        </is>
      </c>
    </row>
    <row r="2330">
      <c r="A2330" s="1">
        <f>HYPERLINK("https://eurofarma-latam-crm.veevavault.com/#object/account__v/V4TZ025E82SZVY0", "Flana Repani")</f>
        <v/>
      </c>
      <c r="B2330" s="1">
        <f>HYPERLINK("https://eurofarma-latam-crm.veevavault.com/#object/account__v/V4TZ025E82SZVY0", "Flana da Silva Repani")</f>
        <v/>
      </c>
      <c r="C2330" t="inlineStr">
        <is>
          <t>RJ1283308</t>
        </is>
      </c>
      <c r="D2330" t="inlineStr">
        <is>
          <t>PED</t>
        </is>
      </c>
      <c r="E2330" t="inlineStr">
        <is>
          <t>Rua Ulisses Ribua, S/N</t>
        </is>
      </c>
      <c r="F2330" t="inlineStr">
        <is>
          <t>Citrolândia</t>
        </is>
      </c>
      <c r="G2330" t="inlineStr">
        <is>
          <t>Magé</t>
        </is>
      </c>
      <c r="H2330" t="inlineStr">
        <is>
          <t>RJ</t>
        </is>
      </c>
      <c r="I2330" t="n">
        <v>7748</v>
      </c>
      <c r="J2330" t="inlineStr">
        <is>
          <t>CAT 5</t>
        </is>
      </c>
      <c r="K2330" t="inlineStr">
        <is>
          <t>Sim</t>
        </is>
      </c>
    </row>
    <row r="2331">
      <c r="A2331" s="1">
        <f>HYPERLINK("https://eurofarma-latam-crm.veevavault.com/#object/account__v/V4TZ000018NXW66", "Flavia Rambauske")</f>
        <v/>
      </c>
      <c r="B2331" s="1">
        <f>HYPERLINK("https://eurofarma-latam-crm.veevavault.com/#object/account__v/V4TZ000018NXW66", "Flavia Rambauske")</f>
        <v/>
      </c>
      <c r="C2331" t="inlineStr">
        <is>
          <t>RJ0661317</t>
        </is>
      </c>
      <c r="D2331" t="inlineStr">
        <is>
          <t>PED</t>
        </is>
      </c>
      <c r="E2331" t="inlineStr">
        <is>
          <t>Rua Muniz Barreto, 535</t>
        </is>
      </c>
      <c r="F2331" t="inlineStr">
        <is>
          <t>Botafogo</t>
        </is>
      </c>
      <c r="G2331" t="inlineStr">
        <is>
          <t>Rio de Janeiro</t>
        </is>
      </c>
      <c r="H2331" t="inlineStr">
        <is>
          <t>RJ</t>
        </is>
      </c>
      <c r="I2331" t="n">
        <v>7748</v>
      </c>
      <c r="J2331" t="inlineStr">
        <is>
          <t>CAT 5</t>
        </is>
      </c>
      <c r="K2331" t="inlineStr">
        <is>
          <t>N�o</t>
        </is>
      </c>
    </row>
    <row r="2332">
      <c r="A2332" s="1">
        <f>HYPERLINK("https://eurofarma-latam-crm.veevavault.com/#object/account__v/V4TZ0000191685U", "Flavio de Mattos")</f>
        <v/>
      </c>
      <c r="B2332" s="1">
        <f>HYPERLINK("https://eurofarma-latam-crm.veevavault.com/#object/account__v/V4TZ0000191685U", "Flavio Blois de Mattos")</f>
        <v/>
      </c>
      <c r="C2332" t="inlineStr">
        <is>
          <t>RJ0452074,SP0090017</t>
        </is>
      </c>
      <c r="D2332" t="inlineStr">
        <is>
          <t>GAS</t>
        </is>
      </c>
      <c r="E2332" t="inlineStr">
        <is>
          <t>Avenida Feliciano Sodré, 791 - Loja Fracao A</t>
        </is>
      </c>
      <c r="F2332" t="inlineStr">
        <is>
          <t>Várzea</t>
        </is>
      </c>
      <c r="G2332" t="inlineStr">
        <is>
          <t>Teresópolis</t>
        </is>
      </c>
      <c r="H2332" t="inlineStr">
        <is>
          <t>RJ</t>
        </is>
      </c>
      <c r="I2332" t="n">
        <v>7748</v>
      </c>
      <c r="J2332" t="inlineStr">
        <is>
          <t>CAT 5</t>
        </is>
      </c>
      <c r="K2332" t="inlineStr">
        <is>
          <t>Sim</t>
        </is>
      </c>
    </row>
    <row r="2333">
      <c r="A2333" s="1">
        <f>HYPERLINK("https://eurofarma-latam-crm.veevavault.com/#object/account__v/V4TZ00001914ZL0", "Flavio de Mello")</f>
        <v/>
      </c>
      <c r="B2333" s="1">
        <f>HYPERLINK("https://eurofarma-latam-crm.veevavault.com/#object/account__v/V4TZ00001914ZL0", "Flavio Ferreira de Mello")</f>
        <v/>
      </c>
      <c r="C2333" t="inlineStr">
        <is>
          <t>RJ0398970</t>
        </is>
      </c>
      <c r="D2333" t="inlineStr">
        <is>
          <t>NEU</t>
        </is>
      </c>
      <c r="E2333" t="inlineStr">
        <is>
          <t>Avenida Perimetral Pedro Lessa, S/N - Quadra 23 Lote 23</t>
        </is>
      </c>
      <c r="F2333" t="inlineStr">
        <is>
          <t>Olavo Bilac</t>
        </is>
      </c>
      <c r="G2333" t="inlineStr">
        <is>
          <t>Duque de Caxias</t>
        </is>
      </c>
      <c r="H2333" t="inlineStr">
        <is>
          <t>RJ</t>
        </is>
      </c>
      <c r="I2333" t="n">
        <v>7748</v>
      </c>
      <c r="J2333" t="inlineStr">
        <is>
          <t>CAT 3</t>
        </is>
      </c>
      <c r="K2333" t="inlineStr">
        <is>
          <t>Sim</t>
        </is>
      </c>
    </row>
    <row r="2334">
      <c r="A2334" s="1">
        <f>HYPERLINK("https://eurofarma-latam-crm.veevavault.com/#object/account__v/V4TZ00001914G9V", "Francisco Jose Ferreira")</f>
        <v/>
      </c>
      <c r="B2334" s="1">
        <f>HYPERLINK("https://eurofarma-latam-crm.veevavault.com/#object/account__v/V4TZ00001914G9V", "Francisco Jose de Souza Dantas Ferreira")</f>
        <v/>
      </c>
      <c r="C2334" t="inlineStr">
        <is>
          <t>RJ0630020</t>
        </is>
      </c>
      <c r="D2334" t="inlineStr">
        <is>
          <t>PED</t>
        </is>
      </c>
      <c r="E2334" t="inlineStr">
        <is>
          <t>Rua Antônio Ofreddes, 174</t>
        </is>
      </c>
      <c r="F2334" t="inlineStr">
        <is>
          <t>Flexeiras</t>
        </is>
      </c>
      <c r="G2334" t="inlineStr">
        <is>
          <t>Magé</t>
        </is>
      </c>
      <c r="H2334" t="inlineStr">
        <is>
          <t>RJ</t>
        </is>
      </c>
      <c r="I2334" t="n">
        <v>7748</v>
      </c>
      <c r="J2334" t="inlineStr">
        <is>
          <t>CAT 4</t>
        </is>
      </c>
      <c r="K2334" t="inlineStr">
        <is>
          <t>Sim</t>
        </is>
      </c>
    </row>
    <row r="2335">
      <c r="A2335" s="1">
        <f>HYPERLINK("https://eurofarma-latam-crm.veevavault.com/#object/account__v/V4TZ00001914L8D", "Francisco Márcio Cordeiro")</f>
        <v/>
      </c>
      <c r="B2335" s="1">
        <f>HYPERLINK("https://eurofarma-latam-crm.veevavault.com/#object/account__v/V4TZ00001914L8D", "Francisco Márcio Barcellos Cordeiro")</f>
        <v/>
      </c>
      <c r="C2335" t="inlineStr">
        <is>
          <t>RJ0605934</t>
        </is>
      </c>
      <c r="D2335" t="inlineStr">
        <is>
          <t>NEU</t>
        </is>
      </c>
      <c r="E2335" t="inlineStr">
        <is>
          <t>Rua Yolanda Saad Abuzaid, 51 - Sl 210211</t>
        </is>
      </c>
      <c r="F2335" t="inlineStr">
        <is>
          <t>Alcântara</t>
        </is>
      </c>
      <c r="G2335" t="inlineStr">
        <is>
          <t>São Gonçalo</t>
        </is>
      </c>
      <c r="H2335" t="inlineStr">
        <is>
          <t>RJ</t>
        </is>
      </c>
      <c r="I2335" t="n">
        <v>7748</v>
      </c>
      <c r="J2335" t="inlineStr">
        <is>
          <t>CAT 4</t>
        </is>
      </c>
      <c r="K2335" t="inlineStr">
        <is>
          <t>Sim</t>
        </is>
      </c>
    </row>
    <row r="2336">
      <c r="A2336" s="1">
        <f>HYPERLINK("https://eurofarma-latam-crm.veevavault.com/#object/account__v/V4TZ025E84TKKT2", "Fumi Okatani")</f>
        <v/>
      </c>
      <c r="B2336" s="1">
        <f>HYPERLINK("https://eurofarma-latam-crm.veevavault.com/#object/account__v/V4TZ025E84TKKT2", "Fumi Okatani")</f>
        <v/>
      </c>
      <c r="C2336" t="inlineStr">
        <is>
          <t>RJ0838560</t>
        </is>
      </c>
      <c r="D2336" t="inlineStr">
        <is>
          <t>ORT</t>
        </is>
      </c>
      <c r="E2336" t="inlineStr">
        <is>
          <t>Rua Doutor Athaíde Pimenta de Moraes, 715 - Loja Lote 21</t>
        </is>
      </c>
      <c r="F2336" t="inlineStr">
        <is>
          <t>Centro</t>
        </is>
      </c>
      <c r="G2336" t="inlineStr">
        <is>
          <t>Nova Iguaçu</t>
        </is>
      </c>
      <c r="H2336" t="inlineStr">
        <is>
          <t>RJ</t>
        </is>
      </c>
      <c r="I2336" t="n">
        <v>7748</v>
      </c>
      <c r="J2336" t="inlineStr">
        <is>
          <t>CAT 4</t>
        </is>
      </c>
      <c r="K2336" t="inlineStr">
        <is>
          <t>Sim</t>
        </is>
      </c>
    </row>
    <row r="2337">
      <c r="A2337" s="1">
        <f>HYPERLINK("https://eurofarma-latam-crm.veevavault.com/#object/account__v/V4TZ025E848YM09", "Gabriela Cavalcanti")</f>
        <v/>
      </c>
      <c r="B2337" s="1">
        <f>HYPERLINK("https://eurofarma-latam-crm.veevavault.com/#object/account__v/V4TZ025E848YM09", "Gabriela Miranda Cavalcanti")</f>
        <v/>
      </c>
      <c r="C2337" t="inlineStr">
        <is>
          <t>RJ1284002</t>
        </is>
      </c>
      <c r="D2337" t="inlineStr">
        <is>
          <t>PED</t>
        </is>
      </c>
      <c r="E2337" t="inlineStr">
        <is>
          <t>Estrada do Pacheco, 1051</t>
        </is>
      </c>
      <c r="F2337" t="inlineStr">
        <is>
          <t>Pacheco</t>
        </is>
      </c>
      <c r="G2337" t="inlineStr">
        <is>
          <t>São Gonçalo</t>
        </is>
      </c>
      <c r="H2337" t="inlineStr">
        <is>
          <t>RJ</t>
        </is>
      </c>
      <c r="I2337" t="n">
        <v>7748</v>
      </c>
      <c r="J2337" t="inlineStr">
        <is>
          <t>CAT 5</t>
        </is>
      </c>
      <c r="K2337" t="inlineStr">
        <is>
          <t>N�o</t>
        </is>
      </c>
    </row>
    <row r="2338">
      <c r="A2338" s="1">
        <f>HYPERLINK("https://eurofarma-latam-crm.veevavault.com/#object/account__v/V4TZ0000191N9YT", "Gabriela da Cunha")</f>
        <v/>
      </c>
      <c r="B2338" s="1">
        <f>HYPERLINK("https://eurofarma-latam-crm.veevavault.com/#object/account__v/V4TZ0000191N9YT", "Gabriela Martins da Cunha")</f>
        <v/>
      </c>
      <c r="C2338" t="inlineStr">
        <is>
          <t>RJ1095390</t>
        </is>
      </c>
      <c r="D2338" t="inlineStr">
        <is>
          <t>PED</t>
        </is>
      </c>
      <c r="E2338" t="inlineStr">
        <is>
          <t>Boulevard Vinte e Oito de Setembro, 77</t>
        </is>
      </c>
      <c r="F2338" t="inlineStr">
        <is>
          <t>Vila Isabel</t>
        </is>
      </c>
      <c r="G2338" t="inlineStr">
        <is>
          <t>Rio de Janeiro</t>
        </is>
      </c>
      <c r="H2338" t="inlineStr">
        <is>
          <t>RJ</t>
        </is>
      </c>
      <c r="I2338" t="n">
        <v>7748</v>
      </c>
      <c r="J2338" t="inlineStr">
        <is>
          <t>CAT 5</t>
        </is>
      </c>
      <c r="K2338" t="inlineStr">
        <is>
          <t>N�o</t>
        </is>
      </c>
    </row>
    <row r="2339">
      <c r="A2339" s="1">
        <f>HYPERLINK("https://eurofarma-latam-crm.veevavault.com/#object/account__v/V4TZ025E83U7Y5C", "Gabriella Hautequestt")</f>
        <v/>
      </c>
      <c r="B2339" s="1">
        <f>HYPERLINK("https://eurofarma-latam-crm.veevavault.com/#object/account__v/V4TZ025E83U7Y5C", "Gabriella Ferreira Hautequestt")</f>
        <v/>
      </c>
      <c r="C2339" t="inlineStr">
        <is>
          <t>ES0020459,RJ1317504</t>
        </is>
      </c>
      <c r="D2339" t="inlineStr">
        <is>
          <t>CLG / PA</t>
        </is>
      </c>
      <c r="E2339" t="inlineStr">
        <is>
          <t>Rua da Gamboa, 303</t>
        </is>
      </c>
      <c r="F2339" t="inlineStr">
        <is>
          <t>Gamboa</t>
        </is>
      </c>
      <c r="G2339" t="inlineStr">
        <is>
          <t>Rio de Janeiro</t>
        </is>
      </c>
      <c r="H2339" t="inlineStr">
        <is>
          <t>RJ</t>
        </is>
      </c>
      <c r="I2339" t="n">
        <v>7748</v>
      </c>
      <c r="J2339" t="inlineStr">
        <is>
          <t>CAT 5</t>
        </is>
      </c>
      <c r="K2339" t="inlineStr">
        <is>
          <t>N�o</t>
        </is>
      </c>
    </row>
    <row r="2340">
      <c r="A2340" s="1">
        <f>HYPERLINK("https://eurofarma-latam-crm.veevavault.com/#object/account__v/V4TZ000019166N3", "Gabriella Tavares")</f>
        <v/>
      </c>
      <c r="B2340" s="1">
        <f>HYPERLINK("https://eurofarma-latam-crm.veevavault.com/#object/account__v/V4TZ000019166N3", "Gabriella Amaral Lima Seixas Tavares")</f>
        <v/>
      </c>
      <c r="C2340" t="inlineStr">
        <is>
          <t>RJ0937746</t>
        </is>
      </c>
      <c r="D2340" t="inlineStr">
        <is>
          <t>CLG / END</t>
        </is>
      </c>
      <c r="E2340" t="inlineStr">
        <is>
          <t>Rua Santos Dumont, 100</t>
        </is>
      </c>
      <c r="F2340" t="inlineStr">
        <is>
          <t>Centro</t>
        </is>
      </c>
      <c r="G2340" t="inlineStr">
        <is>
          <t>Petrópolis</t>
        </is>
      </c>
      <c r="H2340" t="inlineStr">
        <is>
          <t>RJ</t>
        </is>
      </c>
      <c r="I2340" t="n">
        <v>7748</v>
      </c>
      <c r="J2340" t="inlineStr">
        <is>
          <t>CAT 5</t>
        </is>
      </c>
      <c r="K2340" t="inlineStr">
        <is>
          <t>Sim</t>
        </is>
      </c>
    </row>
    <row r="2341">
      <c r="A2341" s="1">
        <f>HYPERLINK("https://eurofarma-latam-crm.veevavault.com/#object/account__v/V4TZ0000191699P", "Gastão Antonio Tavares")</f>
        <v/>
      </c>
      <c r="B2341" s="1">
        <f>HYPERLINK("https://eurofarma-latam-crm.veevavault.com/#object/account__v/V4TZ0000191699P", "Gastão Antonio Cosate Tavares")</f>
        <v/>
      </c>
      <c r="C2341" t="inlineStr">
        <is>
          <t>RJ0214310</t>
        </is>
      </c>
      <c r="D2341" t="inlineStr">
        <is>
          <t>PSQ</t>
        </is>
      </c>
      <c r="E2341" t="inlineStr">
        <is>
          <t>Rua Arthur Rodrigues Loivos, 283 - Parte</t>
        </is>
      </c>
      <c r="F2341" t="inlineStr">
        <is>
          <t>Piabetá (Inhomirim)</t>
        </is>
      </c>
      <c r="G2341" t="inlineStr">
        <is>
          <t>Magé</t>
        </is>
      </c>
      <c r="H2341" t="inlineStr">
        <is>
          <t>RJ</t>
        </is>
      </c>
      <c r="I2341" t="n">
        <v>7748</v>
      </c>
      <c r="J2341" t="inlineStr">
        <is>
          <t>CAT 3</t>
        </is>
      </c>
      <c r="K2341" t="inlineStr">
        <is>
          <t>Sim</t>
        </is>
      </c>
    </row>
    <row r="2342">
      <c r="A2342" s="1">
        <f>HYPERLINK("https://eurofarma-latam-crm.veevavault.com/#object/account__v/V4TZ00001915NFD", "Geraldo Jangutta")</f>
        <v/>
      </c>
      <c r="B2342" s="1">
        <f>HYPERLINK("https://eurofarma-latam-crm.veevavault.com/#object/account__v/V4TZ00001915NFD", "Geraldo Cardoni Jangutta")</f>
        <v/>
      </c>
      <c r="C2342" t="inlineStr">
        <is>
          <t>RJ0153850</t>
        </is>
      </c>
      <c r="D2342" t="inlineStr">
        <is>
          <t>PSQ</t>
        </is>
      </c>
      <c r="E2342" t="inlineStr">
        <is>
          <t>Rua Oswaldo Cruz, S/N</t>
        </is>
      </c>
      <c r="F2342" t="inlineStr">
        <is>
          <t>Bananal</t>
        </is>
      </c>
      <c r="G2342" t="inlineStr">
        <is>
          <t>Guapimirim</t>
        </is>
      </c>
      <c r="H2342" t="inlineStr">
        <is>
          <t>RJ</t>
        </is>
      </c>
      <c r="I2342" t="n">
        <v>7748</v>
      </c>
      <c r="J2342" t="inlineStr">
        <is>
          <t>CAT 5</t>
        </is>
      </c>
      <c r="K2342" t="inlineStr">
        <is>
          <t>Sim</t>
        </is>
      </c>
    </row>
    <row r="2343">
      <c r="A2343" s="1">
        <f>HYPERLINK("https://eurofarma-latam-crm.veevavault.com/#object/account__v/V4TZ000018NYHBQ", "Gilson da Silva Junior")</f>
        <v/>
      </c>
      <c r="B2343" s="1">
        <f>HYPERLINK("https://eurofarma-latam-crm.veevavault.com/#object/account__v/V4TZ000018NYHBQ", "Gilson Freire da Silva Junior")</f>
        <v/>
      </c>
      <c r="C2343" t="inlineStr">
        <is>
          <t>RJ0953342</t>
        </is>
      </c>
      <c r="D2343" t="inlineStr">
        <is>
          <t>PED</t>
        </is>
      </c>
      <c r="E2343" t="inlineStr">
        <is>
          <t>Rua Seis, S/N</t>
        </is>
      </c>
      <c r="F2343" t="inlineStr">
        <is>
          <t>Vila Santo Antônio</t>
        </is>
      </c>
      <c r="G2343" t="inlineStr">
        <is>
          <t>Duque de Caxias</t>
        </is>
      </c>
      <c r="H2343" t="inlineStr">
        <is>
          <t>RJ</t>
        </is>
      </c>
      <c r="I2343" t="n">
        <v>7748</v>
      </c>
      <c r="J2343" t="inlineStr">
        <is>
          <t>CAT 5</t>
        </is>
      </c>
      <c r="K2343" t="inlineStr">
        <is>
          <t>Sim</t>
        </is>
      </c>
    </row>
    <row r="2344">
      <c r="A2344" s="1">
        <f>HYPERLINK("https://eurofarma-latam-crm.veevavault.com/#object/account__v/V4TZ025E85SJA2V", "Giovanna Machado")</f>
        <v/>
      </c>
      <c r="B2344" s="1">
        <f>HYPERLINK("https://eurofarma-latam-crm.veevavault.com/#object/account__v/V4TZ025E85SJA2V", "Giovanna Coelho de Oliveira Machado")</f>
        <v/>
      </c>
      <c r="C2344" t="inlineStr">
        <is>
          <t>RJ1310089</t>
        </is>
      </c>
      <c r="D2344" t="inlineStr">
        <is>
          <t>CLG / PA</t>
        </is>
      </c>
      <c r="E2344" t="inlineStr">
        <is>
          <t>Rua Tenente Luiz Meirelles, S/N</t>
        </is>
      </c>
      <c r="F2344" t="inlineStr">
        <is>
          <t>Várzea</t>
        </is>
      </c>
      <c r="G2344" t="inlineStr">
        <is>
          <t>Teresópolis</t>
        </is>
      </c>
      <c r="H2344" t="inlineStr">
        <is>
          <t>RJ</t>
        </is>
      </c>
      <c r="I2344" t="n">
        <v>7748</v>
      </c>
      <c r="J2344" t="inlineStr">
        <is>
          <t>CAT 5</t>
        </is>
      </c>
      <c r="K2344" t="inlineStr">
        <is>
          <t>Sim</t>
        </is>
      </c>
    </row>
    <row r="2345">
      <c r="A2345" s="1">
        <f>HYPERLINK("https://eurofarma-latam-crm.veevavault.com/#object/account__v/V4TZ000018NZ8RD", "Gisele Givisiez")</f>
        <v/>
      </c>
      <c r="B2345" s="1">
        <f>HYPERLINK("https://eurofarma-latam-crm.veevavault.com/#object/account__v/V4TZ000018NZ8RD", "Gisele Magalhães Nantes Givisiez")</f>
        <v/>
      </c>
      <c r="C2345" t="inlineStr">
        <is>
          <t>RJ0875465</t>
        </is>
      </c>
      <c r="D2345" t="inlineStr">
        <is>
          <t>END</t>
        </is>
      </c>
      <c r="E2345" t="inlineStr">
        <is>
          <t>Rua Oswaldo Cruz, S/N</t>
        </is>
      </c>
      <c r="F2345" t="inlineStr">
        <is>
          <t>Bananal</t>
        </is>
      </c>
      <c r="G2345" t="inlineStr">
        <is>
          <t>Guapimirim</t>
        </is>
      </c>
      <c r="H2345" t="inlineStr">
        <is>
          <t>RJ</t>
        </is>
      </c>
      <c r="I2345" t="n">
        <v>7748</v>
      </c>
      <c r="J2345" t="inlineStr">
        <is>
          <t>CAT 3</t>
        </is>
      </c>
      <c r="K2345" t="inlineStr">
        <is>
          <t>Sim</t>
        </is>
      </c>
    </row>
    <row r="2346">
      <c r="A2346" s="1">
        <f>HYPERLINK("https://eurofarma-latam-crm.veevavault.com/#object/account__v/V4TZ000018NXQJ6", "Giuliana Jannotti")</f>
        <v/>
      </c>
      <c r="B2346" s="1">
        <f>HYPERLINK("https://eurofarma-latam-crm.veevavault.com/#object/account__v/V4TZ000018NXQJ6", "Giuliana Jahara Moreira Gomes Mazza Jannotti")</f>
        <v/>
      </c>
      <c r="C2346" t="inlineStr">
        <is>
          <t>RJ0819212</t>
        </is>
      </c>
      <c r="D2346" t="inlineStr">
        <is>
          <t>PED</t>
        </is>
      </c>
      <c r="E2346" t="inlineStr">
        <is>
          <t>Rua Oswaldo Cruz, S/N</t>
        </is>
      </c>
      <c r="F2346" t="inlineStr">
        <is>
          <t>Bananal</t>
        </is>
      </c>
      <c r="G2346" t="inlineStr">
        <is>
          <t>Guapimirim</t>
        </is>
      </c>
      <c r="H2346" t="inlineStr">
        <is>
          <t>RJ</t>
        </is>
      </c>
      <c r="I2346" t="n">
        <v>7748</v>
      </c>
      <c r="J2346" t="inlineStr">
        <is>
          <t>CAT 4</t>
        </is>
      </c>
      <c r="K2346" t="inlineStr">
        <is>
          <t>Sim</t>
        </is>
      </c>
    </row>
    <row r="2347">
      <c r="A2347" s="1">
        <f>HYPERLINK("https://eurofarma-latam-crm.veevavault.com/#object/account__v/V4TZ000018NXTC8", "Gláucio Vinícius Teixeira")</f>
        <v/>
      </c>
      <c r="B2347" s="1">
        <f>HYPERLINK("https://eurofarma-latam-crm.veevavault.com/#object/account__v/V4TZ000018NXTC8", "Gláucio Vinícius Garcez Teixeira")</f>
        <v/>
      </c>
      <c r="C2347" t="inlineStr">
        <is>
          <t>RJ0590520</t>
        </is>
      </c>
      <c r="D2347" t="inlineStr">
        <is>
          <t>CLG / END</t>
        </is>
      </c>
      <c r="E2347" t="inlineStr">
        <is>
          <t>Avenida de Santa Cruz, 598</t>
        </is>
      </c>
      <c r="F2347" t="inlineStr">
        <is>
          <t>Realengo</t>
        </is>
      </c>
      <c r="G2347" t="inlineStr">
        <is>
          <t>Rio de Janeiro</t>
        </is>
      </c>
      <c r="H2347" t="inlineStr">
        <is>
          <t>RJ</t>
        </is>
      </c>
      <c r="I2347" t="n">
        <v>7748</v>
      </c>
      <c r="J2347" t="inlineStr">
        <is>
          <t>CAT 4</t>
        </is>
      </c>
      <c r="K2347" t="inlineStr">
        <is>
          <t>Sim</t>
        </is>
      </c>
    </row>
    <row r="2348">
      <c r="A2348" s="1">
        <f>HYPERLINK("https://eurofarma-latam-crm.veevavault.com/#object/account__v/V4TZ000018NYPEI", "Guilherme Barbosa")</f>
        <v/>
      </c>
      <c r="B2348" s="1">
        <f>HYPERLINK("https://eurofarma-latam-crm.veevavault.com/#object/account__v/V4TZ000018NYPEI", "Guilherme de Almeida Barbosa")</f>
        <v/>
      </c>
      <c r="C2348" t="inlineStr">
        <is>
          <t>MG0101348,RJ0922927</t>
        </is>
      </c>
      <c r="D2348" t="inlineStr">
        <is>
          <t>CLG / PA</t>
        </is>
      </c>
      <c r="E2348" t="inlineStr">
        <is>
          <t>Rua Magé, 107</t>
        </is>
      </c>
      <c r="F2348" t="inlineStr">
        <is>
          <t>Piabetá (Inhomirim)</t>
        </is>
      </c>
      <c r="G2348" t="inlineStr">
        <is>
          <t>Magé</t>
        </is>
      </c>
      <c r="H2348" t="inlineStr">
        <is>
          <t>RJ</t>
        </is>
      </c>
      <c r="I2348" t="n">
        <v>7748</v>
      </c>
      <c r="J2348" t="inlineStr">
        <is>
          <t>CAT 5</t>
        </is>
      </c>
      <c r="K2348" t="inlineStr">
        <is>
          <t>Sim</t>
        </is>
      </c>
    </row>
    <row r="2349">
      <c r="A2349" s="1">
        <f>HYPERLINK("https://eurofarma-latam-crm.veevavault.com/#object/account__v/V4TZ04ASGLT8T38", "Guilherme de Souza")</f>
        <v/>
      </c>
      <c r="B2349" s="1">
        <f>HYPERLINK("https://eurofarma-latam-crm.veevavault.com/#object/account__v/V4TZ04ASGLT8T38", "Guilherme Paes Espindola de Souza")</f>
        <v/>
      </c>
      <c r="C2349" t="inlineStr">
        <is>
          <t>RJ1384572</t>
        </is>
      </c>
      <c r="D2349" t="inlineStr">
        <is>
          <t>CLG / PA</t>
        </is>
      </c>
      <c r="E2349" t="inlineStr">
        <is>
          <t>Rua Presidente Roosevelt, S/N</t>
        </is>
      </c>
      <c r="F2349" t="inlineStr">
        <is>
          <t>Saracuruna</t>
        </is>
      </c>
      <c r="G2349" t="inlineStr">
        <is>
          <t>Duque de Caxias</t>
        </is>
      </c>
      <c r="H2349" t="inlineStr">
        <is>
          <t>RJ</t>
        </is>
      </c>
      <c r="I2349" t="n">
        <v>7748</v>
      </c>
      <c r="J2349" t="inlineStr">
        <is>
          <t>CAT 5</t>
        </is>
      </c>
      <c r="K2349" t="inlineStr">
        <is>
          <t>N�o</t>
        </is>
      </c>
    </row>
    <row r="2350">
      <c r="A2350" s="1">
        <f>HYPERLINK("https://eurofarma-latam-crm.veevavault.com/#object/account__v/V4TZ000018NZ6OE", "Guilherme Paula")</f>
        <v/>
      </c>
      <c r="B2350" s="1">
        <f>HYPERLINK("https://eurofarma-latam-crm.veevavault.com/#object/account__v/V4TZ000018NZ6OE", "Guilherme Matioli de Paula")</f>
        <v/>
      </c>
      <c r="C2350" t="inlineStr">
        <is>
          <t>RJ1202421</t>
        </is>
      </c>
      <c r="D2350" t="inlineStr">
        <is>
          <t>CLG / PA</t>
        </is>
      </c>
      <c r="E2350" t="inlineStr">
        <is>
          <t>Avenida Automóvel Clube, S/N</t>
        </is>
      </c>
      <c r="F2350" t="inlineStr">
        <is>
          <t>Chácaras Arcampo</t>
        </is>
      </c>
      <c r="G2350" t="inlineStr">
        <is>
          <t>Duque de Caxias</t>
        </is>
      </c>
      <c r="H2350" t="inlineStr">
        <is>
          <t>RJ</t>
        </is>
      </c>
      <c r="I2350" t="n">
        <v>7748</v>
      </c>
      <c r="J2350" t="inlineStr">
        <is>
          <t>CAT 5</t>
        </is>
      </c>
      <c r="K2350" t="inlineStr">
        <is>
          <t>Sim</t>
        </is>
      </c>
    </row>
    <row r="2351">
      <c r="A2351" s="1">
        <f>HYPERLINK("https://eurofarma-latam-crm.veevavault.com/#object/account__v/V4TZ025E868I5OL", "Gustavo Cunha")</f>
        <v/>
      </c>
      <c r="B2351" s="1">
        <f>HYPERLINK("https://eurofarma-latam-crm.veevavault.com/#object/account__v/V4TZ025E868I5OL", "Gustavo Ferreira Cunha")</f>
        <v/>
      </c>
      <c r="C2351" t="inlineStr">
        <is>
          <t>MG0084718,RJ1229540</t>
        </is>
      </c>
      <c r="D2351" t="inlineStr">
        <is>
          <t>PSQ</t>
        </is>
      </c>
      <c r="E2351" t="inlineStr">
        <is>
          <t>Rua Santa Catarina, S/N</t>
        </is>
      </c>
      <c r="F2351" t="inlineStr">
        <is>
          <t>Vila Santa Cruz</t>
        </is>
      </c>
      <c r="G2351" t="inlineStr">
        <is>
          <t>Duque de Caxias</t>
        </is>
      </c>
      <c r="H2351" t="inlineStr">
        <is>
          <t>RJ</t>
        </is>
      </c>
      <c r="I2351" t="n">
        <v>7748</v>
      </c>
      <c r="J2351" t="inlineStr">
        <is>
          <t>CAT 5</t>
        </is>
      </c>
      <c r="K2351" t="inlineStr">
        <is>
          <t>Sim</t>
        </is>
      </c>
    </row>
    <row r="2352">
      <c r="A2352" s="1">
        <f>HYPERLINK("https://eurofarma-latam-crm.veevavault.com/#object/account__v/V4TZ00001914ENJ", "Gustavo Gomes")</f>
        <v/>
      </c>
      <c r="B2352" s="1">
        <f>HYPERLINK("https://eurofarma-latam-crm.veevavault.com/#object/account__v/V4TZ00001914ENJ", "Gustavo Fernandes Vieira Gomes")</f>
        <v/>
      </c>
      <c r="C2352" t="inlineStr">
        <is>
          <t>RJ0985538</t>
        </is>
      </c>
      <c r="D2352" t="inlineStr">
        <is>
          <t>PED</t>
        </is>
      </c>
      <c r="E2352" t="inlineStr">
        <is>
          <t>Avenida Automóvel Clube, S/N</t>
        </is>
      </c>
      <c r="F2352" t="inlineStr">
        <is>
          <t>Chácaras Arcampo</t>
        </is>
      </c>
      <c r="G2352" t="inlineStr">
        <is>
          <t>Duque de Caxias</t>
        </is>
      </c>
      <c r="H2352" t="inlineStr">
        <is>
          <t>RJ</t>
        </is>
      </c>
      <c r="I2352" t="n">
        <v>7748</v>
      </c>
      <c r="J2352" t="inlineStr">
        <is>
          <t>CAT 4</t>
        </is>
      </c>
      <c r="K2352" t="inlineStr">
        <is>
          <t>Sim</t>
        </is>
      </c>
    </row>
    <row r="2353">
      <c r="A2353" s="1">
        <f>HYPERLINK("https://eurofarma-latam-crm.veevavault.com/#object/account__v/V4TZ00001913OID", "Helio Barreiros")</f>
        <v/>
      </c>
      <c r="B2353" s="1">
        <f>HYPERLINK("https://eurofarma-latam-crm.veevavault.com/#object/account__v/V4TZ00001913OID", "Helio Pancotti Barreiros")</f>
        <v/>
      </c>
      <c r="C2353" t="inlineStr">
        <is>
          <t>RJ0548541</t>
        </is>
      </c>
      <c r="D2353" t="inlineStr">
        <is>
          <t>NEU</t>
        </is>
      </c>
      <c r="E2353" t="inlineStr">
        <is>
          <t>Rua Serafim Coelho Gomes, 49</t>
        </is>
      </c>
      <c r="F2353" t="inlineStr">
        <is>
          <t>Centro</t>
        </is>
      </c>
      <c r="G2353" t="inlineStr">
        <is>
          <t>Cachoeiras de Macacu</t>
        </is>
      </c>
      <c r="H2353" t="inlineStr">
        <is>
          <t>RJ</t>
        </is>
      </c>
      <c r="I2353" t="n">
        <v>7748</v>
      </c>
      <c r="J2353" t="inlineStr">
        <is>
          <t>CAT 2</t>
        </is>
      </c>
      <c r="K2353" t="inlineStr">
        <is>
          <t>Sim</t>
        </is>
      </c>
    </row>
    <row r="2354">
      <c r="A2354" s="1">
        <f>HYPERLINK("https://eurofarma-latam-crm.veevavault.com/#object/account__v/V4TZ025E85Q1567", "Igor Rodrigues")</f>
        <v/>
      </c>
      <c r="B2354" s="1">
        <f>HYPERLINK("https://eurofarma-latam-crm.veevavault.com/#object/account__v/V4TZ025E85Q1567", "Igor Dias Fontainha Rodrigues")</f>
        <v/>
      </c>
      <c r="C2354" t="inlineStr">
        <is>
          <t>RJ1310550</t>
        </is>
      </c>
      <c r="D2354" t="inlineStr">
        <is>
          <t>CLG / PA</t>
        </is>
      </c>
      <c r="E2354" t="inlineStr">
        <is>
          <t>Rua Conde de Bonfim, S/N</t>
        </is>
      </c>
      <c r="F2354" t="inlineStr">
        <is>
          <t>Tijuca</t>
        </is>
      </c>
      <c r="G2354" t="inlineStr">
        <is>
          <t>Rio de Janeiro</t>
        </is>
      </c>
      <c r="H2354" t="inlineStr">
        <is>
          <t>RJ</t>
        </is>
      </c>
      <c r="I2354" t="n">
        <v>7748</v>
      </c>
      <c r="J2354" t="inlineStr">
        <is>
          <t>CAT 5</t>
        </is>
      </c>
      <c r="K2354" t="inlineStr">
        <is>
          <t>Sim</t>
        </is>
      </c>
    </row>
    <row r="2355">
      <c r="A2355" s="1">
        <f>HYPERLINK("https://eurofarma-latam-crm.veevavault.com/#object/account__v/V4TZ04ASGN27Y7Q", "Igor Silveira")</f>
        <v/>
      </c>
      <c r="B2355" s="1">
        <f>HYPERLINK("https://eurofarma-latam-crm.veevavault.com/#object/account__v/V4TZ04ASGN27Y7Q", "Igor Andrade Silveira")</f>
        <v/>
      </c>
      <c r="C2355" t="inlineStr">
        <is>
          <t>MG0113156,RJ1403390</t>
        </is>
      </c>
      <c r="D2355" t="inlineStr">
        <is>
          <t>CLG / PA</t>
        </is>
      </c>
      <c r="E2355" t="inlineStr">
        <is>
          <t>Rua Oswaldo Cruz, S/N</t>
        </is>
      </c>
      <c r="F2355" t="inlineStr">
        <is>
          <t>Bananal</t>
        </is>
      </c>
      <c r="G2355" t="inlineStr">
        <is>
          <t>Guapimirim</t>
        </is>
      </c>
      <c r="H2355" t="inlineStr">
        <is>
          <t>RJ</t>
        </is>
      </c>
      <c r="I2355" t="n">
        <v>7748</v>
      </c>
      <c r="J2355" t="inlineStr">
        <is>
          <t>CAT 5</t>
        </is>
      </c>
      <c r="K2355" t="inlineStr">
        <is>
          <t>N�o</t>
        </is>
      </c>
    </row>
    <row r="2356">
      <c r="A2356" s="1">
        <f>HYPERLINK("https://eurofarma-latam-crm.veevavault.com/#object/account__v/V4TZ00001913AWX", "Ingrid Cristina Haack")</f>
        <v/>
      </c>
      <c r="B2356" s="1">
        <f>HYPERLINK("https://eurofarma-latam-crm.veevavault.com/#object/account__v/V4TZ00001913AWX", "Ingrid Cristina Haack")</f>
        <v/>
      </c>
      <c r="C2356" t="inlineStr">
        <is>
          <t>RJ0279052</t>
        </is>
      </c>
      <c r="D2356" t="inlineStr">
        <is>
          <t>ORT</t>
        </is>
      </c>
      <c r="E2356" t="inlineStr">
        <is>
          <t>Rua Paulino Afonso, 455</t>
        </is>
      </c>
      <c r="F2356" t="inlineStr">
        <is>
          <t>Centro</t>
        </is>
      </c>
      <c r="G2356" t="inlineStr">
        <is>
          <t>Petrópolis</t>
        </is>
      </c>
      <c r="H2356" t="inlineStr">
        <is>
          <t>RJ</t>
        </is>
      </c>
      <c r="I2356" t="n">
        <v>7748</v>
      </c>
      <c r="J2356" t="inlineStr">
        <is>
          <t>CAT 4</t>
        </is>
      </c>
      <c r="K2356" t="inlineStr">
        <is>
          <t>Sim</t>
        </is>
      </c>
    </row>
    <row r="2357">
      <c r="A2357" s="1">
        <f>HYPERLINK("https://eurofarma-latam-crm.veevavault.com/#object/account__v/V4TZ000018NXXWO", "Ingrid Miguez")</f>
        <v/>
      </c>
      <c r="B2357" s="1">
        <f>HYPERLINK("https://eurofarma-latam-crm.veevavault.com/#object/account__v/V4TZ000018NXXWO", "Ingrid Luise Braga Miguez")</f>
        <v/>
      </c>
      <c r="C2357" t="inlineStr">
        <is>
          <t>RJ0933546</t>
        </is>
      </c>
      <c r="D2357" t="inlineStr">
        <is>
          <t>PED</t>
        </is>
      </c>
      <c r="E2357" t="inlineStr">
        <is>
          <t>Rua Frei Caneca, 50</t>
        </is>
      </c>
      <c r="F2357" t="inlineStr">
        <is>
          <t>Centro</t>
        </is>
      </c>
      <c r="G2357" t="inlineStr">
        <is>
          <t>Rio de Janeiro</t>
        </is>
      </c>
      <c r="H2357" t="inlineStr">
        <is>
          <t>RJ</t>
        </is>
      </c>
      <c r="I2357" t="n">
        <v>7748</v>
      </c>
      <c r="J2357" t="inlineStr">
        <is>
          <t>CAT 5</t>
        </is>
      </c>
      <c r="K2357" t="inlineStr">
        <is>
          <t>Sim</t>
        </is>
      </c>
    </row>
    <row r="2358">
      <c r="A2358" s="1">
        <f>HYPERLINK("https://eurofarma-latam-crm.veevavault.com/#object/account__v/V4TZ025E89FCDK1", "Isabela Machado")</f>
        <v/>
      </c>
      <c r="B2358" s="1">
        <f>HYPERLINK("https://eurofarma-latam-crm.veevavault.com/#object/account__v/V4TZ025E89FCDK1", "Isabela Alves Machado")</f>
        <v/>
      </c>
      <c r="C2358" t="inlineStr">
        <is>
          <t>RJ1332317</t>
        </is>
      </c>
      <c r="D2358" t="inlineStr">
        <is>
          <t>CLG / PA</t>
        </is>
      </c>
      <c r="E2358" t="inlineStr">
        <is>
          <t>Avenida Cesário de Melo, 3215</t>
        </is>
      </c>
      <c r="F2358" t="inlineStr">
        <is>
          <t>Campo Grande</t>
        </is>
      </c>
      <c r="G2358" t="inlineStr">
        <is>
          <t>Rio de Janeiro</t>
        </is>
      </c>
      <c r="H2358" t="inlineStr">
        <is>
          <t>RJ</t>
        </is>
      </c>
      <c r="I2358" t="n">
        <v>7748</v>
      </c>
      <c r="J2358" t="inlineStr"/>
      <c r="K2358" t="inlineStr"/>
    </row>
    <row r="2359">
      <c r="A2359" s="1">
        <f>HYPERLINK("https://eurofarma-latam-crm.veevavault.com/#object/account__v/V4TZ000019142N9", "Janete Guedes")</f>
        <v/>
      </c>
      <c r="B2359" s="1">
        <f>HYPERLINK("https://eurofarma-latam-crm.veevavault.com/#object/account__v/V4TZ000019142N9", "Janete Teles Rangel Pinto Guedes")</f>
        <v/>
      </c>
      <c r="C2359" t="inlineStr">
        <is>
          <t>RJ0793280</t>
        </is>
      </c>
      <c r="D2359" t="inlineStr">
        <is>
          <t>PSQ</t>
        </is>
      </c>
      <c r="E2359" t="inlineStr">
        <is>
          <t>Rua A, S/N</t>
        </is>
      </c>
      <c r="F2359" t="inlineStr">
        <is>
          <t>Parque Santana (Vila Inhomirim)</t>
        </is>
      </c>
      <c r="G2359" t="inlineStr">
        <is>
          <t>Magé</t>
        </is>
      </c>
      <c r="H2359" t="inlineStr">
        <is>
          <t>RJ</t>
        </is>
      </c>
      <c r="I2359" t="n">
        <v>7748</v>
      </c>
      <c r="J2359" t="inlineStr">
        <is>
          <t>CAT 1</t>
        </is>
      </c>
      <c r="K2359" t="inlineStr">
        <is>
          <t>Sim</t>
        </is>
      </c>
    </row>
    <row r="2360">
      <c r="A2360" s="1">
        <f>HYPERLINK("https://eurofarma-latam-crm.veevavault.com/#object/account__v/V4TZ00001913EEK", "Janssen Falcão")</f>
        <v/>
      </c>
      <c r="B2360" s="1">
        <f>HYPERLINK("https://eurofarma-latam-crm.veevavault.com/#object/account__v/V4TZ00001913EEK", "Janssen Siqueira Mello Falcão")</f>
        <v/>
      </c>
      <c r="C2360" t="inlineStr">
        <is>
          <t>RJ1159178</t>
        </is>
      </c>
      <c r="D2360" t="inlineStr">
        <is>
          <t>ORT</t>
        </is>
      </c>
      <c r="E2360" t="inlineStr">
        <is>
          <t>Avenida Perimetral Pedro Lessa, S/N - Quadra 23 Lote 23</t>
        </is>
      </c>
      <c r="F2360" t="inlineStr">
        <is>
          <t>Olavo Bilac</t>
        </is>
      </c>
      <c r="G2360" t="inlineStr">
        <is>
          <t>Duque de Caxias</t>
        </is>
      </c>
      <c r="H2360" t="inlineStr">
        <is>
          <t>RJ</t>
        </is>
      </c>
      <c r="I2360" t="n">
        <v>7748</v>
      </c>
      <c r="J2360" t="inlineStr">
        <is>
          <t>CAT 2</t>
        </is>
      </c>
      <c r="K2360" t="inlineStr">
        <is>
          <t>Sim</t>
        </is>
      </c>
    </row>
    <row r="2361">
      <c r="A2361" s="1">
        <f>HYPERLINK("https://eurofarma-latam-crm.veevavault.com/#object/account__v/V4TZ025E8BMW3M1", "Jeferson da Silva")</f>
        <v/>
      </c>
      <c r="B2361" s="1">
        <f>HYPERLINK("https://eurofarma-latam-crm.veevavault.com/#object/account__v/V4TZ025E8BMW3M1", "Jeferson Souza da Silva")</f>
        <v/>
      </c>
      <c r="C2361" t="inlineStr">
        <is>
          <t>RJ1364118</t>
        </is>
      </c>
      <c r="D2361" t="inlineStr">
        <is>
          <t>CLG / PA</t>
        </is>
      </c>
      <c r="E2361" t="inlineStr">
        <is>
          <t>Rua Barão do Rio Branco, 689/695</t>
        </is>
      </c>
      <c r="F2361" t="inlineStr">
        <is>
          <t>Santo Amaro</t>
        </is>
      </c>
      <c r="G2361" t="inlineStr">
        <is>
          <t>São Paulo</t>
        </is>
      </c>
      <c r="H2361" t="inlineStr">
        <is>
          <t>SP</t>
        </is>
      </c>
      <c r="I2361" t="n">
        <v>7748</v>
      </c>
      <c r="J2361" t="inlineStr">
        <is>
          <t>CAT 5</t>
        </is>
      </c>
      <c r="K2361" t="inlineStr">
        <is>
          <t>N�o</t>
        </is>
      </c>
    </row>
    <row r="2362">
      <c r="A2362" s="1">
        <f>HYPERLINK("https://eurofarma-latam-crm.veevavault.com/#object/account__v/V4TZ025E85KS32S", "Jennifer Moreira")</f>
        <v/>
      </c>
      <c r="B2362" s="1">
        <f>HYPERLINK("https://eurofarma-latam-crm.veevavault.com/#object/account__v/V4TZ025E85KS32S", "Jennifer Lopes Moreira")</f>
        <v/>
      </c>
      <c r="C2362" t="inlineStr">
        <is>
          <t>RJ1310062</t>
        </is>
      </c>
      <c r="D2362" t="inlineStr">
        <is>
          <t>CLG / PA</t>
        </is>
      </c>
      <c r="E2362" t="inlineStr">
        <is>
          <t>Rua Judith Maurício de Paula, 40</t>
        </is>
      </c>
      <c r="F2362" t="inlineStr">
        <is>
          <t>Iucas</t>
        </is>
      </c>
      <c r="G2362" t="inlineStr">
        <is>
          <t>Teresópolis</t>
        </is>
      </c>
      <c r="H2362" t="inlineStr">
        <is>
          <t>RJ</t>
        </is>
      </c>
      <c r="I2362" t="n">
        <v>7748</v>
      </c>
      <c r="J2362" t="inlineStr">
        <is>
          <t>CAT 5</t>
        </is>
      </c>
      <c r="K2362" t="inlineStr">
        <is>
          <t>N�o</t>
        </is>
      </c>
    </row>
    <row r="2363">
      <c r="A2363" s="1">
        <f>HYPERLINK("https://eurofarma-latam-crm.veevavault.com/#object/account__v/V4TZ025E83WKZYF", "Joanna Frisso")</f>
        <v/>
      </c>
      <c r="B2363" s="1">
        <f>HYPERLINK("https://eurofarma-latam-crm.veevavault.com/#object/account__v/V4TZ025E83WKZYF", "Joanna de Araújo Frisso")</f>
        <v/>
      </c>
      <c r="C2363" t="inlineStr">
        <is>
          <t>RJ1255584</t>
        </is>
      </c>
      <c r="D2363" t="inlineStr">
        <is>
          <t>CLG / END</t>
        </is>
      </c>
      <c r="E2363" t="inlineStr">
        <is>
          <t>Rua Arthur Rodrigues Loivos, 283 - Parte</t>
        </is>
      </c>
      <c r="F2363" t="inlineStr">
        <is>
          <t>Piabetá (Inhomirim)</t>
        </is>
      </c>
      <c r="G2363" t="inlineStr">
        <is>
          <t>Magé</t>
        </is>
      </c>
      <c r="H2363" t="inlineStr">
        <is>
          <t>RJ</t>
        </is>
      </c>
      <c r="I2363" t="n">
        <v>7748</v>
      </c>
      <c r="J2363" t="inlineStr">
        <is>
          <t>CAT 4</t>
        </is>
      </c>
      <c r="K2363" t="inlineStr">
        <is>
          <t>Sim</t>
        </is>
      </c>
    </row>
    <row r="2364">
      <c r="A2364" s="1">
        <f>HYPERLINK("https://eurofarma-latam-crm.veevavault.com/#object/account__v/V4TZ000018NY8YC", "Joanna Maria de Carvalho")</f>
        <v/>
      </c>
      <c r="B2364" s="1">
        <f>HYPERLINK("https://eurofarma-latam-crm.veevavault.com/#object/account__v/V4TZ000018NY8YC", "Joanna Maria Fontaine de Carvalho")</f>
        <v/>
      </c>
      <c r="C2364" t="inlineStr">
        <is>
          <t>RJ1130080</t>
        </is>
      </c>
      <c r="D2364" t="inlineStr">
        <is>
          <t>CLG / END</t>
        </is>
      </c>
      <c r="E2364" t="inlineStr">
        <is>
          <t>Rua Professor Dilermano Reis, S/N</t>
        </is>
      </c>
      <c r="F2364" t="inlineStr">
        <is>
          <t>Centro (Rio do Ouro)</t>
        </is>
      </c>
      <c r="G2364" t="inlineStr">
        <is>
          <t>Magé</t>
        </is>
      </c>
      <c r="H2364" t="inlineStr">
        <is>
          <t>RJ</t>
        </is>
      </c>
      <c r="I2364" t="n">
        <v>7748</v>
      </c>
      <c r="J2364" t="inlineStr">
        <is>
          <t>CAT 5</t>
        </is>
      </c>
      <c r="K2364" t="inlineStr">
        <is>
          <t>Sim</t>
        </is>
      </c>
    </row>
    <row r="2365">
      <c r="A2365" s="1">
        <f>HYPERLINK("https://eurofarma-latam-crm.veevavault.com/#object/account__v/V4TZ00001913U9X", "João Batista Luna Filho")</f>
        <v/>
      </c>
      <c r="B2365" s="1">
        <f>HYPERLINK("https://eurofarma-latam-crm.veevavault.com/#object/account__v/V4TZ00001913U9X", "João Batista Luna Filho")</f>
        <v/>
      </c>
      <c r="C2365" t="inlineStr">
        <is>
          <t>RJ0211240</t>
        </is>
      </c>
      <c r="D2365" t="inlineStr">
        <is>
          <t>CLG / END</t>
        </is>
      </c>
      <c r="E2365" t="inlineStr">
        <is>
          <t>Praça Doutor Nilo Peçanha, 42</t>
        </is>
      </c>
      <c r="F2365" t="inlineStr">
        <is>
          <t>Centro</t>
        </is>
      </c>
      <c r="G2365" t="inlineStr">
        <is>
          <t>Magé</t>
        </is>
      </c>
      <c r="H2365" t="inlineStr">
        <is>
          <t>RJ</t>
        </is>
      </c>
      <c r="I2365" t="n">
        <v>7748</v>
      </c>
      <c r="J2365" t="inlineStr">
        <is>
          <t>CAT 5</t>
        </is>
      </c>
      <c r="K2365" t="inlineStr">
        <is>
          <t>Sim</t>
        </is>
      </c>
    </row>
    <row r="2366">
      <c r="A2366" s="1">
        <f>HYPERLINK("https://eurofarma-latam-crm.veevavault.com/#object/account__v/V4TZ000018NY8YW", "João Guilherme Giglio")</f>
        <v/>
      </c>
      <c r="B2366" s="1">
        <f>HYPERLINK("https://eurofarma-latam-crm.veevavault.com/#object/account__v/V4TZ000018NY8YW", "João Guilherme Pinheiro Giglio")</f>
        <v/>
      </c>
      <c r="C2366" t="inlineStr">
        <is>
          <t>RJ1135201</t>
        </is>
      </c>
      <c r="D2366" t="inlineStr">
        <is>
          <t>ORT</t>
        </is>
      </c>
      <c r="E2366" t="inlineStr">
        <is>
          <t>Avenida Delfim Moreira, 2211</t>
        </is>
      </c>
      <c r="F2366" t="inlineStr">
        <is>
          <t>Vale do Paraíso</t>
        </is>
      </c>
      <c r="G2366" t="inlineStr">
        <is>
          <t>Teresópolis</t>
        </is>
      </c>
      <c r="H2366" t="inlineStr">
        <is>
          <t>RJ</t>
        </is>
      </c>
      <c r="I2366" t="n">
        <v>7748</v>
      </c>
      <c r="J2366" t="inlineStr">
        <is>
          <t>CAT 4</t>
        </is>
      </c>
      <c r="K2366" t="inlineStr">
        <is>
          <t>Sim</t>
        </is>
      </c>
    </row>
    <row r="2367">
      <c r="A2367" s="1">
        <f>HYPERLINK("https://eurofarma-latam-crm.veevavault.com/#object/account__v/V4TZ000018NXTE8", "João Luiz Salgado")</f>
        <v/>
      </c>
      <c r="B2367" s="1">
        <f>HYPERLINK("https://eurofarma-latam-crm.veevavault.com/#object/account__v/V4TZ000018NXTE8", "João Luiz da Silva Salgado")</f>
        <v/>
      </c>
      <c r="C2367" t="inlineStr">
        <is>
          <t>RJ0337571</t>
        </is>
      </c>
      <c r="D2367" t="inlineStr">
        <is>
          <t>PSQ</t>
        </is>
      </c>
      <c r="E2367" t="inlineStr">
        <is>
          <t>Avenida Simão da Mota, 578 - Sala 309</t>
        </is>
      </c>
      <c r="F2367" t="inlineStr">
        <is>
          <t>Centro</t>
        </is>
      </c>
      <c r="G2367" t="inlineStr">
        <is>
          <t>Magé</t>
        </is>
      </c>
      <c r="H2367" t="inlineStr">
        <is>
          <t>RJ</t>
        </is>
      </c>
      <c r="I2367" t="n">
        <v>7748</v>
      </c>
      <c r="J2367" t="inlineStr">
        <is>
          <t>CAT 2</t>
        </is>
      </c>
      <c r="K2367" t="inlineStr">
        <is>
          <t>Sim</t>
        </is>
      </c>
    </row>
    <row r="2368">
      <c r="A2368" s="1">
        <f>HYPERLINK("https://eurofarma-latam-crm.veevavault.com/#object/account__v/V4T00000001I382", "João Vítor Abrantes")</f>
        <v/>
      </c>
      <c r="B2368" s="1">
        <f>HYPERLINK("https://eurofarma-latam-crm.veevavault.com/#object/account__v/V4T00000001I382", "João Vítor Pires Abrantes")</f>
        <v/>
      </c>
      <c r="C2368" t="inlineStr">
        <is>
          <t>RJ1412926</t>
        </is>
      </c>
      <c r="D2368" t="inlineStr">
        <is>
          <t>PED</t>
        </is>
      </c>
      <c r="E2368" t="inlineStr">
        <is>
          <t>Rua Papa Pio XII, 90</t>
        </is>
      </c>
      <c r="F2368" t="inlineStr">
        <is>
          <t>Figueira</t>
        </is>
      </c>
      <c r="G2368" t="inlineStr">
        <is>
          <t>Magé</t>
        </is>
      </c>
      <c r="H2368" t="inlineStr">
        <is>
          <t>RJ</t>
        </is>
      </c>
      <c r="I2368" t="n">
        <v>7748</v>
      </c>
      <c r="J2368" t="inlineStr"/>
      <c r="K2368" t="inlineStr"/>
    </row>
    <row r="2369">
      <c r="A2369" s="1">
        <f>HYPERLINK("https://eurofarma-latam-crm.veevavault.com/#object/account__v/V4TZ00001915UAB", "Jonas Campos")</f>
        <v/>
      </c>
      <c r="B2369" s="1">
        <f>HYPERLINK("https://eurofarma-latam-crm.veevavault.com/#object/account__v/V4TZ00001915UAB", "Jonas Pessoa de Campos")</f>
        <v/>
      </c>
      <c r="C2369" t="inlineStr">
        <is>
          <t>RJ0737674</t>
        </is>
      </c>
      <c r="D2369" t="inlineStr">
        <is>
          <t>ORT</t>
        </is>
      </c>
      <c r="E2369" t="inlineStr">
        <is>
          <t>Rua Doutor Paulo Fróes Machado, 144</t>
        </is>
      </c>
      <c r="F2369" t="inlineStr">
        <is>
          <t>Centro</t>
        </is>
      </c>
      <c r="G2369" t="inlineStr">
        <is>
          <t>Nova Iguaçu</t>
        </is>
      </c>
      <c r="H2369" t="inlineStr">
        <is>
          <t>RJ</t>
        </is>
      </c>
      <c r="I2369" t="n">
        <v>7748</v>
      </c>
      <c r="J2369" t="inlineStr">
        <is>
          <t>CAT 3</t>
        </is>
      </c>
      <c r="K2369" t="inlineStr">
        <is>
          <t>Sim</t>
        </is>
      </c>
    </row>
    <row r="2370">
      <c r="A2370" s="1">
        <f>HYPERLINK("https://eurofarma-latam-crm.veevavault.com/#object/account__v/V4TZ025E8EM78DF", "Jorciney Ismael")</f>
        <v/>
      </c>
      <c r="B2370" s="1">
        <f>HYPERLINK("https://eurofarma-latam-crm.veevavault.com/#object/account__v/V4TZ025E8EM78DF", "Jorciney de Oliveira Ismael")</f>
        <v/>
      </c>
      <c r="C2370" t="inlineStr">
        <is>
          <t>RJ1379364</t>
        </is>
      </c>
      <c r="D2370" t="inlineStr">
        <is>
          <t>PSQ</t>
        </is>
      </c>
      <c r="E2370" t="inlineStr">
        <is>
          <t>Rua André Rocha, 20</t>
        </is>
      </c>
      <c r="F2370" t="inlineStr">
        <is>
          <t>Taquara</t>
        </is>
      </c>
      <c r="G2370" t="inlineStr">
        <is>
          <t>Rio de Janeiro</t>
        </is>
      </c>
      <c r="H2370" t="inlineStr">
        <is>
          <t>RJ</t>
        </is>
      </c>
      <c r="I2370" t="n">
        <v>7748</v>
      </c>
      <c r="J2370" t="inlineStr">
        <is>
          <t>CAT 5</t>
        </is>
      </c>
      <c r="K2370" t="inlineStr">
        <is>
          <t>Sim</t>
        </is>
      </c>
    </row>
    <row r="2371">
      <c r="A2371" s="1">
        <f>HYPERLINK("https://eurofarma-latam-crm.veevavault.com/#object/account__v/V4TZ00001914MK9", "Jorge Carvalho")</f>
        <v/>
      </c>
      <c r="B2371" s="1">
        <f>HYPERLINK("https://eurofarma-latam-crm.veevavault.com/#object/account__v/V4TZ00001914MK9", "Jorge de Oliveira Carvalho")</f>
        <v/>
      </c>
      <c r="C2371" t="inlineStr">
        <is>
          <t>RJ0333509</t>
        </is>
      </c>
      <c r="D2371" t="inlineStr">
        <is>
          <t>CLG / SNC</t>
        </is>
      </c>
      <c r="E2371" t="inlineStr">
        <is>
          <t>Rua Professor Dilermano Reis, S/N</t>
        </is>
      </c>
      <c r="F2371" t="inlineStr">
        <is>
          <t>Centro (Rio do Ouro)</t>
        </is>
      </c>
      <c r="G2371" t="inlineStr">
        <is>
          <t>Magé</t>
        </is>
      </c>
      <c r="H2371" t="inlineStr">
        <is>
          <t>RJ</t>
        </is>
      </c>
      <c r="I2371" t="n">
        <v>7748</v>
      </c>
      <c r="J2371" t="inlineStr">
        <is>
          <t>CAT 1</t>
        </is>
      </c>
      <c r="K2371" t="inlineStr">
        <is>
          <t>Sim</t>
        </is>
      </c>
    </row>
    <row r="2372">
      <c r="A2372" s="1">
        <f>HYPERLINK("https://eurofarma-latam-crm.veevavault.com/#object/account__v/V4TZ000018NY8ON", "José Alfredo Soliz")</f>
        <v/>
      </c>
      <c r="B2372" s="1">
        <f>HYPERLINK("https://eurofarma-latam-crm.veevavault.com/#object/account__v/V4TZ000018NY8ON", "José Alfredo Quiroz Soliz")</f>
        <v/>
      </c>
      <c r="C2372" t="inlineStr">
        <is>
          <t>MG0065515,RJ1039822</t>
        </is>
      </c>
      <c r="D2372" t="inlineStr">
        <is>
          <t>NEU</t>
        </is>
      </c>
      <c r="E2372" t="inlineStr">
        <is>
          <t>Avenida Meriti, 2445 - Sala 205 Sala 306</t>
        </is>
      </c>
      <c r="F2372" t="inlineStr">
        <is>
          <t>Vila da Penha</t>
        </is>
      </c>
      <c r="G2372" t="inlineStr">
        <is>
          <t>Rio de Janeiro</t>
        </is>
      </c>
      <c r="H2372" t="inlineStr">
        <is>
          <t>RJ</t>
        </is>
      </c>
      <c r="I2372" t="n">
        <v>7748</v>
      </c>
      <c r="J2372" t="inlineStr">
        <is>
          <t>CAT 3</t>
        </is>
      </c>
      <c r="K2372" t="inlineStr">
        <is>
          <t>Sim</t>
        </is>
      </c>
    </row>
    <row r="2373">
      <c r="A2373" s="1">
        <f>HYPERLINK("https://eurofarma-latam-crm.veevavault.com/#object/account__v/V4TZ025E8EUN79Q", "José Baltazar Filho")</f>
        <v/>
      </c>
      <c r="B2373" s="1">
        <f>HYPERLINK("https://eurofarma-latam-crm.veevavault.com/#object/account__v/V4TZ025E8EUN79Q", "José Álvaro Sejas Baltazar Filho")</f>
        <v/>
      </c>
      <c r="C2373" t="inlineStr">
        <is>
          <t>RJ1383755</t>
        </is>
      </c>
      <c r="D2373" t="inlineStr">
        <is>
          <t>CLG / END</t>
        </is>
      </c>
      <c r="E2373" t="inlineStr">
        <is>
          <t>Rua Prefeito Olívio de Matos, 104</t>
        </is>
      </c>
      <c r="F2373" t="inlineStr">
        <is>
          <t>Vila Carvalho (Vila Inhomirim)</t>
        </is>
      </c>
      <c r="G2373" t="inlineStr">
        <is>
          <t>Magé</t>
        </is>
      </c>
      <c r="H2373" t="inlineStr">
        <is>
          <t>RJ</t>
        </is>
      </c>
      <c r="I2373" t="n">
        <v>7748</v>
      </c>
      <c r="J2373" t="inlineStr">
        <is>
          <t>CAT 5</t>
        </is>
      </c>
      <c r="K2373" t="inlineStr">
        <is>
          <t>N�o</t>
        </is>
      </c>
    </row>
    <row r="2374">
      <c r="A2374" s="1">
        <f>HYPERLINK("https://eurofarma-latam-crm.veevavault.com/#object/account__v/V4TZ000018NY11U", "José Evandro Besana")</f>
        <v/>
      </c>
      <c r="B2374" s="1">
        <f>HYPERLINK("https://eurofarma-latam-crm.veevavault.com/#object/account__v/V4TZ000018NY11U", "José Evandro Ramalho Besana")</f>
        <v/>
      </c>
      <c r="C2374" t="inlineStr">
        <is>
          <t>RJ1095137,SP0202224</t>
        </is>
      </c>
      <c r="D2374" t="inlineStr">
        <is>
          <t>CLG / PA</t>
        </is>
      </c>
      <c r="E2374" t="inlineStr">
        <is>
          <t>Avenida Automóvel Clube, S/N - Km 60</t>
        </is>
      </c>
      <c r="F2374" t="inlineStr">
        <is>
          <t>Vila Carvalho (Vila Inhomirim)</t>
        </is>
      </c>
      <c r="G2374" t="inlineStr">
        <is>
          <t>Magé</t>
        </is>
      </c>
      <c r="H2374" t="inlineStr">
        <is>
          <t>RJ</t>
        </is>
      </c>
      <c r="I2374" t="n">
        <v>7748</v>
      </c>
      <c r="J2374" t="inlineStr">
        <is>
          <t>CAT 5</t>
        </is>
      </c>
      <c r="K2374" t="inlineStr">
        <is>
          <t>Sim</t>
        </is>
      </c>
    </row>
    <row r="2375">
      <c r="A2375" s="1">
        <f>HYPERLINK("https://eurofarma-latam-crm.veevavault.com/#object/account__v/V4TZ000018NZ4F6", "Jose Precioso")</f>
        <v/>
      </c>
      <c r="B2375" s="1">
        <f>HYPERLINK("https://eurofarma-latam-crm.veevavault.com/#object/account__v/V4TZ000018NZ4F6", "Jose Eduardo da Costa Precioso")</f>
        <v/>
      </c>
      <c r="C2375" t="inlineStr">
        <is>
          <t>RJ0709395</t>
        </is>
      </c>
      <c r="D2375" t="inlineStr">
        <is>
          <t>ORT</t>
        </is>
      </c>
      <c r="E2375" t="inlineStr">
        <is>
          <t>Avenida Lúcio Meira, 165 - Loja 4/5/11 e 12 Sobre Lojas</t>
        </is>
      </c>
      <c r="F2375" t="inlineStr">
        <is>
          <t>Várzea</t>
        </is>
      </c>
      <c r="G2375" t="inlineStr">
        <is>
          <t>Teresópolis</t>
        </is>
      </c>
      <c r="H2375" t="inlineStr">
        <is>
          <t>RJ</t>
        </is>
      </c>
      <c r="I2375" t="n">
        <v>7748</v>
      </c>
      <c r="J2375" t="inlineStr">
        <is>
          <t>CAT 5</t>
        </is>
      </c>
      <c r="K2375" t="inlineStr">
        <is>
          <t>N�o</t>
        </is>
      </c>
    </row>
    <row r="2376">
      <c r="A2376" s="1">
        <f>HYPERLINK("https://eurofarma-latam-crm.veevavault.com/#object/account__v/V4TZ00001913WLV", "Jose Souza Junior")</f>
        <v/>
      </c>
      <c r="B2376" s="1">
        <f>HYPERLINK("https://eurofarma-latam-crm.veevavault.com/#object/account__v/V4TZ00001913WLV", "Jose Anacleto de Souza Junior")</f>
        <v/>
      </c>
      <c r="C2376" t="inlineStr">
        <is>
          <t>MG0062330,RJ0636800</t>
        </is>
      </c>
      <c r="D2376" t="inlineStr">
        <is>
          <t>CLG / PA</t>
        </is>
      </c>
      <c r="E2376" t="inlineStr">
        <is>
          <t>Rua Capitão José de Paula, 26</t>
        </is>
      </c>
      <c r="F2376" t="inlineStr">
        <is>
          <t>Centro (Suruí)</t>
        </is>
      </c>
      <c r="G2376" t="inlineStr">
        <is>
          <t>Magé</t>
        </is>
      </c>
      <c r="H2376" t="inlineStr">
        <is>
          <t>RJ</t>
        </is>
      </c>
      <c r="I2376" t="n">
        <v>7748</v>
      </c>
      <c r="J2376" t="inlineStr">
        <is>
          <t>CAT 5</t>
        </is>
      </c>
      <c r="K2376" t="inlineStr">
        <is>
          <t>Sim</t>
        </is>
      </c>
    </row>
    <row r="2377">
      <c r="A2377" s="1">
        <f>HYPERLINK("https://eurofarma-latam-crm.veevavault.com/#object/account__v/V4TZ025E88NXIBA", "Jôsye Vieira")</f>
        <v/>
      </c>
      <c r="B2377" s="1">
        <f>HYPERLINK("https://eurofarma-latam-crm.veevavault.com/#object/account__v/V4TZ025E88NXIBA", "Jôsye Tavares Vieira")</f>
        <v/>
      </c>
      <c r="C2377" t="inlineStr">
        <is>
          <t>RJ1157787</t>
        </is>
      </c>
      <c r="D2377" t="inlineStr">
        <is>
          <t>END</t>
        </is>
      </c>
      <c r="E2377" t="inlineStr">
        <is>
          <t>Rua Estrada da Prata, 351</t>
        </is>
      </c>
      <c r="F2377" t="inlineStr">
        <is>
          <t>Andrade Araujo</t>
        </is>
      </c>
      <c r="G2377" t="inlineStr">
        <is>
          <t>Belford Roxo</t>
        </is>
      </c>
      <c r="H2377" t="inlineStr">
        <is>
          <t>RJ</t>
        </is>
      </c>
      <c r="I2377" t="n">
        <v>7748</v>
      </c>
      <c r="J2377" t="inlineStr">
        <is>
          <t>CAT 5</t>
        </is>
      </c>
      <c r="K2377" t="inlineStr">
        <is>
          <t>N�o</t>
        </is>
      </c>
    </row>
    <row r="2378">
      <c r="A2378" s="1">
        <f>HYPERLINK("https://eurofarma-latam-crm.veevavault.com/#object/account__v/V4TZ000018NY4OT", "Juan Aspiazu")</f>
        <v/>
      </c>
      <c r="B2378" s="1">
        <f>HYPERLINK("https://eurofarma-latam-crm.veevavault.com/#object/account__v/V4TZ000018NY4OT", "Juan Ricardo Merino Aspiazu")</f>
        <v/>
      </c>
      <c r="C2378" t="inlineStr">
        <is>
          <t>RJ0561560</t>
        </is>
      </c>
      <c r="D2378" t="inlineStr">
        <is>
          <t>ORT</t>
        </is>
      </c>
      <c r="E2378" t="inlineStr">
        <is>
          <t>Rua Waldemar Lima Teixeira, 80 - Sala 103</t>
        </is>
      </c>
      <c r="F2378" t="inlineStr">
        <is>
          <t>Vila Carvalho (Vila Inhomirim)</t>
        </is>
      </c>
      <c r="G2378" t="inlineStr">
        <is>
          <t>Magé</t>
        </is>
      </c>
      <c r="H2378" t="inlineStr">
        <is>
          <t>RJ</t>
        </is>
      </c>
      <c r="I2378" t="n">
        <v>7748</v>
      </c>
      <c r="J2378" t="inlineStr">
        <is>
          <t>CAT 5</t>
        </is>
      </c>
      <c r="K2378" t="inlineStr">
        <is>
          <t>Sim</t>
        </is>
      </c>
    </row>
    <row r="2379">
      <c r="A2379" s="1">
        <f>HYPERLINK("https://eurofarma-latam-crm.veevavault.com/#object/account__v/V4TZ00001916FC8", "Júlia David de Guzmán")</f>
        <v/>
      </c>
      <c r="B2379" s="1">
        <f>HYPERLINK("https://eurofarma-latam-crm.veevavault.com/#object/account__v/V4TZ00001916FC8", "Júlia David de Guzmán")</f>
        <v/>
      </c>
      <c r="C2379" t="inlineStr">
        <is>
          <t>RJ1093002</t>
        </is>
      </c>
      <c r="D2379" t="inlineStr">
        <is>
          <t>PED</t>
        </is>
      </c>
      <c r="E2379" t="inlineStr">
        <is>
          <t>Avenida Perimetral Pedro Lessa, S/N - Quadra 23 Lote 23</t>
        </is>
      </c>
      <c r="F2379" t="inlineStr">
        <is>
          <t>Olavo Bilac</t>
        </is>
      </c>
      <c r="G2379" t="inlineStr">
        <is>
          <t>Duque de Caxias</t>
        </is>
      </c>
      <c r="H2379" t="inlineStr">
        <is>
          <t>RJ</t>
        </is>
      </c>
      <c r="I2379" t="n">
        <v>7748</v>
      </c>
      <c r="J2379" t="inlineStr">
        <is>
          <t>CAT 5</t>
        </is>
      </c>
      <c r="K2379" t="inlineStr">
        <is>
          <t>Sim</t>
        </is>
      </c>
    </row>
    <row r="2380">
      <c r="A2380" s="1">
        <f>HYPERLINK("https://eurofarma-latam-crm.veevavault.com/#object/account__v/V4TZ025E8B6IKZX", "Julia de Ceia Antunes")</f>
        <v/>
      </c>
      <c r="B2380" s="1">
        <f>HYPERLINK("https://eurofarma-latam-crm.veevavault.com/#object/account__v/V4TZ025E8B6IKZX", "Julia Brito de Ceia Antunes")</f>
        <v/>
      </c>
      <c r="C2380" t="inlineStr">
        <is>
          <t>RJ0135916</t>
        </is>
      </c>
      <c r="D2380" t="inlineStr">
        <is>
          <t>CLG / PA</t>
        </is>
      </c>
      <c r="E2380" t="inlineStr">
        <is>
          <t>Avenida Automóvel Clube, S/N - Km 60</t>
        </is>
      </c>
      <c r="F2380" t="inlineStr">
        <is>
          <t>Vila Carvalho (Vila Inhomirim)</t>
        </is>
      </c>
      <c r="G2380" t="inlineStr">
        <is>
          <t>Magé</t>
        </is>
      </c>
      <c r="H2380" t="inlineStr">
        <is>
          <t>RJ</t>
        </is>
      </c>
      <c r="I2380" t="n">
        <v>7748</v>
      </c>
      <c r="J2380" t="inlineStr"/>
      <c r="K2380" t="inlineStr"/>
    </row>
    <row r="2381">
      <c r="A2381" s="1">
        <f>HYPERLINK("https://eurofarma-latam-crm.veevavault.com/#object/account__v/V4TZ00001914M44", "Juliana Coelho")</f>
        <v/>
      </c>
      <c r="B2381" s="1">
        <f>HYPERLINK("https://eurofarma-latam-crm.veevavault.com/#object/account__v/V4TZ00001914M44", "Juliana dos Santos Gomes Coelho")</f>
        <v/>
      </c>
      <c r="C2381" t="inlineStr">
        <is>
          <t>RJ1202740</t>
        </is>
      </c>
      <c r="D2381" t="inlineStr">
        <is>
          <t>CLG / END</t>
        </is>
      </c>
      <c r="E2381" t="inlineStr">
        <is>
          <t>Rua Sergina, S/N</t>
        </is>
      </c>
      <c r="F2381" t="inlineStr">
        <is>
          <t>Piam</t>
        </is>
      </c>
      <c r="G2381" t="inlineStr">
        <is>
          <t>Belford Roxo</t>
        </is>
      </c>
      <c r="H2381" t="inlineStr">
        <is>
          <t>RJ</t>
        </is>
      </c>
      <c r="I2381" t="n">
        <v>7748</v>
      </c>
      <c r="J2381" t="inlineStr">
        <is>
          <t>CAT 5</t>
        </is>
      </c>
      <c r="K2381" t="inlineStr">
        <is>
          <t>Sim</t>
        </is>
      </c>
    </row>
    <row r="2382">
      <c r="A2382" s="1">
        <f>HYPERLINK("https://eurofarma-latam-crm.veevavault.com/#object/account__v/V4TZ04ASGMGGPWU", "Juliana Maria de Mello")</f>
        <v/>
      </c>
      <c r="B2382" s="1">
        <f>HYPERLINK("https://eurofarma-latam-crm.veevavault.com/#object/account__v/V4TZ04ASGMGGPWU", "Juliana Maria Barros de Mello")</f>
        <v/>
      </c>
      <c r="C2382" t="inlineStr">
        <is>
          <t>RJ1385279</t>
        </is>
      </c>
      <c r="D2382" t="inlineStr">
        <is>
          <t>CLG / END</t>
        </is>
      </c>
      <c r="E2382" t="inlineStr">
        <is>
          <t>Rua Benjamin Constant, 300</t>
        </is>
      </c>
      <c r="F2382" t="inlineStr">
        <is>
          <t>Piabetá (Inhomirim)</t>
        </is>
      </c>
      <c r="G2382" t="inlineStr">
        <is>
          <t>Magé</t>
        </is>
      </c>
      <c r="H2382" t="inlineStr">
        <is>
          <t>RJ</t>
        </is>
      </c>
      <c r="I2382" t="n">
        <v>7748</v>
      </c>
      <c r="J2382" t="inlineStr"/>
      <c r="K2382" t="inlineStr"/>
    </row>
    <row r="2383">
      <c r="A2383" s="1">
        <f>HYPERLINK("https://eurofarma-latam-crm.veevavault.com/#object/account__v/V4TZ0000191628C", "Julio Carlos Guzman")</f>
        <v/>
      </c>
      <c r="B2383" s="1">
        <f>HYPERLINK("https://eurofarma-latam-crm.veevavault.com/#object/account__v/V4TZ0000191628C", "Julio Carlos Camacho Guzman")</f>
        <v/>
      </c>
      <c r="C2383" t="inlineStr">
        <is>
          <t>RJ0593524</t>
        </is>
      </c>
      <c r="D2383" t="inlineStr">
        <is>
          <t>CLG</t>
        </is>
      </c>
      <c r="E2383" t="inlineStr">
        <is>
          <t>Rua Papa Pio XII,155</t>
        </is>
      </c>
      <c r="F2383" t="inlineStr">
        <is>
          <t>Saco</t>
        </is>
      </c>
      <c r="G2383" t="inlineStr">
        <is>
          <t>Magé</t>
        </is>
      </c>
      <c r="H2383" t="inlineStr">
        <is>
          <t>RJ</t>
        </is>
      </c>
      <c r="I2383" t="n">
        <v>7748</v>
      </c>
      <c r="J2383" t="inlineStr">
        <is>
          <t>CAT 5</t>
        </is>
      </c>
      <c r="K2383" t="inlineStr">
        <is>
          <t>Sim</t>
        </is>
      </c>
    </row>
    <row r="2384">
      <c r="A2384" s="1">
        <f>HYPERLINK("https://eurofarma-latam-crm.veevavault.com/#object/account__v/V4TZ000018NXZHP", "Júlio César Andrade")</f>
        <v/>
      </c>
      <c r="B2384" s="1">
        <f>HYPERLINK("https://eurofarma-latam-crm.veevavault.com/#object/account__v/V4TZ000018NXZHP", "Júlio César de Souza Andrade")</f>
        <v/>
      </c>
      <c r="C2384" t="inlineStr">
        <is>
          <t>RJ0968315</t>
        </is>
      </c>
      <c r="D2384" t="inlineStr">
        <is>
          <t>CLG / SNC</t>
        </is>
      </c>
      <c r="E2384" t="inlineStr">
        <is>
          <t>Rua Nobre de Lacerda, 126</t>
        </is>
      </c>
      <c r="F2384" t="inlineStr">
        <is>
          <t>Vila Flávia</t>
        </is>
      </c>
      <c r="G2384" t="inlineStr">
        <is>
          <t>Duque de Caxias</t>
        </is>
      </c>
      <c r="H2384" t="inlineStr">
        <is>
          <t>RJ</t>
        </is>
      </c>
      <c r="I2384" t="n">
        <v>7748</v>
      </c>
      <c r="J2384" t="inlineStr">
        <is>
          <t>CAT 4</t>
        </is>
      </c>
      <c r="K2384" t="inlineStr">
        <is>
          <t>Sim</t>
        </is>
      </c>
    </row>
    <row r="2385">
      <c r="A2385" s="1">
        <f>HYPERLINK("https://eurofarma-latam-crm.veevavault.com/#object/account__v/V4TZ000018NXH56", "Julio Goes")</f>
        <v/>
      </c>
      <c r="B2385" s="1">
        <f>HYPERLINK("https://eurofarma-latam-crm.veevavault.com/#object/account__v/V4TZ000018NXH56", "Julio Alves Goes")</f>
        <v/>
      </c>
      <c r="C2385" t="inlineStr">
        <is>
          <t>RJ0687219</t>
        </is>
      </c>
      <c r="D2385" t="inlineStr">
        <is>
          <t>NEU</t>
        </is>
      </c>
      <c r="E2385" t="inlineStr">
        <is>
          <t>Rua Eduardo Garcia, S/N</t>
        </is>
      </c>
      <c r="F2385" t="inlineStr">
        <is>
          <t>Centro</t>
        </is>
      </c>
      <c r="G2385" t="inlineStr">
        <is>
          <t>Guapimirim</t>
        </is>
      </c>
      <c r="H2385" t="inlineStr">
        <is>
          <t>RJ</t>
        </is>
      </c>
      <c r="I2385" t="n">
        <v>7748</v>
      </c>
      <c r="J2385" t="inlineStr">
        <is>
          <t>CAT 1</t>
        </is>
      </c>
      <c r="K2385" t="inlineStr">
        <is>
          <t>Sim</t>
        </is>
      </c>
    </row>
    <row r="2386">
      <c r="A2386" s="1">
        <f>HYPERLINK("https://eurofarma-latam-crm.veevavault.com/#object/account__v/V4TZ000018NYCGU", "Karla Cristina Teixeira")</f>
        <v/>
      </c>
      <c r="B2386" s="1">
        <f>HYPERLINK("https://eurofarma-latam-crm.veevavault.com/#object/account__v/V4TZ000018NYCGU", "Karla Cristina Teixeira")</f>
        <v/>
      </c>
      <c r="C2386" t="inlineStr">
        <is>
          <t>RJ0650714</t>
        </is>
      </c>
      <c r="D2386" t="inlineStr">
        <is>
          <t>PED</t>
        </is>
      </c>
      <c r="E2386" t="inlineStr">
        <is>
          <t>Rua Senador Fernando Mendes, 1346</t>
        </is>
      </c>
      <c r="F2386" t="inlineStr">
        <is>
          <t>Centro</t>
        </is>
      </c>
      <c r="G2386" t="inlineStr">
        <is>
          <t>Nilópolis</t>
        </is>
      </c>
      <c r="H2386" t="inlineStr">
        <is>
          <t>RJ</t>
        </is>
      </c>
      <c r="I2386" t="n">
        <v>7748</v>
      </c>
      <c r="J2386" t="inlineStr">
        <is>
          <t>CAT 2</t>
        </is>
      </c>
      <c r="K2386" t="inlineStr">
        <is>
          <t>Sim</t>
        </is>
      </c>
    </row>
    <row r="2387">
      <c r="A2387" s="1">
        <f>HYPERLINK("https://eurofarma-latam-crm.veevavault.com/#object/account__v/V4TZ000018NYXFZ", "Karmem Santos")</f>
        <v/>
      </c>
      <c r="B2387" s="1">
        <f>HYPERLINK("https://eurofarma-latam-crm.veevavault.com/#object/account__v/V4TZ000018NYXFZ", "Karmem Luana Viana dos Santos")</f>
        <v/>
      </c>
      <c r="C2387" t="inlineStr">
        <is>
          <t>RJ1246445</t>
        </is>
      </c>
      <c r="D2387" t="inlineStr">
        <is>
          <t>PED</t>
        </is>
      </c>
      <c r="E2387" t="inlineStr">
        <is>
          <t>Rua República, S/N</t>
        </is>
      </c>
      <c r="F2387" t="inlineStr">
        <is>
          <t>Vila Ideal</t>
        </is>
      </c>
      <c r="G2387" t="inlineStr">
        <is>
          <t>Duque de Caxias</t>
        </is>
      </c>
      <c r="H2387" t="inlineStr">
        <is>
          <t>RJ</t>
        </is>
      </c>
      <c r="I2387" t="n">
        <v>7748</v>
      </c>
      <c r="J2387" t="inlineStr">
        <is>
          <t>CAT 5</t>
        </is>
      </c>
      <c r="K2387" t="inlineStr">
        <is>
          <t>Sim</t>
        </is>
      </c>
    </row>
    <row r="2388">
      <c r="A2388" s="1">
        <f>HYPERLINK("https://eurofarma-latam-crm.veevavault.com/#object/account__v/V4TZ00001914RT4", "Karoline Romanesco")</f>
        <v/>
      </c>
      <c r="B2388" s="1">
        <f>HYPERLINK("https://eurofarma-latam-crm.veevavault.com/#object/account__v/V4TZ00001914RT4", "Karoline da Costa Romanesco")</f>
        <v/>
      </c>
      <c r="C2388" t="inlineStr">
        <is>
          <t>RJ1269178</t>
        </is>
      </c>
      <c r="D2388" t="inlineStr">
        <is>
          <t>PED</t>
        </is>
      </c>
      <c r="E2388" t="inlineStr">
        <is>
          <t>Estrada Teresopolis Friburgo, S/N - 3 Distrito</t>
        </is>
      </c>
      <c r="F2388" t="inlineStr">
        <is>
          <t>Bom Retiro</t>
        </is>
      </c>
      <c r="G2388" t="inlineStr">
        <is>
          <t>Teresópolis</t>
        </is>
      </c>
      <c r="H2388" t="inlineStr">
        <is>
          <t>RJ</t>
        </is>
      </c>
      <c r="I2388" t="n">
        <v>7748</v>
      </c>
      <c r="J2388" t="inlineStr">
        <is>
          <t>CAT 5</t>
        </is>
      </c>
      <c r="K2388" t="inlineStr">
        <is>
          <t>Sim</t>
        </is>
      </c>
    </row>
    <row r="2389">
      <c r="A2389" s="1">
        <f>HYPERLINK("https://eurofarma-latam-crm.veevavault.com/#object/account__v/V4TZ025E851YQTM", "Katia Silva")</f>
        <v/>
      </c>
      <c r="B2389" s="1">
        <f>HYPERLINK("https://eurofarma-latam-crm.veevavault.com/#object/account__v/V4TZ025E851YQTM", "Katia Georgiana Dias Silva")</f>
        <v/>
      </c>
      <c r="C2389" t="inlineStr">
        <is>
          <t>RJ1309617</t>
        </is>
      </c>
      <c r="D2389" t="inlineStr">
        <is>
          <t>PSQ</t>
        </is>
      </c>
      <c r="E2389" t="inlineStr">
        <is>
          <t>Avenida Automóvel Clube, S/N - Lote 28 Quadra 42 A</t>
        </is>
      </c>
      <c r="F2389" t="inlineStr">
        <is>
          <t>Jardim Barro Branco</t>
        </is>
      </c>
      <c r="G2389" t="inlineStr">
        <is>
          <t>Duque de Caxias</t>
        </is>
      </c>
      <c r="H2389" t="inlineStr">
        <is>
          <t>RJ</t>
        </is>
      </c>
      <c r="I2389" t="n">
        <v>7748</v>
      </c>
      <c r="J2389" t="inlineStr">
        <is>
          <t>CAT 3</t>
        </is>
      </c>
      <c r="K2389" t="inlineStr">
        <is>
          <t>Sim</t>
        </is>
      </c>
    </row>
    <row r="2390">
      <c r="A2390" s="1">
        <f>HYPERLINK("https://eurofarma-latam-crm.veevavault.com/#object/account__v/V4TZ025E89PQLJE", "Ketlin Cavalcante")</f>
        <v/>
      </c>
      <c r="B2390" s="1">
        <f>HYPERLINK("https://eurofarma-latam-crm.veevavault.com/#object/account__v/V4TZ025E89PQLJE", "Ketlin Ferreira Cavalcante")</f>
        <v/>
      </c>
      <c r="C2390" t="inlineStr">
        <is>
          <t>RJ1327852</t>
        </is>
      </c>
      <c r="D2390" t="inlineStr">
        <is>
          <t>CLG / END</t>
        </is>
      </c>
      <c r="E2390" t="inlineStr">
        <is>
          <t>Estrada Marechal Alencastro, S/N</t>
        </is>
      </c>
      <c r="F2390" t="inlineStr">
        <is>
          <t>Ricardo de Albuquerque</t>
        </is>
      </c>
      <c r="G2390" t="inlineStr">
        <is>
          <t>Rio de Janeiro</t>
        </is>
      </c>
      <c r="H2390" t="inlineStr">
        <is>
          <t>RJ</t>
        </is>
      </c>
      <c r="I2390" t="n">
        <v>7748</v>
      </c>
      <c r="J2390" t="inlineStr"/>
      <c r="K2390" t="inlineStr"/>
    </row>
    <row r="2391">
      <c r="A2391" s="1">
        <f>HYPERLINK("https://eurofarma-latam-crm.veevavault.com/#object/account__v/V4TZ00001913RAI", "Lara Vilela")</f>
        <v/>
      </c>
      <c r="B2391" s="1">
        <f>HYPERLINK("https://eurofarma-latam-crm.veevavault.com/#object/account__v/V4TZ00001913RAI", "Lara Cidio Elkhatib Vilela")</f>
        <v/>
      </c>
      <c r="C2391" t="inlineStr">
        <is>
          <t>RJ1152939</t>
        </is>
      </c>
      <c r="D2391" t="inlineStr">
        <is>
          <t>PED</t>
        </is>
      </c>
      <c r="E2391" t="inlineStr">
        <is>
          <t>Avenida Dagmar Simões de Souza, 54</t>
        </is>
      </c>
      <c r="F2391" t="inlineStr">
        <is>
          <t>Miguel Couto</t>
        </is>
      </c>
      <c r="G2391" t="inlineStr">
        <is>
          <t>Nova Iguaçu</t>
        </is>
      </c>
      <c r="H2391" t="inlineStr">
        <is>
          <t>RJ</t>
        </is>
      </c>
      <c r="I2391" t="n">
        <v>7748</v>
      </c>
      <c r="J2391" t="inlineStr">
        <is>
          <t>CAT 5</t>
        </is>
      </c>
      <c r="K2391" t="inlineStr">
        <is>
          <t>Sim</t>
        </is>
      </c>
    </row>
    <row r="2392">
      <c r="A2392" s="1">
        <f>HYPERLINK("https://eurofarma-latam-crm.veevavault.com/#object/account__v/V4T00000000Z100", "Larissa Ferreira")</f>
        <v/>
      </c>
      <c r="B2392" s="1">
        <f>HYPERLINK("https://eurofarma-latam-crm.veevavault.com/#object/account__v/V4T00000000Z100", "Larissa Malta Storte Ferreira")</f>
        <v/>
      </c>
      <c r="C2392" t="inlineStr">
        <is>
          <t>RJ0988413</t>
        </is>
      </c>
      <c r="D2392" t="inlineStr">
        <is>
          <t>PED</t>
        </is>
      </c>
      <c r="E2392" t="inlineStr">
        <is>
          <t>Avenida Nilo Peçanha, 38 - 6 Andar</t>
        </is>
      </c>
      <c r="F2392" t="inlineStr">
        <is>
          <t>Centro</t>
        </is>
      </c>
      <c r="G2392" t="inlineStr">
        <is>
          <t>Rio de Janeiro</t>
        </is>
      </c>
      <c r="H2392" t="inlineStr">
        <is>
          <t>RJ</t>
        </is>
      </c>
      <c r="I2392" t="n">
        <v>7748</v>
      </c>
      <c r="J2392" t="inlineStr"/>
      <c r="K2392" t="inlineStr"/>
    </row>
    <row r="2393">
      <c r="A2393" s="1">
        <f>HYPERLINK("https://eurofarma-latam-crm.veevavault.com/#object/account__v/V4TZ000018NZAN3", "Larissa Tôrres")</f>
        <v/>
      </c>
      <c r="B2393" s="1">
        <f>HYPERLINK("https://eurofarma-latam-crm.veevavault.com/#object/account__v/V4TZ000018NZAN3", "Larissa Simone da Costa Tôrres")</f>
        <v/>
      </c>
      <c r="C2393" t="inlineStr">
        <is>
          <t>RJ1247352</t>
        </is>
      </c>
      <c r="D2393" t="inlineStr">
        <is>
          <t>PED</t>
        </is>
      </c>
      <c r="E2393" t="inlineStr">
        <is>
          <t>Rua Evaristo de Morais, S/N</t>
        </is>
      </c>
      <c r="F2393" t="inlineStr">
        <is>
          <t>Vila Bernadete</t>
        </is>
      </c>
      <c r="G2393" t="inlineStr">
        <is>
          <t>Duque de Caxias</t>
        </is>
      </c>
      <c r="H2393" t="inlineStr">
        <is>
          <t>RJ</t>
        </is>
      </c>
      <c r="I2393" t="n">
        <v>7748</v>
      </c>
      <c r="J2393" t="inlineStr">
        <is>
          <t>CAT 5</t>
        </is>
      </c>
      <c r="K2393" t="inlineStr">
        <is>
          <t>N�o</t>
        </is>
      </c>
    </row>
    <row r="2394">
      <c r="A2394" s="1">
        <f>HYPERLINK("https://eurofarma-latam-crm.veevavault.com/#object/account__v/V4TZ000018NXQN1", "Laudelina Bodstein")</f>
        <v/>
      </c>
      <c r="B2394" s="1">
        <f>HYPERLINK("https://eurofarma-latam-crm.veevavault.com/#object/account__v/V4TZ000018NXQN1", "Laudelina Johanson Bodstein")</f>
        <v/>
      </c>
      <c r="C2394" t="inlineStr">
        <is>
          <t>RJ0367572</t>
        </is>
      </c>
      <c r="D2394" t="inlineStr">
        <is>
          <t>PED</t>
        </is>
      </c>
      <c r="E2394" t="inlineStr">
        <is>
          <t>Rua Alcindo Guanabara, 85 - E 105</t>
        </is>
      </c>
      <c r="F2394" t="inlineStr">
        <is>
          <t>Centro</t>
        </is>
      </c>
      <c r="G2394" t="inlineStr">
        <is>
          <t>Magé</t>
        </is>
      </c>
      <c r="H2394" t="inlineStr">
        <is>
          <t>RJ</t>
        </is>
      </c>
      <c r="I2394" t="n">
        <v>7748</v>
      </c>
      <c r="J2394" t="inlineStr">
        <is>
          <t>CAT 5</t>
        </is>
      </c>
      <c r="K2394" t="inlineStr">
        <is>
          <t>N�o</t>
        </is>
      </c>
    </row>
    <row r="2395">
      <c r="A2395" s="1">
        <f>HYPERLINK("https://eurofarma-latam-crm.veevavault.com/#object/account__v/V4TZ000019169XF", "Laura Jorge")</f>
        <v/>
      </c>
      <c r="B2395" s="1">
        <f>HYPERLINK("https://eurofarma-latam-crm.veevavault.com/#object/account__v/V4TZ000019169XF", "Laura Montelo de Araujo Jorge")</f>
        <v/>
      </c>
      <c r="C2395" t="inlineStr">
        <is>
          <t>RJ1213547</t>
        </is>
      </c>
      <c r="D2395" t="inlineStr">
        <is>
          <t>GAS</t>
        </is>
      </c>
      <c r="E2395" t="inlineStr">
        <is>
          <t>Avenida Delfim Moreira, 2211</t>
        </is>
      </c>
      <c r="F2395" t="inlineStr">
        <is>
          <t>Vale do Paraíso</t>
        </is>
      </c>
      <c r="G2395" t="inlineStr">
        <is>
          <t>Teresópolis</t>
        </is>
      </c>
      <c r="H2395" t="inlineStr">
        <is>
          <t>RJ</t>
        </is>
      </c>
      <c r="I2395" t="n">
        <v>7748</v>
      </c>
      <c r="J2395" t="inlineStr"/>
      <c r="K2395" t="inlineStr"/>
    </row>
    <row r="2396">
      <c r="A2396" s="1">
        <f>HYPERLINK("https://eurofarma-latam-crm.veevavault.com/#object/account__v/V4TZ000018NYSWN", "Laura Santos")</f>
        <v/>
      </c>
      <c r="B2396" s="1">
        <f>HYPERLINK("https://eurofarma-latam-crm.veevavault.com/#object/account__v/V4TZ000018NYSWN", "Laura Angélica Freire Santos")</f>
        <v/>
      </c>
      <c r="C2396" t="inlineStr">
        <is>
          <t>RJ1148761</t>
        </is>
      </c>
      <c r="D2396" t="inlineStr">
        <is>
          <t>CLG / END</t>
        </is>
      </c>
      <c r="E2396" t="inlineStr">
        <is>
          <t>Rodovia Rio-Friburgo, S/N</t>
        </is>
      </c>
      <c r="F2396" t="inlineStr">
        <is>
          <t>Parada Modelo</t>
        </is>
      </c>
      <c r="G2396" t="inlineStr">
        <is>
          <t>Guapimirim</t>
        </is>
      </c>
      <c r="H2396" t="inlineStr">
        <is>
          <t>RJ</t>
        </is>
      </c>
      <c r="I2396" t="n">
        <v>7748</v>
      </c>
      <c r="J2396" t="inlineStr">
        <is>
          <t>CAT 5</t>
        </is>
      </c>
      <c r="K2396" t="inlineStr">
        <is>
          <t>Sim</t>
        </is>
      </c>
    </row>
    <row r="2397">
      <c r="A2397" s="1">
        <f>HYPERLINK("https://eurofarma-latam-crm.veevavault.com/#object/account__v/V4TZ00001915X0A", "Leandro Ansel")</f>
        <v/>
      </c>
      <c r="B2397" s="1">
        <f>HYPERLINK("https://eurofarma-latam-crm.veevavault.com/#object/account__v/V4TZ00001915X0A", "Leandro do Egito Ansel")</f>
        <v/>
      </c>
      <c r="C2397" t="inlineStr">
        <is>
          <t>RJ1224522</t>
        </is>
      </c>
      <c r="D2397" t="inlineStr">
        <is>
          <t>PSQ</t>
        </is>
      </c>
      <c r="E2397" t="inlineStr">
        <is>
          <t>Rua Amazonas, 559</t>
        </is>
      </c>
      <c r="F2397" t="inlineStr">
        <is>
          <t>Piabetá (Inhomirim)</t>
        </is>
      </c>
      <c r="G2397" t="inlineStr">
        <is>
          <t>Magé</t>
        </is>
      </c>
      <c r="H2397" t="inlineStr">
        <is>
          <t>RJ</t>
        </is>
      </c>
      <c r="I2397" t="n">
        <v>7748</v>
      </c>
      <c r="J2397" t="inlineStr">
        <is>
          <t>CAT 4</t>
        </is>
      </c>
      <c r="K2397" t="inlineStr">
        <is>
          <t>Sim</t>
        </is>
      </c>
    </row>
    <row r="2398">
      <c r="A2398" s="1">
        <f>HYPERLINK("https://eurofarma-latam-crm.veevavault.com/#object/account__v/V4TZ025E8BE4D90", "Leonardo Decarlo")</f>
        <v/>
      </c>
      <c r="B2398" s="1">
        <f>HYPERLINK("https://eurofarma-latam-crm.veevavault.com/#object/account__v/V4TZ025E8BE4D90", "Leonardo Baddini Decarlo")</f>
        <v/>
      </c>
      <c r="C2398" t="inlineStr">
        <is>
          <t>RJ1356887</t>
        </is>
      </c>
      <c r="D2398" t="inlineStr">
        <is>
          <t>NEU</t>
        </is>
      </c>
      <c r="E2398" t="inlineStr">
        <is>
          <t>Rua Eduardo Garcia, 325</t>
        </is>
      </c>
      <c r="F2398" t="inlineStr">
        <is>
          <t>Centro</t>
        </is>
      </c>
      <c r="G2398" t="inlineStr">
        <is>
          <t>Guapimirim</t>
        </is>
      </c>
      <c r="H2398" t="inlineStr">
        <is>
          <t>RJ</t>
        </is>
      </c>
      <c r="I2398" t="n">
        <v>7748</v>
      </c>
      <c r="J2398" t="inlineStr">
        <is>
          <t>CAT 4</t>
        </is>
      </c>
      <c r="K2398" t="inlineStr">
        <is>
          <t>Sim</t>
        </is>
      </c>
    </row>
    <row r="2399">
      <c r="A2399" s="1">
        <f>HYPERLINK("https://eurofarma-latam-crm.veevavault.com/#object/account__v/V4TZ00001914PA0", "Leonardo Ferreira")</f>
        <v/>
      </c>
      <c r="B2399" s="1">
        <f>HYPERLINK("https://eurofarma-latam-crm.veevavault.com/#object/account__v/V4TZ00001914PA0", "Leonardo Ternis Ferreira")</f>
        <v/>
      </c>
      <c r="C2399" t="inlineStr">
        <is>
          <t>RJ0977772</t>
        </is>
      </c>
      <c r="D2399" t="inlineStr">
        <is>
          <t>ORT</t>
        </is>
      </c>
      <c r="E2399" t="inlineStr">
        <is>
          <t>Rua Tiradentes, 118</t>
        </is>
      </c>
      <c r="F2399" t="inlineStr">
        <is>
          <t>Cantagalo</t>
        </is>
      </c>
      <c r="G2399" t="inlineStr">
        <is>
          <t>Três Rios</t>
        </is>
      </c>
      <c r="H2399" t="inlineStr">
        <is>
          <t>RJ</t>
        </is>
      </c>
      <c r="I2399" t="n">
        <v>7748</v>
      </c>
      <c r="J2399" t="inlineStr">
        <is>
          <t>CAT 5</t>
        </is>
      </c>
      <c r="K2399" t="inlineStr">
        <is>
          <t>Sim</t>
        </is>
      </c>
    </row>
    <row r="2400">
      <c r="A2400" s="1">
        <f>HYPERLINK("https://eurofarma-latam-crm.veevavault.com/#object/account__v/V4TZ00001912XVP", "Leonardo Sturm")</f>
        <v/>
      </c>
      <c r="B2400" s="1">
        <f>HYPERLINK("https://eurofarma-latam-crm.veevavault.com/#object/account__v/V4TZ00001912XVP", "Leonardo Rodrigues Sturm")</f>
        <v/>
      </c>
      <c r="C2400" t="inlineStr">
        <is>
          <t>RJ0740632</t>
        </is>
      </c>
      <c r="D2400" t="inlineStr">
        <is>
          <t>ORT</t>
        </is>
      </c>
      <c r="E2400" t="inlineStr">
        <is>
          <t>Rua Cento e Dois, S/N</t>
        </is>
      </c>
      <c r="F2400" t="inlineStr">
        <is>
          <t>Vale das Pedrinhas</t>
        </is>
      </c>
      <c r="G2400" t="inlineStr">
        <is>
          <t>Guapimirim</t>
        </is>
      </c>
      <c r="H2400" t="inlineStr">
        <is>
          <t>RJ</t>
        </is>
      </c>
      <c r="I2400" t="n">
        <v>7748</v>
      </c>
      <c r="J2400" t="inlineStr">
        <is>
          <t>CAT 4</t>
        </is>
      </c>
      <c r="K2400" t="inlineStr">
        <is>
          <t>Sim</t>
        </is>
      </c>
    </row>
    <row r="2401">
      <c r="A2401" s="1">
        <f>HYPERLINK("https://eurofarma-latam-crm.veevavault.com/#object/account__v/V4TZ000019147JU", "Lesly Sejas")</f>
        <v/>
      </c>
      <c r="B2401" s="1">
        <f>HYPERLINK("https://eurofarma-latam-crm.veevavault.com/#object/account__v/V4TZ000019147JU", "Lesly Stephanie Rodriguez Sejas")</f>
        <v/>
      </c>
      <c r="C2401" t="inlineStr">
        <is>
          <t>RJ1074440,SP0181630</t>
        </is>
      </c>
      <c r="D2401" t="inlineStr">
        <is>
          <t>CLG / END</t>
        </is>
      </c>
      <c r="E2401" t="inlineStr">
        <is>
          <t>Rua Lázaro Cádenas, 13</t>
        </is>
      </c>
      <c r="F2401" t="inlineStr">
        <is>
          <t>Santa Cruz da Serra</t>
        </is>
      </c>
      <c r="G2401" t="inlineStr">
        <is>
          <t>Duque de Caxias</t>
        </is>
      </c>
      <c r="H2401" t="inlineStr">
        <is>
          <t>RJ</t>
        </is>
      </c>
      <c r="I2401" t="n">
        <v>7748</v>
      </c>
      <c r="J2401" t="inlineStr">
        <is>
          <t>CAT 5</t>
        </is>
      </c>
      <c r="K2401" t="inlineStr">
        <is>
          <t>Sim</t>
        </is>
      </c>
    </row>
    <row r="2402">
      <c r="A2402" s="1">
        <f>HYPERLINK("https://eurofarma-latam-crm.veevavault.com/#object/account__v/V4TZ000018NXVP2", "Leticia Rodrigues")</f>
        <v/>
      </c>
      <c r="B2402" s="1">
        <f>HYPERLINK("https://eurofarma-latam-crm.veevavault.com/#object/account__v/V4TZ000018NXVP2", "Leticia Vieira Rodrigues")</f>
        <v/>
      </c>
      <c r="C2402" t="inlineStr">
        <is>
          <t>RJ0836168</t>
        </is>
      </c>
      <c r="D2402" t="inlineStr">
        <is>
          <t>CLG / END</t>
        </is>
      </c>
      <c r="E2402" t="inlineStr">
        <is>
          <t>Rua Da Matriz, 3</t>
        </is>
      </c>
      <c r="F2402" t="inlineStr">
        <is>
          <t>Santa Cruz da Serra</t>
        </is>
      </c>
      <c r="G2402" t="inlineStr">
        <is>
          <t>Duque de Caxias</t>
        </is>
      </c>
      <c r="H2402" t="inlineStr">
        <is>
          <t>RJ</t>
        </is>
      </c>
      <c r="I2402" t="n">
        <v>7748</v>
      </c>
      <c r="J2402" t="inlineStr">
        <is>
          <t>CAT 5</t>
        </is>
      </c>
      <c r="K2402" t="inlineStr">
        <is>
          <t>Sim</t>
        </is>
      </c>
    </row>
    <row r="2403">
      <c r="A2403" s="1">
        <f>HYPERLINK("https://eurofarma-latam-crm.veevavault.com/#object/account__v/V4TZ00001915ZNY", "Licienne Resende")</f>
        <v/>
      </c>
      <c r="B2403" s="1">
        <f>HYPERLINK("https://eurofarma-latam-crm.veevavault.com/#object/account__v/V4TZ00001915ZNY", "Licienne Mara Barbosa de Souza Resende")</f>
        <v/>
      </c>
      <c r="C2403" t="inlineStr">
        <is>
          <t>RJ1276611</t>
        </is>
      </c>
      <c r="D2403" t="inlineStr">
        <is>
          <t>PED</t>
        </is>
      </c>
      <c r="E2403" t="inlineStr">
        <is>
          <t>Estrada de Adrianópolis, S/N</t>
        </is>
      </c>
      <c r="F2403" t="inlineStr">
        <is>
          <t>Adrianópolis</t>
        </is>
      </c>
      <c r="G2403" t="inlineStr">
        <is>
          <t>Nova Iguaçu</t>
        </is>
      </c>
      <c r="H2403" t="inlineStr">
        <is>
          <t>RJ</t>
        </is>
      </c>
      <c r="I2403" t="n">
        <v>7748</v>
      </c>
      <c r="J2403" t="inlineStr">
        <is>
          <t>CAT 5</t>
        </is>
      </c>
      <c r="K2403" t="inlineStr">
        <is>
          <t>Sim</t>
        </is>
      </c>
    </row>
    <row r="2404">
      <c r="A2404" s="1">
        <f>HYPERLINK("https://eurofarma-latam-crm.veevavault.com/#object/account__v/V4TZ025E868TBHQ", "Lidyane Silva")</f>
        <v/>
      </c>
      <c r="B2404" s="1">
        <f>HYPERLINK("https://eurofarma-latam-crm.veevavault.com/#object/account__v/V4TZ025E868TBHQ", "Lidyane Liadja Souza Silva")</f>
        <v/>
      </c>
      <c r="C2404" t="inlineStr">
        <is>
          <t>RJ1256866</t>
        </is>
      </c>
      <c r="D2404" t="inlineStr">
        <is>
          <t>PED</t>
        </is>
      </c>
      <c r="E2404" t="inlineStr">
        <is>
          <t>Rua Mário Ribeiro, 117</t>
        </is>
      </c>
      <c r="F2404" t="inlineStr">
        <is>
          <t>Leblon</t>
        </is>
      </c>
      <c r="G2404" t="inlineStr">
        <is>
          <t>Rio de Janeiro</t>
        </is>
      </c>
      <c r="H2404" t="inlineStr">
        <is>
          <t>RJ</t>
        </is>
      </c>
      <c r="I2404" t="n">
        <v>7748</v>
      </c>
      <c r="J2404" t="inlineStr"/>
      <c r="K2404" t="inlineStr"/>
    </row>
    <row r="2405">
      <c r="A2405" s="1">
        <f>HYPERLINK("https://eurofarma-latam-crm.veevavault.com/#object/account__v/V4TZ000019145DB", "Lilian Simoes")</f>
        <v/>
      </c>
      <c r="B2405" s="1">
        <f>HYPERLINK("https://eurofarma-latam-crm.veevavault.com/#object/account__v/V4TZ000019145DB", "Lilian Medeiros Carneiro Simoes")</f>
        <v/>
      </c>
      <c r="C2405" t="inlineStr">
        <is>
          <t>RJ0914789</t>
        </is>
      </c>
      <c r="D2405" t="inlineStr">
        <is>
          <t>PED</t>
        </is>
      </c>
      <c r="E2405" t="inlineStr">
        <is>
          <t>Avenida Othon Linch Bezerra de Mello, S/N</t>
        </is>
      </c>
      <c r="F2405" t="inlineStr">
        <is>
          <t>Vila Velha (Santo Aleixo)</t>
        </is>
      </c>
      <c r="G2405" t="inlineStr">
        <is>
          <t>Magé</t>
        </is>
      </c>
      <c r="H2405" t="inlineStr">
        <is>
          <t>RJ</t>
        </is>
      </c>
      <c r="I2405" t="n">
        <v>7748</v>
      </c>
      <c r="J2405" t="inlineStr">
        <is>
          <t>CAT 5</t>
        </is>
      </c>
      <c r="K2405" t="inlineStr">
        <is>
          <t>Sim</t>
        </is>
      </c>
    </row>
    <row r="2406">
      <c r="A2406" s="1">
        <f>HYPERLINK("https://eurofarma-latam-crm.veevavault.com/#object/account__v/V4TZ025E85KWNL2", "Lorena Silva")</f>
        <v/>
      </c>
      <c r="B2406" s="1">
        <f>HYPERLINK("https://eurofarma-latam-crm.veevavault.com/#object/account__v/V4TZ025E85KWNL2", "Lorena Póze Vieira da Silva")</f>
        <v/>
      </c>
      <c r="C2406" t="inlineStr">
        <is>
          <t>RJ1311808</t>
        </is>
      </c>
      <c r="D2406" t="inlineStr">
        <is>
          <t>PED</t>
        </is>
      </c>
      <c r="E2406" t="inlineStr">
        <is>
          <t>Rua do Sapateiro, S/N - Vila Serrana</t>
        </is>
      </c>
      <c r="F2406" t="inlineStr">
        <is>
          <t>Vila Serrana (Vila Inhomirim)</t>
        </is>
      </c>
      <c r="G2406" t="inlineStr">
        <is>
          <t>Magé</t>
        </is>
      </c>
      <c r="H2406" t="inlineStr">
        <is>
          <t>RJ</t>
        </is>
      </c>
      <c r="I2406" t="n">
        <v>7748</v>
      </c>
      <c r="J2406" t="inlineStr">
        <is>
          <t>CAT 5</t>
        </is>
      </c>
      <c r="K2406" t="inlineStr">
        <is>
          <t>N�o</t>
        </is>
      </c>
    </row>
    <row r="2407">
      <c r="A2407" s="1">
        <f>HYPERLINK("https://eurofarma-latam-crm.veevavault.com/#object/account__v/V4TZ00001913E2B", "Lourene Amora Belo")</f>
        <v/>
      </c>
      <c r="B2407" s="1">
        <f>HYPERLINK("https://eurofarma-latam-crm.veevavault.com/#object/account__v/V4TZ00001913E2B", "Lourene Amora Dias Magalhães Bastos Belo")</f>
        <v/>
      </c>
      <c r="C2407" t="inlineStr">
        <is>
          <t>RJ1064568</t>
        </is>
      </c>
      <c r="D2407" t="inlineStr">
        <is>
          <t>CLG / END</t>
        </is>
      </c>
      <c r="E2407" t="inlineStr">
        <is>
          <t>Avenida Delfim Moreira, 2211</t>
        </is>
      </c>
      <c r="F2407" t="inlineStr">
        <is>
          <t>Vale do Paraíso</t>
        </is>
      </c>
      <c r="G2407" t="inlineStr">
        <is>
          <t>Teresópolis</t>
        </is>
      </c>
      <c r="H2407" t="inlineStr">
        <is>
          <t>RJ</t>
        </is>
      </c>
      <c r="I2407" t="n">
        <v>7748</v>
      </c>
      <c r="J2407" t="inlineStr">
        <is>
          <t>CAT 5</t>
        </is>
      </c>
      <c r="K2407" t="inlineStr">
        <is>
          <t>N�o</t>
        </is>
      </c>
    </row>
    <row r="2408">
      <c r="A2408" s="1">
        <f>HYPERLINK("https://eurofarma-latam-crm.veevavault.com/#object/account__v/V4TZ025E8FHTCTP", "Lucas Silva")</f>
        <v/>
      </c>
      <c r="B2408" s="1">
        <f>HYPERLINK("https://eurofarma-latam-crm.veevavault.com/#object/account__v/V4TZ025E8FHTCTP", "Lucas Figueiredo Cordeiro Silva")</f>
        <v/>
      </c>
      <c r="C2408" t="inlineStr">
        <is>
          <t>RJ1389813</t>
        </is>
      </c>
      <c r="D2408" t="inlineStr">
        <is>
          <t>CLG / PA</t>
        </is>
      </c>
      <c r="E2408" t="inlineStr">
        <is>
          <t>Rua Conde de Bonfim, S/N</t>
        </is>
      </c>
      <c r="F2408" t="inlineStr">
        <is>
          <t>Tijuca</t>
        </is>
      </c>
      <c r="G2408" t="inlineStr">
        <is>
          <t>Rio de Janeiro</t>
        </is>
      </c>
      <c r="H2408" t="inlineStr">
        <is>
          <t>RJ</t>
        </is>
      </c>
      <c r="I2408" t="n">
        <v>7748</v>
      </c>
      <c r="J2408" t="inlineStr"/>
      <c r="K2408" t="inlineStr"/>
    </row>
    <row r="2409">
      <c r="A2409" s="1">
        <f>HYPERLINK("https://eurofarma-latam-crm.veevavault.com/#object/account__v/V4TZ00001915CUT", "Luciano Paulino")</f>
        <v/>
      </c>
      <c r="B2409" s="1">
        <f>HYPERLINK("https://eurofarma-latam-crm.veevavault.com/#object/account__v/V4TZ00001915CUT", "Luciano Pinto Paulino")</f>
        <v/>
      </c>
      <c r="C2409" t="inlineStr">
        <is>
          <t>RJ1272560</t>
        </is>
      </c>
      <c r="D2409" t="inlineStr">
        <is>
          <t>PED</t>
        </is>
      </c>
      <c r="E2409" t="inlineStr">
        <is>
          <t>Rua São Luis, 300</t>
        </is>
      </c>
      <c r="F2409" t="inlineStr">
        <is>
          <t>Fonseca</t>
        </is>
      </c>
      <c r="G2409" t="inlineStr">
        <is>
          <t>Duque de Caxias</t>
        </is>
      </c>
      <c r="H2409" t="inlineStr">
        <is>
          <t>RJ</t>
        </is>
      </c>
      <c r="I2409" t="n">
        <v>7748</v>
      </c>
      <c r="J2409" t="inlineStr">
        <is>
          <t>CAT 5</t>
        </is>
      </c>
      <c r="K2409" t="inlineStr">
        <is>
          <t>N�o</t>
        </is>
      </c>
    </row>
    <row r="2410">
      <c r="A2410" s="1">
        <f>HYPERLINK("https://eurofarma-latam-crm.veevavault.com/#object/account__v/V4TZ00001913T37", "Lucidio Santos Júnior")</f>
        <v/>
      </c>
      <c r="B2410" s="1">
        <f>HYPERLINK("https://eurofarma-latam-crm.veevavault.com/#object/account__v/V4TZ00001913T37", "Lucidio Santos Júnior")</f>
        <v/>
      </c>
      <c r="C2410" t="inlineStr">
        <is>
          <t>RJ0491855</t>
        </is>
      </c>
      <c r="D2410" t="inlineStr">
        <is>
          <t>CLG / END</t>
        </is>
      </c>
      <c r="E2410" t="inlineStr">
        <is>
          <t>Rua Arthur Rodrigues Loivos, 87</t>
        </is>
      </c>
      <c r="F2410" t="inlineStr">
        <is>
          <t>Piabetá (Inhomirim)</t>
        </is>
      </c>
      <c r="G2410" t="inlineStr">
        <is>
          <t>Magé</t>
        </is>
      </c>
      <c r="H2410" t="inlineStr">
        <is>
          <t>RJ</t>
        </is>
      </c>
      <c r="I2410" t="n">
        <v>7748</v>
      </c>
      <c r="J2410" t="inlineStr">
        <is>
          <t>CAT 5</t>
        </is>
      </c>
      <c r="K2410" t="inlineStr">
        <is>
          <t>Sim</t>
        </is>
      </c>
    </row>
    <row r="2411">
      <c r="A2411" s="1">
        <f>HYPERLINK("https://eurofarma-latam-crm.veevavault.com/#object/account__v/V4TZ00001914QV3", "Luis Zylbersztejn")</f>
        <v/>
      </c>
      <c r="B2411" s="1">
        <f>HYPERLINK("https://eurofarma-latam-crm.veevavault.com/#object/account__v/V4TZ00001914QV3", "Luis Zylbersztejn")</f>
        <v/>
      </c>
      <c r="C2411" t="inlineStr">
        <is>
          <t>RJ0460435</t>
        </is>
      </c>
      <c r="D2411" t="inlineStr">
        <is>
          <t>PED</t>
        </is>
      </c>
      <c r="E2411" t="inlineStr">
        <is>
          <t>Rua Doutor Nelson de Sá Earp, 25 - 29 31 E 35</t>
        </is>
      </c>
      <c r="F2411" t="inlineStr">
        <is>
          <t>Centro</t>
        </is>
      </c>
      <c r="G2411" t="inlineStr">
        <is>
          <t>Petrópolis</t>
        </is>
      </c>
      <c r="H2411" t="inlineStr">
        <is>
          <t>RJ</t>
        </is>
      </c>
      <c r="I2411" t="n">
        <v>7748</v>
      </c>
      <c r="J2411" t="inlineStr">
        <is>
          <t>CAT 3</t>
        </is>
      </c>
      <c r="K2411" t="inlineStr">
        <is>
          <t>Sim</t>
        </is>
      </c>
    </row>
    <row r="2412">
      <c r="A2412" s="1">
        <f>HYPERLINK("https://eurofarma-latam-crm.veevavault.com/#object/account__v/V4TZ00001913IG9", "Luiz Carlos Rollemberg")</f>
        <v/>
      </c>
      <c r="B2412" s="1">
        <f>HYPERLINK("https://eurofarma-latam-crm.veevavault.com/#object/account__v/V4TZ00001913IG9", "Luiz Carlos Vieira Machado Rollemberg")</f>
        <v/>
      </c>
      <c r="C2412" t="inlineStr">
        <is>
          <t>RJ0597781</t>
        </is>
      </c>
      <c r="D2412" t="inlineStr">
        <is>
          <t>URO</t>
        </is>
      </c>
      <c r="E2412" t="inlineStr">
        <is>
          <t>Rua Doutor Nelson de Sá Earp, 25 - 29 31 E 35</t>
        </is>
      </c>
      <c r="F2412" t="inlineStr">
        <is>
          <t>Centro</t>
        </is>
      </c>
      <c r="G2412" t="inlineStr">
        <is>
          <t>Petrópolis</t>
        </is>
      </c>
      <c r="H2412" t="inlineStr">
        <is>
          <t>RJ</t>
        </is>
      </c>
      <c r="I2412" t="n">
        <v>7748</v>
      </c>
      <c r="J2412" t="inlineStr">
        <is>
          <t>CAT 5</t>
        </is>
      </c>
      <c r="K2412" t="inlineStr">
        <is>
          <t>Sim</t>
        </is>
      </c>
    </row>
    <row r="2413">
      <c r="A2413" s="1">
        <f>HYPERLINK("https://eurofarma-latam-crm.veevavault.com/#object/account__v/V4TZ00001914FP4", "Luiz Ciuffo")</f>
        <v/>
      </c>
      <c r="B2413" s="1">
        <f>HYPERLINK("https://eurofarma-latam-crm.veevavault.com/#object/account__v/V4TZ00001914FP4", "Luiz Carlos Lopes Ciuffo")</f>
        <v/>
      </c>
      <c r="C2413" t="inlineStr">
        <is>
          <t>RJ0469867</t>
        </is>
      </c>
      <c r="D2413" t="inlineStr">
        <is>
          <t>CLG / SNC</t>
        </is>
      </c>
      <c r="E2413" t="inlineStr">
        <is>
          <t>Rua João Carmo, 110</t>
        </is>
      </c>
      <c r="F2413" t="inlineStr">
        <is>
          <t>Rio Bonito</t>
        </is>
      </c>
      <c r="G2413" t="inlineStr">
        <is>
          <t>Rio Bonito</t>
        </is>
      </c>
      <c r="H2413" t="inlineStr">
        <is>
          <t>RJ</t>
        </is>
      </c>
      <c r="I2413" t="n">
        <v>7748</v>
      </c>
      <c r="J2413" t="inlineStr">
        <is>
          <t>CAT 5</t>
        </is>
      </c>
      <c r="K2413" t="inlineStr">
        <is>
          <t>Sim</t>
        </is>
      </c>
    </row>
    <row r="2414">
      <c r="A2414" s="1">
        <f>HYPERLINK("https://eurofarma-latam-crm.veevavault.com/#object/account__v/V4TZ000018NYA6K", "Luiz Nunes")</f>
        <v/>
      </c>
      <c r="B2414" s="1">
        <f>HYPERLINK("https://eurofarma-latam-crm.veevavault.com/#object/account__v/V4TZ000018NYA6K", "Luiz Ferreira Nunes")</f>
        <v/>
      </c>
      <c r="C2414" t="inlineStr">
        <is>
          <t>RJ0640840</t>
        </is>
      </c>
      <c r="D2414" t="inlineStr"/>
      <c r="E2414" t="inlineStr">
        <is>
          <t>Avenida Roberto Silveira, S/N</t>
        </is>
      </c>
      <c r="F2414" t="inlineStr">
        <is>
          <t>Praia de Olaria (Guia de Pacobaíba)</t>
        </is>
      </c>
      <c r="G2414" t="inlineStr">
        <is>
          <t>Magé</t>
        </is>
      </c>
      <c r="H2414" t="inlineStr">
        <is>
          <t>RJ</t>
        </is>
      </c>
      <c r="I2414" t="n">
        <v>7748</v>
      </c>
      <c r="J2414" t="inlineStr">
        <is>
          <t>CAT 5</t>
        </is>
      </c>
      <c r="K2414" t="inlineStr">
        <is>
          <t>Sim</t>
        </is>
      </c>
    </row>
    <row r="2415">
      <c r="A2415" s="1">
        <f>HYPERLINK("https://eurofarma-latam-crm.veevavault.com/#object/account__v/V4TZ025E8FB41PM", "Mabel Peixoto")</f>
        <v/>
      </c>
      <c r="B2415" s="1">
        <f>HYPERLINK("https://eurofarma-latam-crm.veevavault.com/#object/account__v/V4TZ025E8FB41PM", "Mabel Emilião Peixoto")</f>
        <v/>
      </c>
      <c r="C2415" t="inlineStr">
        <is>
          <t>RJ1385286</t>
        </is>
      </c>
      <c r="D2415" t="inlineStr">
        <is>
          <t>PED</t>
        </is>
      </c>
      <c r="E2415" t="inlineStr">
        <is>
          <t>Est Real De Maua, S/N</t>
        </is>
      </c>
      <c r="F2415" t="inlineStr">
        <is>
          <t>Jardim da Paz (Guia de Pacobaíba)</t>
        </is>
      </c>
      <c r="G2415" t="inlineStr">
        <is>
          <t>Magé</t>
        </is>
      </c>
      <c r="H2415" t="inlineStr">
        <is>
          <t>RJ</t>
        </is>
      </c>
      <c r="I2415" t="n">
        <v>7748</v>
      </c>
      <c r="J2415" t="inlineStr"/>
      <c r="K2415" t="inlineStr"/>
    </row>
    <row r="2416">
      <c r="A2416" s="1">
        <f>HYPERLINK("https://eurofarma-latam-crm.veevavault.com/#object/account__v/V4TZ00001914CTB", "Madelon Gomes")</f>
        <v/>
      </c>
      <c r="B2416" s="1">
        <f>HYPERLINK("https://eurofarma-latam-crm.veevavault.com/#object/account__v/V4TZ00001914CTB", "Madelon Maggioni de Oliveira Gomes")</f>
        <v/>
      </c>
      <c r="C2416" t="inlineStr">
        <is>
          <t>RJ0768685</t>
        </is>
      </c>
      <c r="D2416" t="inlineStr">
        <is>
          <t>PED</t>
        </is>
      </c>
      <c r="E2416" t="inlineStr">
        <is>
          <t>Estrada Teresopolis Friburgo, S/N - 3 Distrito</t>
        </is>
      </c>
      <c r="F2416" t="inlineStr">
        <is>
          <t>Bom Retiro</t>
        </is>
      </c>
      <c r="G2416" t="inlineStr">
        <is>
          <t>Teresópolis</t>
        </is>
      </c>
      <c r="H2416" t="inlineStr">
        <is>
          <t>RJ</t>
        </is>
      </c>
      <c r="I2416" t="n">
        <v>7748</v>
      </c>
      <c r="J2416" t="inlineStr">
        <is>
          <t>CAT 5</t>
        </is>
      </c>
      <c r="K2416" t="inlineStr">
        <is>
          <t>Sim</t>
        </is>
      </c>
    </row>
    <row r="2417">
      <c r="A2417" s="1">
        <f>HYPERLINK("https://eurofarma-latam-crm.veevavault.com/#object/account__v/V4TZ000018NZB7C", "Maira Cruz")</f>
        <v/>
      </c>
      <c r="B2417" s="1">
        <f>HYPERLINK("https://eurofarma-latam-crm.veevavault.com/#object/account__v/V4TZ000018NZB7C", "Maira Azevedo Cruz")</f>
        <v/>
      </c>
      <c r="C2417" t="inlineStr">
        <is>
          <t>RJ1232266</t>
        </is>
      </c>
      <c r="D2417" t="inlineStr">
        <is>
          <t>CLG / PA</t>
        </is>
      </c>
      <c r="E2417" t="inlineStr">
        <is>
          <t>Avenida Santos Dumont, 207</t>
        </is>
      </c>
      <c r="F2417" t="inlineStr">
        <is>
          <t>Piabetá (Inhomirim)</t>
        </is>
      </c>
      <c r="G2417" t="inlineStr">
        <is>
          <t>Magé</t>
        </is>
      </c>
      <c r="H2417" t="inlineStr">
        <is>
          <t>RJ</t>
        </is>
      </c>
      <c r="I2417" t="n">
        <v>7748</v>
      </c>
      <c r="J2417" t="inlineStr">
        <is>
          <t>CAT 4</t>
        </is>
      </c>
      <c r="K2417" t="inlineStr">
        <is>
          <t>Sim</t>
        </is>
      </c>
    </row>
    <row r="2418">
      <c r="A2418" s="1">
        <f>HYPERLINK("https://eurofarma-latam-crm.veevavault.com/#object/account__v/V4TZ025E88R1I79", "Manuela Corrêa")</f>
        <v/>
      </c>
      <c r="B2418" s="1">
        <f>HYPERLINK("https://eurofarma-latam-crm.veevavault.com/#object/account__v/V4TZ025E88R1I79", "Manuela Souza Silva Corrêa")</f>
        <v/>
      </c>
      <c r="C2418" t="inlineStr">
        <is>
          <t>RJ1334204</t>
        </is>
      </c>
      <c r="D2418" t="inlineStr">
        <is>
          <t>CLG / PA</t>
        </is>
      </c>
      <c r="E2418" t="inlineStr">
        <is>
          <t>Avenida Automóvel Clube, S/N - Km 60</t>
        </is>
      </c>
      <c r="F2418" t="inlineStr">
        <is>
          <t>Vila Carvalho (Vila Inhomirim)</t>
        </is>
      </c>
      <c r="G2418" t="inlineStr">
        <is>
          <t>Magé</t>
        </is>
      </c>
      <c r="H2418" t="inlineStr">
        <is>
          <t>RJ</t>
        </is>
      </c>
      <c r="I2418" t="n">
        <v>7748</v>
      </c>
      <c r="J2418" t="inlineStr">
        <is>
          <t>CAT 5</t>
        </is>
      </c>
      <c r="K2418" t="inlineStr">
        <is>
          <t>N�o</t>
        </is>
      </c>
    </row>
    <row r="2419">
      <c r="A2419" s="1">
        <f>HYPERLINK("https://eurofarma-latam-crm.veevavault.com/#object/account__v/V4TZ00001915TMP", "Marcel Portela")</f>
        <v/>
      </c>
      <c r="B2419" s="1">
        <f>HYPERLINK("https://eurofarma-latam-crm.veevavault.com/#object/account__v/V4TZ00001915TMP", "Marcel Araujo Portela")</f>
        <v/>
      </c>
      <c r="C2419" t="inlineStr">
        <is>
          <t>RJ0963461</t>
        </is>
      </c>
      <c r="D2419" t="inlineStr">
        <is>
          <t>END</t>
        </is>
      </c>
      <c r="E2419" t="inlineStr">
        <is>
          <t>Avenida Feliciano Sodré, 266 - Sala 218</t>
        </is>
      </c>
      <c r="F2419" t="inlineStr">
        <is>
          <t>Várzea</t>
        </is>
      </c>
      <c r="G2419" t="inlineStr">
        <is>
          <t>Teresópolis</t>
        </is>
      </c>
      <c r="H2419" t="inlineStr">
        <is>
          <t>RJ</t>
        </is>
      </c>
      <c r="I2419" t="n">
        <v>7748</v>
      </c>
      <c r="J2419" t="inlineStr">
        <is>
          <t>CAT 4</t>
        </is>
      </c>
      <c r="K2419" t="inlineStr">
        <is>
          <t>Sim</t>
        </is>
      </c>
    </row>
    <row r="2420">
      <c r="A2420" s="1">
        <f>HYPERLINK("https://eurofarma-latam-crm.veevavault.com/#object/account__v/V4TZ025E8EHU2FA", "Marcela Serpa")</f>
        <v/>
      </c>
      <c r="B2420" s="1">
        <f>HYPERLINK("https://eurofarma-latam-crm.veevavault.com/#object/account__v/V4TZ025E8EHU2FA", "Marcela Novello Serpa")</f>
        <v/>
      </c>
      <c r="C2420" t="inlineStr">
        <is>
          <t>RJ1383971</t>
        </is>
      </c>
      <c r="D2420" t="inlineStr">
        <is>
          <t>CLG / PA</t>
        </is>
      </c>
      <c r="E2420" t="inlineStr">
        <is>
          <t>Rua Visconde de Pirajá, 414 - Sala 718</t>
        </is>
      </c>
      <c r="F2420" t="inlineStr">
        <is>
          <t>Ipanema</t>
        </is>
      </c>
      <c r="G2420" t="inlineStr">
        <is>
          <t>Rio de Janeiro</t>
        </is>
      </c>
      <c r="H2420" t="inlineStr">
        <is>
          <t>RJ</t>
        </is>
      </c>
      <c r="I2420" t="n">
        <v>7748</v>
      </c>
      <c r="J2420" t="inlineStr">
        <is>
          <t>CAT 5</t>
        </is>
      </c>
      <c r="K2420" t="inlineStr">
        <is>
          <t>Sim</t>
        </is>
      </c>
    </row>
    <row r="2421">
      <c r="A2421" s="1">
        <f>HYPERLINK("https://eurofarma-latam-crm.veevavault.com/#object/account__v/V4TZ000018NYPCT", "Marcelo Dourado")</f>
        <v/>
      </c>
      <c r="B2421" s="1">
        <f>HYPERLINK("https://eurofarma-latam-crm.veevavault.com/#object/account__v/V4TZ000018NYPCT", "Marcelo da Costa Dourado")</f>
        <v/>
      </c>
      <c r="C2421" t="inlineStr">
        <is>
          <t>RJ1103318</t>
        </is>
      </c>
      <c r="D2421" t="inlineStr">
        <is>
          <t>END</t>
        </is>
      </c>
      <c r="E2421" t="inlineStr">
        <is>
          <t>Estrada Pedro Borges de Freitas, 90</t>
        </is>
      </c>
      <c r="F2421" t="inlineStr">
        <is>
          <t>Irajá</t>
        </is>
      </c>
      <c r="G2421" t="inlineStr">
        <is>
          <t>Rio de Janeiro</t>
        </is>
      </c>
      <c r="H2421" t="inlineStr">
        <is>
          <t>RJ</t>
        </is>
      </c>
      <c r="I2421" t="n">
        <v>7748</v>
      </c>
      <c r="J2421" t="inlineStr">
        <is>
          <t>CAT 4</t>
        </is>
      </c>
      <c r="K2421" t="inlineStr">
        <is>
          <t>Sim</t>
        </is>
      </c>
    </row>
    <row r="2422">
      <c r="A2422" s="1">
        <f>HYPERLINK("https://eurofarma-latam-crm.veevavault.com/#object/account__v/V4TZ000018NYX96", "Marcia Correa")</f>
        <v/>
      </c>
      <c r="B2422" s="1">
        <f>HYPERLINK("https://eurofarma-latam-crm.veevavault.com/#object/account__v/V4TZ000018NYX96", "Marcia dos Santos Silva Correa")</f>
        <v/>
      </c>
      <c r="C2422" t="inlineStr">
        <is>
          <t>RJ0694991</t>
        </is>
      </c>
      <c r="D2422" t="inlineStr">
        <is>
          <t>GER</t>
        </is>
      </c>
      <c r="E2422" t="inlineStr">
        <is>
          <t>Rua Doutor José Mendonça Clark, 90 - Sala 206</t>
        </is>
      </c>
      <c r="F2422" t="inlineStr">
        <is>
          <t>Várzea</t>
        </is>
      </c>
      <c r="G2422" t="inlineStr">
        <is>
          <t>Teresópolis</t>
        </is>
      </c>
      <c r="H2422" t="inlineStr">
        <is>
          <t>RJ</t>
        </is>
      </c>
      <c r="I2422" t="n">
        <v>7748</v>
      </c>
      <c r="J2422" t="inlineStr">
        <is>
          <t>CAT 5</t>
        </is>
      </c>
      <c r="K2422" t="inlineStr">
        <is>
          <t>Sim</t>
        </is>
      </c>
    </row>
    <row r="2423">
      <c r="A2423" s="1">
        <f>HYPERLINK("https://eurofarma-latam-crm.veevavault.com/#object/account__v/V4TZ00001914QNX", "Marcia Cristina Schiffler")</f>
        <v/>
      </c>
      <c r="B2423" s="1">
        <f>HYPERLINK("https://eurofarma-latam-crm.veevavault.com/#object/account__v/V4TZ00001914QNX", "Marcia Cristina Schiffler")</f>
        <v/>
      </c>
      <c r="C2423" t="inlineStr">
        <is>
          <t>RJ0800465</t>
        </is>
      </c>
      <c r="D2423" t="inlineStr">
        <is>
          <t>CLG / END</t>
        </is>
      </c>
      <c r="E2423" t="inlineStr">
        <is>
          <t>Rua Arthur Rodrigues Loivos, 177</t>
        </is>
      </c>
      <c r="F2423" t="inlineStr">
        <is>
          <t>Piabetá (Inhomirim)</t>
        </is>
      </c>
      <c r="G2423" t="inlineStr">
        <is>
          <t>Magé</t>
        </is>
      </c>
      <c r="H2423" t="inlineStr">
        <is>
          <t>RJ</t>
        </is>
      </c>
      <c r="I2423" t="n">
        <v>7748</v>
      </c>
      <c r="J2423" t="inlineStr">
        <is>
          <t>CAT 2</t>
        </is>
      </c>
      <c r="K2423" t="inlineStr">
        <is>
          <t>Sim</t>
        </is>
      </c>
    </row>
    <row r="2424">
      <c r="A2424" s="1">
        <f>HYPERLINK("https://eurofarma-latam-crm.veevavault.com/#object/account__v/V4TZ025E88XYREK", "Marcia de Souza")</f>
        <v/>
      </c>
      <c r="B2424" s="1">
        <f>HYPERLINK("https://eurofarma-latam-crm.veevavault.com/#object/account__v/V4TZ025E88XYREK", "Marcia Oliveira de Souza")</f>
        <v/>
      </c>
      <c r="C2424" t="inlineStr">
        <is>
          <t>RJ1329022</t>
        </is>
      </c>
      <c r="D2424" t="inlineStr">
        <is>
          <t>CLG / PA</t>
        </is>
      </c>
      <c r="E2424" t="inlineStr">
        <is>
          <t>Estrada do Dendê, 668 - Lote 28 Pal 2040 Quadra 145</t>
        </is>
      </c>
      <c r="F2424" t="inlineStr">
        <is>
          <t>Tauá</t>
        </is>
      </c>
      <c r="G2424" t="inlineStr">
        <is>
          <t>Rio de Janeiro</t>
        </is>
      </c>
      <c r="H2424" t="inlineStr">
        <is>
          <t>RJ</t>
        </is>
      </c>
      <c r="I2424" t="n">
        <v>7748</v>
      </c>
      <c r="J2424" t="inlineStr">
        <is>
          <t>CAT 5</t>
        </is>
      </c>
      <c r="K2424" t="inlineStr">
        <is>
          <t>Sim</t>
        </is>
      </c>
    </row>
    <row r="2425">
      <c r="A2425" s="1">
        <f>HYPERLINK("https://eurofarma-latam-crm.veevavault.com/#object/account__v/V4TZ025E831VMTR", "Marcilene Oliveira")</f>
        <v/>
      </c>
      <c r="B2425" s="1">
        <f>HYPERLINK("https://eurofarma-latam-crm.veevavault.com/#object/account__v/V4TZ025E831VMTR", "Marcilene Alves Machado de Oliveira")</f>
        <v/>
      </c>
      <c r="C2425" t="inlineStr">
        <is>
          <t>RJ1284398</t>
        </is>
      </c>
      <c r="D2425" t="inlineStr">
        <is>
          <t>PED</t>
        </is>
      </c>
      <c r="E2425" t="inlineStr">
        <is>
          <t>Estrada do Barro Vermelho, S/N</t>
        </is>
      </c>
      <c r="F2425" t="inlineStr">
        <is>
          <t>Rocha Miranda</t>
        </is>
      </c>
      <c r="G2425" t="inlineStr">
        <is>
          <t>Rio de Janeiro</t>
        </is>
      </c>
      <c r="H2425" t="inlineStr">
        <is>
          <t>RJ</t>
        </is>
      </c>
      <c r="I2425" t="n">
        <v>7748</v>
      </c>
      <c r="J2425" t="inlineStr">
        <is>
          <t>CAT 5</t>
        </is>
      </c>
      <c r="K2425" t="inlineStr">
        <is>
          <t>Sim</t>
        </is>
      </c>
    </row>
    <row r="2426">
      <c r="A2426" s="1">
        <f>HYPERLINK("https://eurofarma-latam-crm.veevavault.com/#object/account__v/V4TZ000018NXUO6", "Marcio Paulo de Almeida")</f>
        <v/>
      </c>
      <c r="B2426" s="1">
        <f>HYPERLINK("https://eurofarma-latam-crm.veevavault.com/#object/account__v/V4TZ000018NXUO6", "Marcio Paulo Rangel de Almeida")</f>
        <v/>
      </c>
      <c r="C2426" t="inlineStr">
        <is>
          <t>RJ0699209,SP0137661</t>
        </is>
      </c>
      <c r="D2426" t="inlineStr">
        <is>
          <t>CLG / PA</t>
        </is>
      </c>
      <c r="E2426" t="inlineStr">
        <is>
          <t>Rua Santos Dumont, 239</t>
        </is>
      </c>
      <c r="F2426" t="inlineStr">
        <is>
          <t>Centro</t>
        </is>
      </c>
      <c r="G2426" t="inlineStr">
        <is>
          <t>Petrópolis</t>
        </is>
      </c>
      <c r="H2426" t="inlineStr">
        <is>
          <t>RJ</t>
        </is>
      </c>
      <c r="I2426" t="n">
        <v>7748</v>
      </c>
      <c r="J2426" t="inlineStr">
        <is>
          <t>CAT 5</t>
        </is>
      </c>
      <c r="K2426" t="inlineStr">
        <is>
          <t>Sim</t>
        </is>
      </c>
    </row>
    <row r="2427">
      <c r="A2427" s="1">
        <f>HYPERLINK("https://eurofarma-latam-crm.veevavault.com/#object/account__v/V4TZ00001913PX9", "Marco Coelho")</f>
        <v/>
      </c>
      <c r="B2427" s="1">
        <f>HYPERLINK("https://eurofarma-latam-crm.veevavault.com/#object/account__v/V4TZ00001913PX9", "Marco Antonio Teixeira Coelho")</f>
        <v/>
      </c>
      <c r="C2427" t="inlineStr">
        <is>
          <t>RJ0443885</t>
        </is>
      </c>
      <c r="D2427" t="inlineStr">
        <is>
          <t>ORL</t>
        </is>
      </c>
      <c r="E2427" t="inlineStr">
        <is>
          <t>Abel Graca Junior, 119</t>
        </is>
      </c>
      <c r="F2427" t="inlineStr">
        <is>
          <t>Vila Carvalho (Vila Inhomirim)</t>
        </is>
      </c>
      <c r="G2427" t="inlineStr">
        <is>
          <t>Magé</t>
        </is>
      </c>
      <c r="H2427" t="inlineStr">
        <is>
          <t>RJ</t>
        </is>
      </c>
      <c r="I2427" t="n">
        <v>7748</v>
      </c>
      <c r="J2427" t="inlineStr">
        <is>
          <t>CAT 4</t>
        </is>
      </c>
      <c r="K2427" t="inlineStr">
        <is>
          <t>Sim</t>
        </is>
      </c>
    </row>
    <row r="2428">
      <c r="A2428" s="1">
        <f>HYPERLINK("https://eurofarma-latam-crm.veevavault.com/#object/account__v/V4TZ000019146JY", "Marcos Araújo Filho")</f>
        <v/>
      </c>
      <c r="B2428" s="1">
        <f>HYPERLINK("https://eurofarma-latam-crm.veevavault.com/#object/account__v/V4TZ000019146JY", "Marcos Horta Araújo Filho")</f>
        <v/>
      </c>
      <c r="C2428" t="inlineStr">
        <is>
          <t>RJ0605756</t>
        </is>
      </c>
      <c r="D2428" t="inlineStr">
        <is>
          <t>CLG / END</t>
        </is>
      </c>
      <c r="E2428" t="inlineStr">
        <is>
          <t>Rua Coronel João Valério 310 S 6</t>
        </is>
      </c>
      <c r="F2428" t="inlineStr">
        <is>
          <t>Centro</t>
        </is>
      </c>
      <c r="G2428" t="inlineStr">
        <is>
          <t>Magé</t>
        </is>
      </c>
      <c r="H2428" t="inlineStr">
        <is>
          <t>RJ</t>
        </is>
      </c>
      <c r="I2428" t="n">
        <v>7748</v>
      </c>
      <c r="J2428" t="inlineStr">
        <is>
          <t>CAT 5</t>
        </is>
      </c>
      <c r="K2428" t="inlineStr">
        <is>
          <t>Sim</t>
        </is>
      </c>
    </row>
    <row r="2429">
      <c r="A2429" s="1">
        <f>HYPERLINK("https://eurofarma-latam-crm.veevavault.com/#object/account__v/V4TZ000019153J7", "Marcos Silveira")</f>
        <v/>
      </c>
      <c r="B2429" s="1">
        <f>HYPERLINK("https://eurofarma-latam-crm.veevavault.com/#object/account__v/V4TZ000019153J7", "Marcos Cintra Silveira")</f>
        <v/>
      </c>
      <c r="C2429" t="inlineStr">
        <is>
          <t>MG0045374,RJ0594334</t>
        </is>
      </c>
      <c r="D2429" t="inlineStr">
        <is>
          <t>NEU</t>
        </is>
      </c>
      <c r="E2429" t="inlineStr">
        <is>
          <t>Rua Joaquim Ribeiro De Assis, S/N</t>
        </is>
      </c>
      <c r="F2429" t="inlineStr">
        <is>
          <t>Balanca</t>
        </is>
      </c>
      <c r="G2429" t="inlineStr">
        <is>
          <t>Simão Pereira</t>
        </is>
      </c>
      <c r="H2429" t="inlineStr">
        <is>
          <t>MG</t>
        </is>
      </c>
      <c r="I2429" t="n">
        <v>7748</v>
      </c>
      <c r="J2429" t="inlineStr">
        <is>
          <t>CAT 2</t>
        </is>
      </c>
      <c r="K2429" t="inlineStr">
        <is>
          <t>Sim</t>
        </is>
      </c>
    </row>
    <row r="2430">
      <c r="A2430" s="1">
        <f>HYPERLINK("https://eurofarma-latam-crm.veevavault.com/#object/account__v/V4TZ025E8EZ0GDU", "Marcus Vinícius de Oliveira")</f>
        <v/>
      </c>
      <c r="B2430" s="1">
        <f>HYPERLINK("https://eurofarma-latam-crm.veevavault.com/#object/account__v/V4TZ025E8EZ0GDU", "Marcus Vinícius Miranda de Oliveira")</f>
        <v/>
      </c>
      <c r="C2430" t="inlineStr">
        <is>
          <t>PA0021747,RJ1390970</t>
        </is>
      </c>
      <c r="D2430" t="inlineStr">
        <is>
          <t>CLG / PA</t>
        </is>
      </c>
      <c r="E2430" t="inlineStr">
        <is>
          <t>Avenida Nóbrega Ribeiro, S/N</t>
        </is>
      </c>
      <c r="F2430" t="inlineStr">
        <is>
          <t>Vila Operária</t>
        </is>
      </c>
      <c r="G2430" t="inlineStr">
        <is>
          <t>Duque de Caxias</t>
        </is>
      </c>
      <c r="H2430" t="inlineStr">
        <is>
          <t>RJ</t>
        </is>
      </c>
      <c r="I2430" t="n">
        <v>7748</v>
      </c>
      <c r="J2430" t="inlineStr">
        <is>
          <t>CAT 5</t>
        </is>
      </c>
      <c r="K2430" t="inlineStr">
        <is>
          <t>N�o</t>
        </is>
      </c>
    </row>
    <row r="2431">
      <c r="A2431" s="1">
        <f>HYPERLINK("https://eurofarma-latam-crm.veevavault.com/#object/account__v/V4TZ025E85ZPEFY", "Maria Augusta Costa")</f>
        <v/>
      </c>
      <c r="B2431" s="1">
        <f>HYPERLINK("https://eurofarma-latam-crm.veevavault.com/#object/account__v/V4TZ025E85ZPEFY", "Maria Augusta Ribeiro Costa")</f>
        <v/>
      </c>
      <c r="C2431" t="inlineStr">
        <is>
          <t>RJ1310364</t>
        </is>
      </c>
      <c r="D2431" t="inlineStr">
        <is>
          <t>CLG / PA</t>
        </is>
      </c>
      <c r="E2431" t="inlineStr">
        <is>
          <t>Rua A, S/N</t>
        </is>
      </c>
      <c r="F2431" t="inlineStr">
        <is>
          <t>Parque Santana (Vila Inhomirim)</t>
        </is>
      </c>
      <c r="G2431" t="inlineStr">
        <is>
          <t>Magé</t>
        </is>
      </c>
      <c r="H2431" t="inlineStr">
        <is>
          <t>RJ</t>
        </is>
      </c>
      <c r="I2431" t="n">
        <v>7748</v>
      </c>
      <c r="J2431" t="inlineStr">
        <is>
          <t>CAT 5</t>
        </is>
      </c>
      <c r="K2431" t="inlineStr">
        <is>
          <t>N�o</t>
        </is>
      </c>
    </row>
    <row r="2432">
      <c r="A2432" s="1">
        <f>HYPERLINK("https://eurofarma-latam-crm.veevavault.com/#object/account__v/V4TZ025E88DTPSE", "Maria Botelho")</f>
        <v/>
      </c>
      <c r="B2432" s="1">
        <f>HYPERLINK("https://eurofarma-latam-crm.veevavault.com/#object/account__v/V4TZ025E88DTPSE", "Maria Fernanda Antelo Botelho")</f>
        <v/>
      </c>
      <c r="C2432" t="inlineStr">
        <is>
          <t>RJ1332961</t>
        </is>
      </c>
      <c r="D2432" t="inlineStr">
        <is>
          <t>CLG / PA</t>
        </is>
      </c>
      <c r="E2432" t="inlineStr">
        <is>
          <t>Rua A, S/N</t>
        </is>
      </c>
      <c r="F2432" t="inlineStr">
        <is>
          <t>Parque Santana (Vila Inhomirim)</t>
        </is>
      </c>
      <c r="G2432" t="inlineStr">
        <is>
          <t>Magé</t>
        </is>
      </c>
      <c r="H2432" t="inlineStr">
        <is>
          <t>RJ</t>
        </is>
      </c>
      <c r="I2432" t="n">
        <v>7748</v>
      </c>
      <c r="J2432" t="inlineStr">
        <is>
          <t>CAT 5</t>
        </is>
      </c>
      <c r="K2432" t="inlineStr">
        <is>
          <t>N�o</t>
        </is>
      </c>
    </row>
    <row r="2433">
      <c r="A2433" s="1">
        <f>HYPERLINK("https://eurofarma-latam-crm.veevavault.com/#object/account__v/V4TZ025E82QMJQ0", "Maria Carmen Kyt")</f>
        <v/>
      </c>
      <c r="B2433" s="1">
        <f>HYPERLINK("https://eurofarma-latam-crm.veevavault.com/#object/account__v/V4TZ025E82QMJQ0", "Maria Carmen Garcia Kyt")</f>
        <v/>
      </c>
      <c r="C2433" t="inlineStr">
        <is>
          <t>RJ1286846</t>
        </is>
      </c>
      <c r="D2433" t="inlineStr">
        <is>
          <t>CLG / PA</t>
        </is>
      </c>
      <c r="E2433" t="inlineStr">
        <is>
          <t>Rua da Gamboa, 303</t>
        </is>
      </c>
      <c r="F2433" t="inlineStr">
        <is>
          <t>Gamboa</t>
        </is>
      </c>
      <c r="G2433" t="inlineStr">
        <is>
          <t>Rio de Janeiro</t>
        </is>
      </c>
      <c r="H2433" t="inlineStr">
        <is>
          <t>RJ</t>
        </is>
      </c>
      <c r="I2433" t="n">
        <v>7748</v>
      </c>
      <c r="J2433" t="inlineStr">
        <is>
          <t>CAT 5</t>
        </is>
      </c>
      <c r="K2433" t="inlineStr">
        <is>
          <t>N�o</t>
        </is>
      </c>
    </row>
    <row r="2434">
      <c r="A2434" s="1">
        <f>HYPERLINK("https://eurofarma-latam-crm.veevavault.com/#object/account__v/V4TZ000018NYZRF", "Maria Correia")</f>
        <v/>
      </c>
      <c r="B2434" s="1">
        <f>HYPERLINK("https://eurofarma-latam-crm.veevavault.com/#object/account__v/V4TZ000018NYZRF", "Maria de Oliveira Grossi Correia")</f>
        <v/>
      </c>
      <c r="C2434" t="inlineStr">
        <is>
          <t>RJ0762199</t>
        </is>
      </c>
      <c r="D2434" t="inlineStr">
        <is>
          <t>PSQ</t>
        </is>
      </c>
      <c r="E2434" t="inlineStr">
        <is>
          <t>Rua Nicomédio Anselmo de Oliveira, 50</t>
        </is>
      </c>
      <c r="F2434" t="inlineStr">
        <is>
          <t>Centro</t>
        </is>
      </c>
      <c r="G2434" t="inlineStr">
        <is>
          <t>Guapimirim</t>
        </is>
      </c>
      <c r="H2434" t="inlineStr">
        <is>
          <t>RJ</t>
        </is>
      </c>
      <c r="I2434" t="n">
        <v>7748</v>
      </c>
      <c r="J2434" t="inlineStr">
        <is>
          <t>CAT 2</t>
        </is>
      </c>
      <c r="K2434" t="inlineStr">
        <is>
          <t>Sim</t>
        </is>
      </c>
    </row>
    <row r="2435">
      <c r="A2435" s="1">
        <f>HYPERLINK("https://eurofarma-latam-crm.veevavault.com/#object/account__v/V4TZ00001914ZAP", "Maria dos Santos")</f>
        <v/>
      </c>
      <c r="B2435" s="1">
        <f>HYPERLINK("https://eurofarma-latam-crm.veevavault.com/#object/account__v/V4TZ00001914ZAP", "Maria da Conceição Ribeiro dos Santos")</f>
        <v/>
      </c>
      <c r="C2435" t="inlineStr">
        <is>
          <t>RJ0366874</t>
        </is>
      </c>
      <c r="D2435" t="inlineStr">
        <is>
          <t>PED</t>
        </is>
      </c>
      <c r="E2435" t="inlineStr">
        <is>
          <t>Avenida Automóvel Clube, 2900</t>
        </is>
      </c>
      <c r="F2435" t="inlineStr">
        <is>
          <t>Vila Carvalho (Vila Inhomirim)</t>
        </is>
      </c>
      <c r="G2435" t="inlineStr">
        <is>
          <t>Magé</t>
        </is>
      </c>
      <c r="H2435" t="inlineStr">
        <is>
          <t>RJ</t>
        </is>
      </c>
      <c r="I2435" t="n">
        <v>7748</v>
      </c>
      <c r="J2435" t="inlineStr">
        <is>
          <t>CAT 5</t>
        </is>
      </c>
      <c r="K2435" t="inlineStr">
        <is>
          <t>Sim</t>
        </is>
      </c>
    </row>
    <row r="2436">
      <c r="A2436" s="1">
        <f>HYPERLINK("https://eurofarma-latam-crm.veevavault.com/#object/account__v/V4TZ000019141FG", "Maria Mendes")</f>
        <v/>
      </c>
      <c r="B2436" s="1">
        <f>HYPERLINK("https://eurofarma-latam-crm.veevavault.com/#object/account__v/V4TZ000019141FG", "Maria Aparecida Ribeiro Praseres Mendes")</f>
        <v/>
      </c>
      <c r="C2436" t="inlineStr">
        <is>
          <t>RJ0298374</t>
        </is>
      </c>
      <c r="D2436" t="inlineStr">
        <is>
          <t>PED</t>
        </is>
      </c>
      <c r="E2436" t="inlineStr">
        <is>
          <t>Rua Cândido Lima, 783</t>
        </is>
      </c>
      <c r="F2436" t="inlineStr">
        <is>
          <t>Austin</t>
        </is>
      </c>
      <c r="G2436" t="inlineStr">
        <is>
          <t>Nova Iguaçu</t>
        </is>
      </c>
      <c r="H2436" t="inlineStr">
        <is>
          <t>RJ</t>
        </is>
      </c>
      <c r="I2436" t="n">
        <v>7748</v>
      </c>
      <c r="J2436" t="inlineStr">
        <is>
          <t>CAT 5</t>
        </is>
      </c>
      <c r="K2436" t="inlineStr">
        <is>
          <t>Sim</t>
        </is>
      </c>
    </row>
    <row r="2437">
      <c r="A2437" s="1">
        <f>HYPERLINK("https://eurofarma-latam-crm.veevavault.com/#object/account__v/V4TZ000018NXW06", "Maria Muniz")</f>
        <v/>
      </c>
      <c r="B2437" s="1">
        <f>HYPERLINK("https://eurofarma-latam-crm.veevavault.com/#object/account__v/V4TZ000018NXW06", "Maria Claudia Muniz")</f>
        <v/>
      </c>
      <c r="C2437" t="inlineStr">
        <is>
          <t>RJ0615513</t>
        </is>
      </c>
      <c r="D2437" t="inlineStr">
        <is>
          <t>PED</t>
        </is>
      </c>
      <c r="E2437" t="inlineStr">
        <is>
          <t>Rua República, S/N</t>
        </is>
      </c>
      <c r="F2437" t="inlineStr">
        <is>
          <t>Vila Ideal</t>
        </is>
      </c>
      <c r="G2437" t="inlineStr">
        <is>
          <t>Duque de Caxias</t>
        </is>
      </c>
      <c r="H2437" t="inlineStr">
        <is>
          <t>RJ</t>
        </is>
      </c>
      <c r="I2437" t="n">
        <v>7748</v>
      </c>
      <c r="J2437" t="inlineStr">
        <is>
          <t>CAT 5</t>
        </is>
      </c>
      <c r="K2437" t="inlineStr">
        <is>
          <t>Sim</t>
        </is>
      </c>
    </row>
    <row r="2438">
      <c r="A2438" s="1">
        <f>HYPERLINK("https://eurofarma-latam-crm.veevavault.com/#object/account__v/V4TZ025E8CPBY79", "Maria Porto")</f>
        <v/>
      </c>
      <c r="B2438" s="1">
        <f>HYPERLINK("https://eurofarma-latam-crm.veevavault.com/#object/account__v/V4TZ025E8CPBY79", "Maria Cristina Firmina Porto")</f>
        <v/>
      </c>
      <c r="C2438" t="inlineStr">
        <is>
          <t>RJ0623016</t>
        </is>
      </c>
      <c r="D2438" t="inlineStr">
        <is>
          <t>GAS</t>
        </is>
      </c>
      <c r="E2438" t="inlineStr">
        <is>
          <t>Rua Papa Pio XII, 90</t>
        </is>
      </c>
      <c r="F2438" t="inlineStr">
        <is>
          <t>Figueira</t>
        </is>
      </c>
      <c r="G2438" t="inlineStr">
        <is>
          <t>Magé</t>
        </is>
      </c>
      <c r="H2438" t="inlineStr">
        <is>
          <t>RJ</t>
        </is>
      </c>
      <c r="I2438" t="n">
        <v>7748</v>
      </c>
      <c r="J2438" t="inlineStr">
        <is>
          <t>CAT 4</t>
        </is>
      </c>
      <c r="K2438" t="inlineStr">
        <is>
          <t>Sim</t>
        </is>
      </c>
    </row>
    <row r="2439">
      <c r="A2439" s="1">
        <f>HYPERLINK("https://eurofarma-latam-crm.veevavault.com/#object/account__v/V4TZ000018NYW5J", "Maria Sonia de Carvalho")</f>
        <v/>
      </c>
      <c r="B2439" s="1">
        <f>HYPERLINK("https://eurofarma-latam-crm.veevavault.com/#object/account__v/V4TZ000018NYW5J", "Maria Sonia David de Carvalho")</f>
        <v/>
      </c>
      <c r="C2439" t="inlineStr">
        <is>
          <t>RJ0548587</t>
        </is>
      </c>
      <c r="D2439" t="inlineStr">
        <is>
          <t>CLG / END</t>
        </is>
      </c>
      <c r="E2439" t="inlineStr">
        <is>
          <t>Rua Barão de Itapagipe, 225</t>
        </is>
      </c>
      <c r="F2439" t="inlineStr">
        <is>
          <t>Rio Comprido</t>
        </is>
      </c>
      <c r="G2439" t="inlineStr">
        <is>
          <t>Rio de Janeiro</t>
        </is>
      </c>
      <c r="H2439" t="inlineStr">
        <is>
          <t>RJ</t>
        </is>
      </c>
      <c r="I2439" t="n">
        <v>7748</v>
      </c>
      <c r="J2439" t="inlineStr">
        <is>
          <t>CAT 5</t>
        </is>
      </c>
      <c r="K2439" t="inlineStr">
        <is>
          <t>Sim</t>
        </is>
      </c>
    </row>
    <row r="2440">
      <c r="A2440" s="1">
        <f>HYPERLINK("https://eurofarma-latam-crm.veevavault.com/#object/account__v/V4TZ04ASGLM48FU", "Maria Vale")</f>
        <v/>
      </c>
      <c r="B2440" s="1">
        <f>HYPERLINK("https://eurofarma-latam-crm.veevavault.com/#object/account__v/V4TZ04ASGLM48FU", "Maria Alice Silva Do Vale")</f>
        <v/>
      </c>
      <c r="C2440" t="inlineStr">
        <is>
          <t>RJ1386205</t>
        </is>
      </c>
      <c r="D2440" t="inlineStr">
        <is>
          <t>CLG / PA</t>
        </is>
      </c>
      <c r="E2440" t="inlineStr">
        <is>
          <t>Est Real De Maua, S/N</t>
        </is>
      </c>
      <c r="F2440" t="inlineStr">
        <is>
          <t>Jardim da Paz (Guia de Pacobaíba)</t>
        </is>
      </c>
      <c r="G2440" t="inlineStr">
        <is>
          <t>Magé</t>
        </is>
      </c>
      <c r="H2440" t="inlineStr">
        <is>
          <t>RJ</t>
        </is>
      </c>
      <c r="I2440" t="n">
        <v>7748</v>
      </c>
      <c r="J2440" t="inlineStr">
        <is>
          <t>CAT 5</t>
        </is>
      </c>
      <c r="K2440" t="inlineStr">
        <is>
          <t>N�o</t>
        </is>
      </c>
    </row>
    <row r="2441">
      <c r="A2441" s="1">
        <f>HYPERLINK("https://eurofarma-latam-crm.veevavault.com/#object/account__v/V4TZ025E89BFR1R", "Mariana Badaró")</f>
        <v/>
      </c>
      <c r="B2441" s="1">
        <f>HYPERLINK("https://eurofarma-latam-crm.veevavault.com/#object/account__v/V4TZ025E89BFR1R", "Mariana Teixeira Badaró")</f>
        <v/>
      </c>
      <c r="C2441" t="inlineStr">
        <is>
          <t>MG0108586,RJ1327941</t>
        </is>
      </c>
      <c r="D2441" t="inlineStr">
        <is>
          <t>CLG / PA</t>
        </is>
      </c>
      <c r="E2441" t="inlineStr">
        <is>
          <t>Rua Oswaldo Cruz, S/N</t>
        </is>
      </c>
      <c r="F2441" t="inlineStr">
        <is>
          <t>Bananal</t>
        </is>
      </c>
      <c r="G2441" t="inlineStr">
        <is>
          <t>Guapimirim</t>
        </is>
      </c>
      <c r="H2441" t="inlineStr">
        <is>
          <t>RJ</t>
        </is>
      </c>
      <c r="I2441" t="n">
        <v>7748</v>
      </c>
      <c r="J2441" t="inlineStr">
        <is>
          <t>CAT 5</t>
        </is>
      </c>
      <c r="K2441" t="inlineStr">
        <is>
          <t>Sim</t>
        </is>
      </c>
    </row>
    <row r="2442">
      <c r="A2442" s="1">
        <f>HYPERLINK("https://eurofarma-latam-crm.veevavault.com/#object/account__v/V4TZ000018NYGMO", "Marinete Pereira")</f>
        <v/>
      </c>
      <c r="B2442" s="1">
        <f>HYPERLINK("https://eurofarma-latam-crm.veevavault.com/#object/account__v/V4TZ000018NYGMO", "Marinete Miranda de Azevedo Pereira")</f>
        <v/>
      </c>
      <c r="C2442" t="inlineStr">
        <is>
          <t>RJ0990442</t>
        </is>
      </c>
      <c r="D2442" t="inlineStr">
        <is>
          <t>PED</t>
        </is>
      </c>
      <c r="E2442" t="inlineStr">
        <is>
          <t>Avenida Geremário Dantas, 101</t>
        </is>
      </c>
      <c r="F2442" t="inlineStr">
        <is>
          <t>Pechincha</t>
        </is>
      </c>
      <c r="G2442" t="inlineStr">
        <is>
          <t>Rio de Janeiro</t>
        </is>
      </c>
      <c r="H2442" t="inlineStr">
        <is>
          <t>RJ</t>
        </is>
      </c>
      <c r="I2442" t="n">
        <v>7748</v>
      </c>
      <c r="J2442" t="inlineStr">
        <is>
          <t>CAT 4</t>
        </is>
      </c>
      <c r="K2442" t="inlineStr">
        <is>
          <t>Sim</t>
        </is>
      </c>
    </row>
    <row r="2443">
      <c r="A2443" s="1">
        <f>HYPERLINK("https://eurofarma-latam-crm.veevavault.com/#object/account__v/V4TZ025E8B4D2C4", "Marlen Raquel Faustino")</f>
        <v/>
      </c>
      <c r="B2443" s="1">
        <f>HYPERLINK("https://eurofarma-latam-crm.veevavault.com/#object/account__v/V4TZ025E8B4D2C4", "Marlen Raquel Domiciano Faustino")</f>
        <v/>
      </c>
      <c r="C2443" t="inlineStr">
        <is>
          <t>RJ1352555</t>
        </is>
      </c>
      <c r="D2443" t="inlineStr">
        <is>
          <t>CLG / PA</t>
        </is>
      </c>
      <c r="E2443" t="inlineStr">
        <is>
          <t>Rodovia Washington Luiz, 3200</t>
        </is>
      </c>
      <c r="F2443" t="inlineStr">
        <is>
          <t>Vila São Luís</t>
        </is>
      </c>
      <c r="G2443" t="inlineStr">
        <is>
          <t>Duque de Caxias</t>
        </is>
      </c>
      <c r="H2443" t="inlineStr">
        <is>
          <t>RJ</t>
        </is>
      </c>
      <c r="I2443" t="n">
        <v>7748</v>
      </c>
      <c r="J2443" t="inlineStr"/>
      <c r="K2443" t="inlineStr"/>
    </row>
    <row r="2444">
      <c r="A2444" s="1">
        <f>HYPERLINK("https://eurofarma-latam-crm.veevavault.com/#object/account__v/V4TZ025E84EYQSH", "Mateus Silva")</f>
        <v/>
      </c>
      <c r="B2444" s="1">
        <f>HYPERLINK("https://eurofarma-latam-crm.veevavault.com/#object/account__v/V4TZ025E84EYQSH", "Mateus Delage Branco da Silva")</f>
        <v/>
      </c>
      <c r="C2444" t="inlineStr">
        <is>
          <t>RJ1285076,SP0284384</t>
        </is>
      </c>
      <c r="D2444" t="inlineStr">
        <is>
          <t>CLG / PA</t>
        </is>
      </c>
      <c r="E2444" t="inlineStr">
        <is>
          <t>Avenida Presidente Roosevelt, S/N</t>
        </is>
      </c>
      <c r="F2444" t="inlineStr">
        <is>
          <t>Jardim Rosário</t>
        </is>
      </c>
      <c r="G2444" t="inlineStr">
        <is>
          <t>Duque de Caxias</t>
        </is>
      </c>
      <c r="H2444" t="inlineStr">
        <is>
          <t>RJ</t>
        </is>
      </c>
      <c r="I2444" t="n">
        <v>7748</v>
      </c>
      <c r="J2444" t="inlineStr">
        <is>
          <t>CAT 5</t>
        </is>
      </c>
      <c r="K2444" t="inlineStr">
        <is>
          <t>Sim</t>
        </is>
      </c>
    </row>
    <row r="2445">
      <c r="A2445" s="1">
        <f>HYPERLINK("https://eurofarma-latam-crm.veevavault.com/#object/account__v/V4TZ025E82UZ4M1", "Matheus de Souza")</f>
        <v/>
      </c>
      <c r="B2445" s="1">
        <f>HYPERLINK("https://eurofarma-latam-crm.veevavault.com/#object/account__v/V4TZ025E82UZ4M1", "Matheus Fernandes de Souza")</f>
        <v/>
      </c>
      <c r="C2445" t="inlineStr">
        <is>
          <t>RJ1245376</t>
        </is>
      </c>
      <c r="D2445" t="inlineStr">
        <is>
          <t>CLG / PA</t>
        </is>
      </c>
      <c r="E2445" t="inlineStr">
        <is>
          <t>Rod Washington Luiz, S/N - Km 113 7</t>
        </is>
      </c>
      <c r="F2445" t="inlineStr">
        <is>
          <t>Vila Itamarati</t>
        </is>
      </c>
      <c r="G2445" t="inlineStr">
        <is>
          <t>Duque de Caxias</t>
        </is>
      </c>
      <c r="H2445" t="inlineStr">
        <is>
          <t>RJ</t>
        </is>
      </c>
      <c r="I2445" t="n">
        <v>7748</v>
      </c>
      <c r="J2445" t="inlineStr">
        <is>
          <t>CAT 5</t>
        </is>
      </c>
      <c r="K2445" t="inlineStr">
        <is>
          <t>Sim</t>
        </is>
      </c>
    </row>
    <row r="2446">
      <c r="A2446" s="1">
        <f>HYPERLINK("https://eurofarma-latam-crm.veevavault.com/#object/account__v/V4TZ00001915ZPT", "Matheus Resende")</f>
        <v/>
      </c>
      <c r="B2446" s="1">
        <f>HYPERLINK("https://eurofarma-latam-crm.veevavault.com/#object/account__v/V4TZ00001915ZPT", "Matheus Barbosa dos Santos Resende")</f>
        <v/>
      </c>
      <c r="C2446" t="inlineStr">
        <is>
          <t>RJ1276557</t>
        </is>
      </c>
      <c r="D2446" t="inlineStr">
        <is>
          <t>PED</t>
        </is>
      </c>
      <c r="E2446" t="inlineStr">
        <is>
          <t>Rua do Contorno, S/N - Lado Esquerdo</t>
        </is>
      </c>
      <c r="F2446" t="inlineStr">
        <is>
          <t>São Miguel</t>
        </is>
      </c>
      <c r="G2446" t="inlineStr">
        <is>
          <t>Seropédica</t>
        </is>
      </c>
      <c r="H2446" t="inlineStr">
        <is>
          <t>RJ</t>
        </is>
      </c>
      <c r="I2446" t="n">
        <v>7748</v>
      </c>
      <c r="J2446" t="inlineStr">
        <is>
          <t>CAT 4</t>
        </is>
      </c>
      <c r="K2446" t="inlineStr">
        <is>
          <t>Sim</t>
        </is>
      </c>
    </row>
    <row r="2447">
      <c r="A2447" s="1">
        <f>HYPERLINK("https://eurofarma-latam-crm.veevavault.com/#object/account__v/V4TZ025E83QT2XG", "Melina Ervilha")</f>
        <v/>
      </c>
      <c r="B2447" s="1">
        <f>HYPERLINK("https://eurofarma-latam-crm.veevavault.com/#object/account__v/V4TZ025E83QT2XG", "Melina Felix Ervilha")</f>
        <v/>
      </c>
      <c r="C2447" t="inlineStr">
        <is>
          <t>RJ1110250</t>
        </is>
      </c>
      <c r="D2447" t="inlineStr">
        <is>
          <t>CLG / PA</t>
        </is>
      </c>
      <c r="E2447" t="inlineStr">
        <is>
          <t>Avenida Automóvel Clube, S/N</t>
        </is>
      </c>
      <c r="F2447" t="inlineStr">
        <is>
          <t>Chácaras Arcampo</t>
        </is>
      </c>
      <c r="G2447" t="inlineStr">
        <is>
          <t>Duque de Caxias</t>
        </is>
      </c>
      <c r="H2447" t="inlineStr">
        <is>
          <t>RJ</t>
        </is>
      </c>
      <c r="I2447" t="n">
        <v>7748</v>
      </c>
      <c r="J2447" t="inlineStr">
        <is>
          <t>CAT 5</t>
        </is>
      </c>
      <c r="K2447" t="inlineStr">
        <is>
          <t>Sim</t>
        </is>
      </c>
    </row>
    <row r="2448">
      <c r="A2448" s="1">
        <f>HYPERLINK("https://eurofarma-latam-crm.veevavault.com/#object/account__v/V4TZ000019157YK", "Merisa Marinho")</f>
        <v/>
      </c>
      <c r="B2448" s="1">
        <f>HYPERLINK("https://eurofarma-latam-crm.veevavault.com/#object/account__v/V4TZ000019157YK", "Merisa Dias Marinho")</f>
        <v/>
      </c>
      <c r="C2448" t="inlineStr">
        <is>
          <t>RJ0553140</t>
        </is>
      </c>
      <c r="D2448" t="inlineStr">
        <is>
          <t>PED</t>
        </is>
      </c>
      <c r="E2448" t="inlineStr">
        <is>
          <t>Rua Cento e Dois, S/N</t>
        </is>
      </c>
      <c r="F2448" t="inlineStr">
        <is>
          <t>Vale das Pedrinhas</t>
        </is>
      </c>
      <c r="G2448" t="inlineStr">
        <is>
          <t>Guapimirim</t>
        </is>
      </c>
      <c r="H2448" t="inlineStr">
        <is>
          <t>RJ</t>
        </is>
      </c>
      <c r="I2448" t="n">
        <v>7748</v>
      </c>
      <c r="J2448" t="inlineStr">
        <is>
          <t>CAT 5</t>
        </is>
      </c>
      <c r="K2448" t="inlineStr">
        <is>
          <t>Sim</t>
        </is>
      </c>
    </row>
    <row r="2449">
      <c r="A2449" s="1">
        <f>HYPERLINK("https://eurofarma-latam-crm.veevavault.com/#object/account__v/V4TZ000018NXOLW", "Miguel Kamhaji")</f>
        <v/>
      </c>
      <c r="B2449" s="1">
        <f>HYPERLINK("https://eurofarma-latam-crm.veevavault.com/#object/account__v/V4TZ000018NXOLW", "Miguel Henrique Kamhaji")</f>
        <v/>
      </c>
      <c r="C2449" t="inlineStr">
        <is>
          <t>RJ0611751</t>
        </is>
      </c>
      <c r="D2449" t="inlineStr">
        <is>
          <t>CLG / END</t>
        </is>
      </c>
      <c r="E2449" t="inlineStr">
        <is>
          <t>Rua Lázaro Cádenas, 3</t>
        </is>
      </c>
      <c r="F2449" t="inlineStr">
        <is>
          <t>Santa Cruz da Serra</t>
        </is>
      </c>
      <c r="G2449" t="inlineStr">
        <is>
          <t>Duque de Caxias</t>
        </is>
      </c>
      <c r="H2449" t="inlineStr">
        <is>
          <t>RJ</t>
        </is>
      </c>
      <c r="I2449" t="n">
        <v>7748</v>
      </c>
      <c r="J2449" t="inlineStr"/>
      <c r="K2449" t="inlineStr"/>
    </row>
    <row r="2450">
      <c r="A2450" s="1">
        <f>HYPERLINK("https://eurofarma-latam-crm.veevavault.com/#object/account__v/V4TZ025E8CBHWQ6", "Milena Salvador")</f>
        <v/>
      </c>
      <c r="B2450" s="1">
        <f>HYPERLINK("https://eurofarma-latam-crm.veevavault.com/#object/account__v/V4TZ025E8CBHWQ6", "Milena Pereira Salvador")</f>
        <v/>
      </c>
      <c r="C2450" t="inlineStr">
        <is>
          <t>RJ1365391</t>
        </is>
      </c>
      <c r="D2450" t="inlineStr">
        <is>
          <t>CLG / PA</t>
        </is>
      </c>
      <c r="E2450" t="inlineStr">
        <is>
          <t>Avenida Mauá, S/N</t>
        </is>
      </c>
      <c r="F2450" t="inlineStr">
        <is>
          <t>Vila Piabetá (Vila Inhomirim)</t>
        </is>
      </c>
      <c r="G2450" t="inlineStr">
        <is>
          <t>Magé</t>
        </is>
      </c>
      <c r="H2450" t="inlineStr">
        <is>
          <t>RJ</t>
        </is>
      </c>
      <c r="I2450" t="n">
        <v>7748</v>
      </c>
      <c r="J2450" t="inlineStr">
        <is>
          <t>CAT 5</t>
        </is>
      </c>
      <c r="K2450" t="inlineStr">
        <is>
          <t>N�o</t>
        </is>
      </c>
    </row>
    <row r="2451">
      <c r="A2451" s="1">
        <f>HYPERLINK("https://eurofarma-latam-crm.veevavault.com/#object/account__v/V4TZ00001914Z78", "Mirian Catherine Benicio")</f>
        <v/>
      </c>
      <c r="B2451" s="1">
        <f>HYPERLINK("https://eurofarma-latam-crm.veevavault.com/#object/account__v/V4TZ00001914Z78", "Mirian Catherine Vargas Melgares Benicio")</f>
        <v/>
      </c>
      <c r="C2451" t="inlineStr">
        <is>
          <t>RJ1044370</t>
        </is>
      </c>
      <c r="D2451" t="inlineStr">
        <is>
          <t>ORL</t>
        </is>
      </c>
      <c r="E2451" t="inlineStr">
        <is>
          <t>Rua Lázaro Cádenas, 13</t>
        </is>
      </c>
      <c r="F2451" t="inlineStr">
        <is>
          <t>Santa Cruz da Serra</t>
        </is>
      </c>
      <c r="G2451" t="inlineStr">
        <is>
          <t>Duque de Caxias</t>
        </is>
      </c>
      <c r="H2451" t="inlineStr">
        <is>
          <t>RJ</t>
        </is>
      </c>
      <c r="I2451" t="n">
        <v>7748</v>
      </c>
      <c r="J2451" t="inlineStr">
        <is>
          <t>CAT 3</t>
        </is>
      </c>
      <c r="K2451" t="inlineStr">
        <is>
          <t>Sim</t>
        </is>
      </c>
    </row>
    <row r="2452">
      <c r="A2452" s="1">
        <f>HYPERLINK("https://eurofarma-latam-crm.veevavault.com/#object/account__v/V4TZ00001916F9N", "Monique dos Santos")</f>
        <v/>
      </c>
      <c r="B2452" s="1">
        <f>HYPERLINK("https://eurofarma-latam-crm.veevavault.com/#object/account__v/V4TZ00001916F9N", "Monique Pinheiro dos Santos")</f>
        <v/>
      </c>
      <c r="C2452" t="inlineStr">
        <is>
          <t>RJ1101277</t>
        </is>
      </c>
      <c r="D2452" t="inlineStr">
        <is>
          <t>CLG / PA</t>
        </is>
      </c>
      <c r="E2452" t="inlineStr">
        <is>
          <t>Rua Pinheiro Machado, 151</t>
        </is>
      </c>
      <c r="F2452" t="inlineStr">
        <is>
          <t>Laranjeiras</t>
        </is>
      </c>
      <c r="G2452" t="inlineStr">
        <is>
          <t>Rio de Janeiro</t>
        </is>
      </c>
      <c r="H2452" t="inlineStr">
        <is>
          <t>RJ</t>
        </is>
      </c>
      <c r="I2452" t="n">
        <v>7748</v>
      </c>
      <c r="J2452" t="inlineStr">
        <is>
          <t>CAT 5</t>
        </is>
      </c>
      <c r="K2452" t="inlineStr">
        <is>
          <t>N�o</t>
        </is>
      </c>
    </row>
    <row r="2453">
      <c r="A2453" s="1">
        <f>HYPERLINK("https://eurofarma-latam-crm.veevavault.com/#object/account__v/V4TZ00001914WUS", "Myrna Felix")</f>
        <v/>
      </c>
      <c r="B2453" s="1">
        <f>HYPERLINK("https://eurofarma-latam-crm.veevavault.com/#object/account__v/V4TZ00001914WUS", "Myrna Alves Felix")</f>
        <v/>
      </c>
      <c r="C2453" t="inlineStr">
        <is>
          <t>RJ0959804</t>
        </is>
      </c>
      <c r="D2453" t="inlineStr">
        <is>
          <t>ORL</t>
        </is>
      </c>
      <c r="E2453" t="inlineStr">
        <is>
          <t>Avenida Perimetral República do Paraguai, S/N</t>
        </is>
      </c>
      <c r="F2453" t="inlineStr">
        <is>
          <t>Vila Sarapuí</t>
        </is>
      </c>
      <c r="G2453" t="inlineStr">
        <is>
          <t>Duque de Caxias</t>
        </is>
      </c>
      <c r="H2453" t="inlineStr">
        <is>
          <t>RJ</t>
        </is>
      </c>
      <c r="I2453" t="n">
        <v>7748</v>
      </c>
      <c r="J2453" t="inlineStr">
        <is>
          <t>CAT 5</t>
        </is>
      </c>
      <c r="K2453" t="inlineStr">
        <is>
          <t>Sim</t>
        </is>
      </c>
    </row>
    <row r="2454">
      <c r="A2454" s="1">
        <f>HYPERLINK("https://eurofarma-latam-crm.veevavault.com/#object/account__v/V4TZ00001915Y29", "Nadia Hitti")</f>
        <v/>
      </c>
      <c r="B2454" s="1">
        <f>HYPERLINK("https://eurofarma-latam-crm.veevavault.com/#object/account__v/V4TZ00001915Y29", "Nadia Najjar Chalita Hitti")</f>
        <v/>
      </c>
      <c r="C2454" t="inlineStr">
        <is>
          <t>RJ0578571</t>
        </is>
      </c>
      <c r="D2454" t="inlineStr">
        <is>
          <t>PSQ</t>
        </is>
      </c>
      <c r="E2454" t="inlineStr">
        <is>
          <t>Rua Pedro Álvares Cabral, 256 - Sala 211 Quadra00 Lote 253</t>
        </is>
      </c>
      <c r="F2454" t="inlineStr">
        <is>
          <t>Centro</t>
        </is>
      </c>
      <c r="G2454" t="inlineStr">
        <is>
          <t>Nilópolis</t>
        </is>
      </c>
      <c r="H2454" t="inlineStr">
        <is>
          <t>RJ</t>
        </is>
      </c>
      <c r="I2454" t="n">
        <v>7748</v>
      </c>
      <c r="J2454" t="inlineStr">
        <is>
          <t>CAT 2</t>
        </is>
      </c>
      <c r="K2454" t="inlineStr">
        <is>
          <t>Sim</t>
        </is>
      </c>
    </row>
    <row r="2455">
      <c r="A2455" s="1">
        <f>HYPERLINK("https://eurofarma-latam-crm.veevavault.com/#object/account__v/V4TZ000018NY77M", "Nayara Martins")</f>
        <v/>
      </c>
      <c r="B2455" s="1">
        <f>HYPERLINK("https://eurofarma-latam-crm.veevavault.com/#object/account__v/V4TZ000018NY77M", "Nayara Gomes Martins")</f>
        <v/>
      </c>
      <c r="C2455" t="inlineStr">
        <is>
          <t>RJ1199048</t>
        </is>
      </c>
      <c r="D2455" t="inlineStr">
        <is>
          <t>CLG / PA</t>
        </is>
      </c>
      <c r="E2455" t="inlineStr">
        <is>
          <t>Avenida Othon Linch Bezerra de Mello, 329 - Ant Pred Centro Adm</t>
        </is>
      </c>
      <c r="F2455" t="inlineStr">
        <is>
          <t>Vila Velha (Santo Aleixo)</t>
        </is>
      </c>
      <c r="G2455" t="inlineStr">
        <is>
          <t>Magé</t>
        </is>
      </c>
      <c r="H2455" t="inlineStr">
        <is>
          <t>RJ</t>
        </is>
      </c>
      <c r="I2455" t="n">
        <v>7748</v>
      </c>
      <c r="J2455" t="inlineStr">
        <is>
          <t>CAT 5</t>
        </is>
      </c>
      <c r="K2455" t="inlineStr">
        <is>
          <t>Sim</t>
        </is>
      </c>
    </row>
    <row r="2456">
      <c r="A2456" s="1">
        <f>HYPERLINK("https://eurofarma-latam-crm.veevavault.com/#object/account__v/V4TZ000018NXZVQ", "Nelio Moraes")</f>
        <v/>
      </c>
      <c r="B2456" s="1">
        <f>HYPERLINK("https://eurofarma-latam-crm.veevavault.com/#object/account__v/V4TZ000018NXZVQ", "Nelio Guimaraes Moraes")</f>
        <v/>
      </c>
      <c r="C2456" t="inlineStr">
        <is>
          <t>RJ0387304</t>
        </is>
      </c>
      <c r="D2456" t="inlineStr">
        <is>
          <t>PED</t>
        </is>
      </c>
      <c r="E2456" t="inlineStr">
        <is>
          <t>Avenida Nóbrega Ribeiro, S/N</t>
        </is>
      </c>
      <c r="F2456" t="inlineStr">
        <is>
          <t>Vila Operária</t>
        </is>
      </c>
      <c r="G2456" t="inlineStr">
        <is>
          <t>Duque de Caxias</t>
        </is>
      </c>
      <c r="H2456" t="inlineStr">
        <is>
          <t>RJ</t>
        </is>
      </c>
      <c r="I2456" t="n">
        <v>7748</v>
      </c>
      <c r="J2456" t="inlineStr">
        <is>
          <t>CAT 5</t>
        </is>
      </c>
      <c r="K2456" t="inlineStr">
        <is>
          <t>N�o</t>
        </is>
      </c>
    </row>
    <row r="2457">
      <c r="A2457" s="1">
        <f>HYPERLINK("https://eurofarma-latam-crm.veevavault.com/#object/account__v/V4TZ000018NYYS8", "Nelson Borges")</f>
        <v/>
      </c>
      <c r="B2457" s="1">
        <f>HYPERLINK("https://eurofarma-latam-crm.veevavault.com/#object/account__v/V4TZ000018NYYS8", "Nelson Benevente Borges")</f>
        <v/>
      </c>
      <c r="C2457" t="inlineStr">
        <is>
          <t>RJ0242646</t>
        </is>
      </c>
      <c r="D2457" t="inlineStr">
        <is>
          <t>NEU</t>
        </is>
      </c>
      <c r="E2457" t="inlineStr">
        <is>
          <t>Praça Nazareno, 10 - Quadraf</t>
        </is>
      </c>
      <c r="F2457" t="inlineStr">
        <is>
          <t>Jardim Nazareno (Vila Inhomirim)</t>
        </is>
      </c>
      <c r="G2457" t="inlineStr">
        <is>
          <t>Magé</t>
        </is>
      </c>
      <c r="H2457" t="inlineStr">
        <is>
          <t>RJ</t>
        </is>
      </c>
      <c r="I2457" t="n">
        <v>7748</v>
      </c>
      <c r="J2457" t="inlineStr">
        <is>
          <t>CAT 5</t>
        </is>
      </c>
      <c r="K2457" t="inlineStr">
        <is>
          <t>Sim</t>
        </is>
      </c>
    </row>
    <row r="2458">
      <c r="A2458" s="1">
        <f>HYPERLINK("https://eurofarma-latam-crm.veevavault.com/#object/account__v/V4TZ025E85F7NKG", "Nicolas Barreto")</f>
        <v/>
      </c>
      <c r="B2458" s="1">
        <f>HYPERLINK("https://eurofarma-latam-crm.veevavault.com/#object/account__v/V4TZ025E85F7NKG", "Nicolas Guilherme de Sá Abitan Barreto")</f>
        <v/>
      </c>
      <c r="C2458" t="inlineStr">
        <is>
          <t>RJ1310780</t>
        </is>
      </c>
      <c r="D2458" t="inlineStr">
        <is>
          <t>CLG / PA</t>
        </is>
      </c>
      <c r="E2458" t="inlineStr">
        <is>
          <t>Rodovia Washington Luiz, S/N - BR 040 Km 109</t>
        </is>
      </c>
      <c r="F2458" t="inlineStr">
        <is>
          <t>Vila Actura</t>
        </is>
      </c>
      <c r="G2458" t="inlineStr">
        <is>
          <t>Duque de Caxias</t>
        </is>
      </c>
      <c r="H2458" t="inlineStr">
        <is>
          <t>RJ</t>
        </is>
      </c>
      <c r="I2458" t="n">
        <v>7748</v>
      </c>
      <c r="J2458" t="inlineStr">
        <is>
          <t>CAT 5</t>
        </is>
      </c>
      <c r="K2458" t="inlineStr">
        <is>
          <t>Sim</t>
        </is>
      </c>
    </row>
    <row r="2459">
      <c r="A2459" s="1">
        <f>HYPERLINK("https://eurofarma-latam-crm.veevavault.com/#object/account__v/V4TZ00001915AAN", "Oscar Rodolfo Tejerina")</f>
        <v/>
      </c>
      <c r="B2459" s="1">
        <f>HYPERLINK("https://eurofarma-latam-crm.veevavault.com/#object/account__v/V4TZ00001915AAN", "Oscar Rodolfo Herbas Tejerina")</f>
        <v/>
      </c>
      <c r="C2459" t="inlineStr">
        <is>
          <t>RJ0637602</t>
        </is>
      </c>
      <c r="D2459" t="inlineStr">
        <is>
          <t>CLG / SNC</t>
        </is>
      </c>
      <c r="E2459" t="inlineStr">
        <is>
          <t>Alameda Santa Alice 132</t>
        </is>
      </c>
      <c r="F2459" t="inlineStr">
        <is>
          <t>Vila Santa Alice</t>
        </is>
      </c>
      <c r="G2459" t="inlineStr">
        <is>
          <t>Duque de Caxias</t>
        </is>
      </c>
      <c r="H2459" t="inlineStr">
        <is>
          <t>RJ</t>
        </is>
      </c>
      <c r="I2459" t="n">
        <v>7748</v>
      </c>
      <c r="J2459" t="inlineStr">
        <is>
          <t>CAT 5</t>
        </is>
      </c>
      <c r="K2459" t="inlineStr">
        <is>
          <t>Sim</t>
        </is>
      </c>
    </row>
    <row r="2460">
      <c r="A2460" s="1">
        <f>HYPERLINK("https://eurofarma-latam-crm.veevavault.com/#object/account__v/V4TZ000019137OK", "Pablo Lopes")</f>
        <v/>
      </c>
      <c r="B2460" s="1">
        <f>HYPERLINK("https://eurofarma-latam-crm.veevavault.com/#object/account__v/V4TZ000019137OK", "Pablo Moura Lopes")</f>
        <v/>
      </c>
      <c r="C2460" t="inlineStr">
        <is>
          <t>RJ0642436</t>
        </is>
      </c>
      <c r="D2460" t="inlineStr">
        <is>
          <t>CLG / SNC</t>
        </is>
      </c>
      <c r="E2460" t="inlineStr">
        <is>
          <t>Praça Doutor Nilo Peçanha, 45</t>
        </is>
      </c>
      <c r="F2460" t="inlineStr">
        <is>
          <t>Centro</t>
        </is>
      </c>
      <c r="G2460" t="inlineStr">
        <is>
          <t>Magé</t>
        </is>
      </c>
      <c r="H2460" t="inlineStr">
        <is>
          <t>RJ</t>
        </is>
      </c>
      <c r="I2460" t="n">
        <v>7748</v>
      </c>
      <c r="J2460" t="inlineStr"/>
      <c r="K2460" t="inlineStr"/>
    </row>
    <row r="2461">
      <c r="A2461" s="1">
        <f>HYPERLINK("https://eurofarma-latam-crm.veevavault.com/#object/account__v/V4TZ025E89LDR91", "Pablo Silva")</f>
        <v/>
      </c>
      <c r="B2461" s="1">
        <f>HYPERLINK("https://eurofarma-latam-crm.veevavault.com/#object/account__v/V4TZ025E89LDR91", "Pablo Encinas Beramendi Silva")</f>
        <v/>
      </c>
      <c r="C2461" t="inlineStr">
        <is>
          <t>RJ1326872</t>
        </is>
      </c>
      <c r="D2461" t="inlineStr">
        <is>
          <t>CLG / PA</t>
        </is>
      </c>
      <c r="E2461" t="inlineStr">
        <is>
          <t>Rua Carlos Alvear, S/N</t>
        </is>
      </c>
      <c r="F2461" t="inlineStr">
        <is>
          <t>Santo Antônio</t>
        </is>
      </c>
      <c r="G2461" t="inlineStr">
        <is>
          <t>Duque de Caxias</t>
        </is>
      </c>
      <c r="H2461" t="inlineStr">
        <is>
          <t>RJ</t>
        </is>
      </c>
      <c r="I2461" t="n">
        <v>7748</v>
      </c>
      <c r="J2461" t="inlineStr">
        <is>
          <t>CAT 5</t>
        </is>
      </c>
      <c r="K2461" t="inlineStr">
        <is>
          <t>Sim</t>
        </is>
      </c>
    </row>
    <row r="2462">
      <c r="A2462" s="1">
        <f>HYPERLINK("https://eurofarma-latam-crm.veevavault.com/#object/account__v/V4TZ025E8EVB8H2", "Paloma Antunes")</f>
        <v/>
      </c>
      <c r="B2462" s="1">
        <f>HYPERLINK("https://eurofarma-latam-crm.veevavault.com/#object/account__v/V4TZ025E8EVB8H2", "Paloma Freire Antunes")</f>
        <v/>
      </c>
      <c r="C2462" t="inlineStr">
        <is>
          <t>PR0064765,RJ1288288</t>
        </is>
      </c>
      <c r="D2462" t="inlineStr">
        <is>
          <t>PED</t>
        </is>
      </c>
      <c r="E2462" t="inlineStr">
        <is>
          <t>Rua Edgard Werneck, S/N</t>
        </is>
      </c>
      <c r="F2462" t="inlineStr">
        <is>
          <t>Pechincha</t>
        </is>
      </c>
      <c r="G2462" t="inlineStr">
        <is>
          <t>Rio de Janeiro</t>
        </is>
      </c>
      <c r="H2462" t="inlineStr">
        <is>
          <t>RJ</t>
        </is>
      </c>
      <c r="I2462" t="n">
        <v>7748</v>
      </c>
      <c r="J2462" t="inlineStr">
        <is>
          <t>CAT 5</t>
        </is>
      </c>
      <c r="K2462" t="inlineStr">
        <is>
          <t>N�o</t>
        </is>
      </c>
    </row>
    <row r="2463">
      <c r="A2463" s="1">
        <f>HYPERLINK("https://eurofarma-latam-crm.veevavault.com/#object/account__v/V4TZ00001914UIY", "Paloma Silva")</f>
        <v/>
      </c>
      <c r="B2463" s="1">
        <f>HYPERLINK("https://eurofarma-latam-crm.veevavault.com/#object/account__v/V4TZ00001914UIY", "Paloma Amorim da Silva")</f>
        <v/>
      </c>
      <c r="C2463" t="inlineStr">
        <is>
          <t>RJ1253140</t>
        </is>
      </c>
      <c r="D2463" t="inlineStr">
        <is>
          <t>CLG / PA</t>
        </is>
      </c>
      <c r="E2463" t="inlineStr">
        <is>
          <t>Rua Paulino Afonso, 455</t>
        </is>
      </c>
      <c r="F2463" t="inlineStr">
        <is>
          <t>Centro</t>
        </is>
      </c>
      <c r="G2463" t="inlineStr">
        <is>
          <t>Petrópolis</t>
        </is>
      </c>
      <c r="H2463" t="inlineStr">
        <is>
          <t>RJ</t>
        </is>
      </c>
      <c r="I2463" t="n">
        <v>7748</v>
      </c>
      <c r="J2463" t="inlineStr">
        <is>
          <t>CAT 5</t>
        </is>
      </c>
      <c r="K2463" t="inlineStr">
        <is>
          <t>N�o</t>
        </is>
      </c>
    </row>
    <row r="2464">
      <c r="A2464" s="1">
        <f>HYPERLINK("https://eurofarma-latam-crm.veevavault.com/#object/account__v/V4T00000000T169", "Pâmella Gabriele da Silva")</f>
        <v/>
      </c>
      <c r="B2464" s="1">
        <f>HYPERLINK("https://eurofarma-latam-crm.veevavault.com/#object/account__v/V4T00000000T169", "Pâmella Gabriele Freitas da Silva")</f>
        <v/>
      </c>
      <c r="C2464" t="inlineStr">
        <is>
          <t>RJ1148648</t>
        </is>
      </c>
      <c r="D2464" t="inlineStr">
        <is>
          <t>PSQ</t>
        </is>
      </c>
      <c r="E2464" t="inlineStr">
        <is>
          <t>Avenida Presidente Lincoln, S/N</t>
        </is>
      </c>
      <c r="F2464" t="inlineStr">
        <is>
          <t>Jardim Meriti</t>
        </is>
      </c>
      <c r="G2464" t="inlineStr">
        <is>
          <t>São João de Meriti</t>
        </is>
      </c>
      <c r="H2464" t="inlineStr">
        <is>
          <t>RJ</t>
        </is>
      </c>
      <c r="I2464" t="n">
        <v>7748</v>
      </c>
      <c r="J2464" t="inlineStr"/>
      <c r="K2464" t="inlineStr"/>
    </row>
    <row r="2465">
      <c r="A2465" s="1">
        <f>HYPERLINK("https://eurofarma-latam-crm.veevavault.com/#object/account__v/V4TZ000018NYIPJ", "Patricia Cardoso")</f>
        <v/>
      </c>
      <c r="B2465" s="1">
        <f>HYPERLINK("https://eurofarma-latam-crm.veevavault.com/#object/account__v/V4TZ000018NYIPJ", "Patricia de Souza Cardoso")</f>
        <v/>
      </c>
      <c r="C2465" t="inlineStr">
        <is>
          <t>RJ0610467</t>
        </is>
      </c>
      <c r="D2465" t="inlineStr">
        <is>
          <t>PED</t>
        </is>
      </c>
      <c r="E2465" t="inlineStr">
        <is>
          <t>Rua República, S/N</t>
        </is>
      </c>
      <c r="F2465" t="inlineStr">
        <is>
          <t>Vila Ideal</t>
        </is>
      </c>
      <c r="G2465" t="inlineStr">
        <is>
          <t>Duque de Caxias</t>
        </is>
      </c>
      <c r="H2465" t="inlineStr">
        <is>
          <t>RJ</t>
        </is>
      </c>
      <c r="I2465" t="n">
        <v>7748</v>
      </c>
      <c r="J2465" t="inlineStr">
        <is>
          <t>CAT 5</t>
        </is>
      </c>
      <c r="K2465" t="inlineStr">
        <is>
          <t>Sim</t>
        </is>
      </c>
    </row>
    <row r="2466">
      <c r="A2466" s="1">
        <f>HYPERLINK("https://eurofarma-latam-crm.veevavault.com/#object/account__v/V4TZ000018NXINQ", "Patricia Dantas")</f>
        <v/>
      </c>
      <c r="B2466" s="1">
        <f>HYPERLINK("https://eurofarma-latam-crm.veevavault.com/#object/account__v/V4TZ000018NXINQ", "Patricia Rangel Sobral Dantas")</f>
        <v/>
      </c>
      <c r="C2466" t="inlineStr">
        <is>
          <t>RJ0731463</t>
        </is>
      </c>
      <c r="D2466" t="inlineStr">
        <is>
          <t>CLG / END</t>
        </is>
      </c>
      <c r="E2466" t="inlineStr">
        <is>
          <t>Avenida Paranapuam, 570 - Apt 208</t>
        </is>
      </c>
      <c r="F2466" t="inlineStr">
        <is>
          <t>Freguesia (Ilha do Governador)</t>
        </is>
      </c>
      <c r="G2466" t="inlineStr">
        <is>
          <t>Rio de Janeiro</t>
        </is>
      </c>
      <c r="H2466" t="inlineStr">
        <is>
          <t>RJ</t>
        </is>
      </c>
      <c r="I2466" t="n">
        <v>7748</v>
      </c>
      <c r="J2466" t="inlineStr">
        <is>
          <t>CAT 5</t>
        </is>
      </c>
      <c r="K2466" t="inlineStr">
        <is>
          <t>Sim</t>
        </is>
      </c>
    </row>
    <row r="2467">
      <c r="A2467" s="1">
        <f>HYPERLINK("https://eurofarma-latam-crm.veevavault.com/#object/account__v/V4TZ00001913TWS", "Paula Moreira")</f>
        <v/>
      </c>
      <c r="B2467" s="1">
        <f>HYPERLINK("https://eurofarma-latam-crm.veevavault.com/#object/account__v/V4TZ00001913TWS", "Paula Vieira Rodrigues Moreira")</f>
        <v/>
      </c>
      <c r="C2467" t="inlineStr">
        <is>
          <t>RJ0848565</t>
        </is>
      </c>
      <c r="D2467" t="inlineStr">
        <is>
          <t>PED</t>
        </is>
      </c>
      <c r="E2467" t="inlineStr">
        <is>
          <t>Rua da Matriz,03</t>
        </is>
      </c>
      <c r="F2467" t="inlineStr">
        <is>
          <t>Santa Cruz da Serra</t>
        </is>
      </c>
      <c r="G2467" t="inlineStr">
        <is>
          <t>Duque de Caxias</t>
        </is>
      </c>
      <c r="H2467" t="inlineStr">
        <is>
          <t>RJ</t>
        </is>
      </c>
      <c r="I2467" t="n">
        <v>7748</v>
      </c>
      <c r="J2467" t="inlineStr">
        <is>
          <t>CAT 4</t>
        </is>
      </c>
      <c r="K2467" t="inlineStr">
        <is>
          <t>Sim</t>
        </is>
      </c>
    </row>
    <row r="2468">
      <c r="A2468" s="1">
        <f>HYPERLINK("https://eurofarma-latam-crm.veevavault.com/#object/account__v/V4TZ00001913VOX", "Paula Pimentel")</f>
        <v/>
      </c>
      <c r="B2468" s="1">
        <f>HYPERLINK("https://eurofarma-latam-crm.veevavault.com/#object/account__v/V4TZ00001913VOX", "Paula Guimarães Pimentel")</f>
        <v/>
      </c>
      <c r="C2468" t="inlineStr">
        <is>
          <t>RJ0433527</t>
        </is>
      </c>
      <c r="D2468" t="inlineStr">
        <is>
          <t>GER</t>
        </is>
      </c>
      <c r="E2468" t="inlineStr">
        <is>
          <t>Avenida Roberto Silveira, S/N</t>
        </is>
      </c>
      <c r="F2468" t="inlineStr">
        <is>
          <t>Praia de Olaria (Guia de Pacobaíba)</t>
        </is>
      </c>
      <c r="G2468" t="inlineStr">
        <is>
          <t>Magé</t>
        </is>
      </c>
      <c r="H2468" t="inlineStr">
        <is>
          <t>RJ</t>
        </is>
      </c>
      <c r="I2468" t="n">
        <v>7748</v>
      </c>
      <c r="J2468" t="inlineStr">
        <is>
          <t>CAT 4</t>
        </is>
      </c>
      <c r="K2468" t="inlineStr">
        <is>
          <t>Sim</t>
        </is>
      </c>
    </row>
    <row r="2469">
      <c r="A2469" s="1">
        <f>HYPERLINK("https://eurofarma-latam-crm.veevavault.com/#object/account__v/V4TZ00001913GPH", "Paulo Afonso de Souza")</f>
        <v/>
      </c>
      <c r="B2469" s="1">
        <f>HYPERLINK("https://eurofarma-latam-crm.veevavault.com/#object/account__v/V4TZ00001913GPH", "Paulo Afonso Alves de Souza")</f>
        <v/>
      </c>
      <c r="C2469" t="inlineStr">
        <is>
          <t>RJ1204920</t>
        </is>
      </c>
      <c r="D2469" t="inlineStr">
        <is>
          <t>NEU</t>
        </is>
      </c>
      <c r="E2469" t="inlineStr">
        <is>
          <t>Praça Morais e Silva, S/N</t>
        </is>
      </c>
      <c r="F2469" t="inlineStr">
        <is>
          <t>Parque Beira Mar</t>
        </is>
      </c>
      <c r="G2469" t="inlineStr">
        <is>
          <t>Duque de Caxias</t>
        </is>
      </c>
      <c r="H2469" t="inlineStr">
        <is>
          <t>RJ</t>
        </is>
      </c>
      <c r="I2469" t="n">
        <v>7748</v>
      </c>
      <c r="J2469" t="inlineStr">
        <is>
          <t>CAT 2</t>
        </is>
      </c>
      <c r="K2469" t="inlineStr">
        <is>
          <t>Sim</t>
        </is>
      </c>
    </row>
    <row r="2470">
      <c r="A2470" s="1">
        <f>HYPERLINK("https://eurofarma-latam-crm.veevavault.com/#object/account__v/V4TZ025E85ZSMSV", "Paulo Alves")</f>
        <v/>
      </c>
      <c r="B2470" s="1">
        <f>HYPERLINK("https://eurofarma-latam-crm.veevavault.com/#object/account__v/V4TZ025E85ZSMSV", "Paulo Roberto Alves")</f>
        <v/>
      </c>
      <c r="C2470" t="inlineStr">
        <is>
          <t>RJ0464203</t>
        </is>
      </c>
      <c r="D2470" t="inlineStr">
        <is>
          <t>CLG</t>
        </is>
      </c>
      <c r="E2470" t="inlineStr">
        <is>
          <t>Rua Beira Rio, 50</t>
        </is>
      </c>
      <c r="F2470" t="inlineStr">
        <is>
          <t>Frade (Cunhambebe)</t>
        </is>
      </c>
      <c r="G2470" t="inlineStr">
        <is>
          <t>Angra dos Reis</t>
        </is>
      </c>
      <c r="H2470" t="inlineStr">
        <is>
          <t>RJ</t>
        </is>
      </c>
      <c r="I2470" t="n">
        <v>7748</v>
      </c>
      <c r="J2470" t="inlineStr">
        <is>
          <t>CAT 4</t>
        </is>
      </c>
      <c r="K2470" t="inlineStr">
        <is>
          <t>Sim</t>
        </is>
      </c>
    </row>
    <row r="2471">
      <c r="A2471" s="1">
        <f>HYPERLINK("https://eurofarma-latam-crm.veevavault.com/#object/account__v/V4TZ000018NYF7O", "Paulo Campos")</f>
        <v/>
      </c>
      <c r="B2471" s="1">
        <f>HYPERLINK("https://eurofarma-latam-crm.veevavault.com/#object/account__v/V4TZ000018NYF7O", "Paulo Cesar Weiss Campos")</f>
        <v/>
      </c>
      <c r="C2471" t="inlineStr">
        <is>
          <t>RJ0715298</t>
        </is>
      </c>
      <c r="D2471" t="inlineStr">
        <is>
          <t>ORT</t>
        </is>
      </c>
      <c r="E2471" t="inlineStr">
        <is>
          <t>Alameda Pio XII, S/N</t>
        </is>
      </c>
      <c r="F2471" t="inlineStr">
        <is>
          <t>Centro</t>
        </is>
      </c>
      <c r="G2471" t="inlineStr">
        <is>
          <t>São Gonçalo</t>
        </is>
      </c>
      <c r="H2471" t="inlineStr">
        <is>
          <t>RJ</t>
        </is>
      </c>
      <c r="I2471" t="n">
        <v>7748</v>
      </c>
      <c r="J2471" t="inlineStr">
        <is>
          <t>CAT 4</t>
        </is>
      </c>
      <c r="K2471" t="inlineStr">
        <is>
          <t>Sim</t>
        </is>
      </c>
    </row>
    <row r="2472">
      <c r="A2472" s="1">
        <f>HYPERLINK("https://eurofarma-latam-crm.veevavault.com/#object/account__v/V4TZ00001913VSX", "Paulo Cesar Gama Filho")</f>
        <v/>
      </c>
      <c r="B2472" s="1">
        <f>HYPERLINK("https://eurofarma-latam-crm.veevavault.com/#object/account__v/V4TZ00001913VSX", "Paulo Cesar Passos Ferreira Gama Filho")</f>
        <v/>
      </c>
      <c r="C2472" t="inlineStr">
        <is>
          <t>RJ0369565</t>
        </is>
      </c>
      <c r="D2472" t="inlineStr">
        <is>
          <t>GAS</t>
        </is>
      </c>
      <c r="E2472" t="inlineStr">
        <is>
          <t>Rua Benjamin Constant, 262</t>
        </is>
      </c>
      <c r="F2472" t="inlineStr">
        <is>
          <t>Piabetá (Inhomirim)</t>
        </is>
      </c>
      <c r="G2472" t="inlineStr">
        <is>
          <t>Magé</t>
        </is>
      </c>
      <c r="H2472" t="inlineStr">
        <is>
          <t>RJ</t>
        </is>
      </c>
      <c r="I2472" t="n">
        <v>7748</v>
      </c>
      <c r="J2472" t="inlineStr">
        <is>
          <t>CAT 5</t>
        </is>
      </c>
      <c r="K2472" t="inlineStr">
        <is>
          <t>Sim</t>
        </is>
      </c>
    </row>
    <row r="2473">
      <c r="A2473" s="1">
        <f>HYPERLINK("https://eurofarma-latam-crm.veevavault.com/#object/account__v/V4TZ0000191455U", "Paulo Felipe Rodrigues")</f>
        <v/>
      </c>
      <c r="B2473" s="1">
        <f>HYPERLINK("https://eurofarma-latam-crm.veevavault.com/#object/account__v/V4TZ0000191455U", "Paulo Felipe Vieira Rodrigues")</f>
        <v/>
      </c>
      <c r="C2473" t="inlineStr">
        <is>
          <t>RJ0898724</t>
        </is>
      </c>
      <c r="D2473" t="inlineStr">
        <is>
          <t>CLG / SNC</t>
        </is>
      </c>
      <c r="E2473" t="inlineStr"/>
      <c r="F2473" t="inlineStr"/>
      <c r="G2473" t="inlineStr"/>
      <c r="H2473" t="inlineStr"/>
      <c r="I2473" t="n">
        <v>7748</v>
      </c>
      <c r="J2473" t="inlineStr">
        <is>
          <t>CAT 2</t>
        </is>
      </c>
      <c r="K2473" t="inlineStr">
        <is>
          <t>Sim</t>
        </is>
      </c>
    </row>
    <row r="2474">
      <c r="A2474" s="1">
        <f>HYPERLINK("https://eurofarma-latam-crm.veevavault.com/#object/account__v/V4TZ000018NXGVY", "Paulo Nubila")</f>
        <v/>
      </c>
      <c r="B2474" s="1">
        <f>HYPERLINK("https://eurofarma-latam-crm.veevavault.com/#object/account__v/V4TZ000018NXGVY", "Paulo Cesare Di Nubila")</f>
        <v/>
      </c>
      <c r="C2474" t="inlineStr">
        <is>
          <t>RJ0381508</t>
        </is>
      </c>
      <c r="D2474" t="inlineStr">
        <is>
          <t>PED</t>
        </is>
      </c>
      <c r="E2474" t="inlineStr">
        <is>
          <t>Rua Haddock Lobo, 356 - Sal 310</t>
        </is>
      </c>
      <c r="F2474" t="inlineStr">
        <is>
          <t>Tijuca</t>
        </is>
      </c>
      <c r="G2474" t="inlineStr">
        <is>
          <t>Rio de Janeiro</t>
        </is>
      </c>
      <c r="H2474" t="inlineStr">
        <is>
          <t>RJ</t>
        </is>
      </c>
      <c r="I2474" t="n">
        <v>7748</v>
      </c>
      <c r="J2474" t="inlineStr">
        <is>
          <t>CAT 5</t>
        </is>
      </c>
      <c r="K2474" t="inlineStr">
        <is>
          <t>Sim</t>
        </is>
      </c>
    </row>
    <row r="2475">
      <c r="A2475" s="1">
        <f>HYPERLINK("https://eurofarma-latam-crm.veevavault.com/#object/account__v/V4TZ00001914VFG", "Pedro Alexandre Arcoverde")</f>
        <v/>
      </c>
      <c r="B2475" s="1">
        <f>HYPERLINK("https://eurofarma-latam-crm.veevavault.com/#object/account__v/V4TZ00001914VFG", "Pedro Alexandre Gabriel de Medeiros Arcoverde")</f>
        <v/>
      </c>
      <c r="C2475" t="inlineStr">
        <is>
          <t>RJ1028898</t>
        </is>
      </c>
      <c r="D2475" t="inlineStr">
        <is>
          <t>PSQ</t>
        </is>
      </c>
      <c r="E2475" t="inlineStr">
        <is>
          <t>Rua Jardim Botânico, 657 - Sal 0523</t>
        </is>
      </c>
      <c r="F2475" t="inlineStr">
        <is>
          <t>Jardim Botânico</t>
        </is>
      </c>
      <c r="G2475" t="inlineStr">
        <is>
          <t>Rio de Janeiro</t>
        </is>
      </c>
      <c r="H2475" t="inlineStr">
        <is>
          <t>RJ</t>
        </is>
      </c>
      <c r="I2475" t="n">
        <v>7748</v>
      </c>
      <c r="J2475" t="inlineStr">
        <is>
          <t>CAT 2</t>
        </is>
      </c>
      <c r="K2475" t="inlineStr">
        <is>
          <t>Sim</t>
        </is>
      </c>
    </row>
    <row r="2476">
      <c r="A2476" s="1">
        <f>HYPERLINK("https://eurofarma-latam-crm.veevavault.com/#object/account__v/V4TZ00001914H1I", "Pedro Cabral")</f>
        <v/>
      </c>
      <c r="B2476" s="1">
        <f>HYPERLINK("https://eurofarma-latam-crm.veevavault.com/#object/account__v/V4TZ00001914H1I", "Pedro Carvalho Cabral")</f>
        <v/>
      </c>
      <c r="C2476" t="inlineStr">
        <is>
          <t>RJ0988596</t>
        </is>
      </c>
      <c r="D2476" t="inlineStr">
        <is>
          <t>CLG</t>
        </is>
      </c>
      <c r="E2476" t="inlineStr">
        <is>
          <t>Estrada do Galeão, 2920</t>
        </is>
      </c>
      <c r="F2476" t="inlineStr">
        <is>
          <t>Portuguesa</t>
        </is>
      </c>
      <c r="G2476" t="inlineStr">
        <is>
          <t>Rio de Janeiro</t>
        </is>
      </c>
      <c r="H2476" t="inlineStr">
        <is>
          <t>RJ</t>
        </is>
      </c>
      <c r="I2476" t="n">
        <v>7748</v>
      </c>
      <c r="J2476" t="inlineStr">
        <is>
          <t>CAT 5</t>
        </is>
      </c>
      <c r="K2476" t="inlineStr">
        <is>
          <t>Sim</t>
        </is>
      </c>
    </row>
    <row r="2477">
      <c r="A2477" s="1">
        <f>HYPERLINK("https://eurofarma-latam-crm.veevavault.com/#object/account__v/V4TZ000018NZAJD", "Pedro Henrique Duarte")</f>
        <v/>
      </c>
      <c r="B2477" s="1">
        <f>HYPERLINK("https://eurofarma-latam-crm.veevavault.com/#object/account__v/V4TZ000018NZAJD", "Pedro Henrique de Souza Duarte")</f>
        <v/>
      </c>
      <c r="C2477" t="inlineStr">
        <is>
          <t>RJ1245198</t>
        </is>
      </c>
      <c r="D2477" t="inlineStr">
        <is>
          <t>NEU</t>
        </is>
      </c>
      <c r="E2477" t="inlineStr">
        <is>
          <t>Avenida Automóvel Clube, S/N</t>
        </is>
      </c>
      <c r="F2477" t="inlineStr">
        <is>
          <t>Chácaras Arcampo</t>
        </is>
      </c>
      <c r="G2477" t="inlineStr">
        <is>
          <t>Duque de Caxias</t>
        </is>
      </c>
      <c r="H2477" t="inlineStr">
        <is>
          <t>RJ</t>
        </is>
      </c>
      <c r="I2477" t="n">
        <v>7748</v>
      </c>
      <c r="J2477" t="inlineStr">
        <is>
          <t>CAT 2</t>
        </is>
      </c>
      <c r="K2477" t="inlineStr">
        <is>
          <t>Sim</t>
        </is>
      </c>
    </row>
    <row r="2478">
      <c r="A2478" s="1">
        <f>HYPERLINK("https://eurofarma-latam-crm.veevavault.com/#object/account__v/V4TZ00001915670", "Pedro Henrique Pinto")</f>
        <v/>
      </c>
      <c r="B2478" s="1">
        <f>HYPERLINK("https://eurofarma-latam-crm.veevavault.com/#object/account__v/V4TZ00001915670", "Pedro Henrique Soares Vasconcelos Pinto")</f>
        <v/>
      </c>
      <c r="C2478" t="inlineStr">
        <is>
          <t>RJ1057820</t>
        </is>
      </c>
      <c r="D2478" t="inlineStr">
        <is>
          <t>ORT</t>
        </is>
      </c>
      <c r="E2478" t="inlineStr">
        <is>
          <t>Rua Dagmar da Fonseca, 192</t>
        </is>
      </c>
      <c r="F2478" t="inlineStr">
        <is>
          <t>Madureira</t>
        </is>
      </c>
      <c r="G2478" t="inlineStr">
        <is>
          <t>Rio de Janeiro</t>
        </is>
      </c>
      <c r="H2478" t="inlineStr">
        <is>
          <t>RJ</t>
        </is>
      </c>
      <c r="I2478" t="n">
        <v>7748</v>
      </c>
      <c r="J2478" t="inlineStr">
        <is>
          <t>CAT 5</t>
        </is>
      </c>
      <c r="K2478" t="inlineStr">
        <is>
          <t>N�o</t>
        </is>
      </c>
    </row>
    <row r="2479">
      <c r="A2479" s="1">
        <f>HYPERLINK("https://eurofarma-latam-crm.veevavault.com/#object/account__v/V4TZ025E84ZO5WJ", "Perlly Pinto Junior")</f>
        <v/>
      </c>
      <c r="B2479" s="1">
        <f>HYPERLINK("https://eurofarma-latam-crm.veevavault.com/#object/account__v/V4TZ025E84ZO5WJ", "Perlly Pereira Pinto Junior")</f>
        <v/>
      </c>
      <c r="C2479" t="inlineStr">
        <is>
          <t>MG0093664,RJ1289446</t>
        </is>
      </c>
      <c r="D2479" t="inlineStr">
        <is>
          <t>PSQ</t>
        </is>
      </c>
      <c r="E2479" t="inlineStr">
        <is>
          <t>Rodovia Washington Luiz, 3200</t>
        </is>
      </c>
      <c r="F2479" t="inlineStr">
        <is>
          <t>Vila São Luís</t>
        </is>
      </c>
      <c r="G2479" t="inlineStr">
        <is>
          <t>Duque de Caxias</t>
        </is>
      </c>
      <c r="H2479" t="inlineStr">
        <is>
          <t>RJ</t>
        </is>
      </c>
      <c r="I2479" t="n">
        <v>7748</v>
      </c>
      <c r="J2479" t="inlineStr">
        <is>
          <t>CAT 3</t>
        </is>
      </c>
      <c r="K2479" t="inlineStr">
        <is>
          <t>Sim</t>
        </is>
      </c>
    </row>
    <row r="2480">
      <c r="A2480" s="1">
        <f>HYPERLINK("https://eurofarma-latam-crm.veevavault.com/#object/account__v/V4TZ025E88OP3AD", "Phillipe de Araujo")</f>
        <v/>
      </c>
      <c r="B2480" s="1">
        <f>HYPERLINK("https://eurofarma-latam-crm.veevavault.com/#object/account__v/V4TZ025E88OP3AD", "Phillipe Santos de Araujo")</f>
        <v/>
      </c>
      <c r="C2480" t="inlineStr">
        <is>
          <t>RJ1260910</t>
        </is>
      </c>
      <c r="D2480" t="inlineStr">
        <is>
          <t>CLG</t>
        </is>
      </c>
      <c r="E2480" t="inlineStr">
        <is>
          <t>Rua Arthur Rodrigues Loivos, 87</t>
        </is>
      </c>
      <c r="F2480" t="inlineStr">
        <is>
          <t>Piabetá (Inhomirim)</t>
        </is>
      </c>
      <c r="G2480" t="inlineStr">
        <is>
          <t>Magé</t>
        </is>
      </c>
      <c r="H2480" t="inlineStr">
        <is>
          <t>RJ</t>
        </is>
      </c>
      <c r="I2480" t="n">
        <v>7748</v>
      </c>
      <c r="J2480" t="inlineStr">
        <is>
          <t>CAT 5</t>
        </is>
      </c>
      <c r="K2480" t="inlineStr">
        <is>
          <t>Sim</t>
        </is>
      </c>
    </row>
    <row r="2481">
      <c r="A2481" s="1">
        <f>HYPERLINK("https://eurofarma-latam-crm.veevavault.com/#object/account__v/V4TZ00001915GVZ", "Plínio Siqueira")</f>
        <v/>
      </c>
      <c r="B2481" s="1">
        <f>HYPERLINK("https://eurofarma-latam-crm.veevavault.com/#object/account__v/V4TZ00001915GVZ", "Plínio Botelho Siqueira")</f>
        <v/>
      </c>
      <c r="C2481" t="inlineStr">
        <is>
          <t>RJ0031412</t>
        </is>
      </c>
      <c r="D2481" t="inlineStr">
        <is>
          <t>CLG / SNC</t>
        </is>
      </c>
      <c r="E2481" t="inlineStr">
        <is>
          <t>Rua Coronel João Valério, 262 - Sala 104</t>
        </is>
      </c>
      <c r="F2481" t="inlineStr">
        <is>
          <t>Centro</t>
        </is>
      </c>
      <c r="G2481" t="inlineStr">
        <is>
          <t>Magé</t>
        </is>
      </c>
      <c r="H2481" t="inlineStr">
        <is>
          <t>RJ</t>
        </is>
      </c>
      <c r="I2481" t="n">
        <v>7748</v>
      </c>
      <c r="J2481" t="inlineStr">
        <is>
          <t>CAT 1</t>
        </is>
      </c>
      <c r="K2481" t="inlineStr">
        <is>
          <t>Sim</t>
        </is>
      </c>
    </row>
    <row r="2482">
      <c r="A2482" s="1">
        <f>HYPERLINK("https://eurofarma-latam-crm.veevavault.com/#object/account__v/V4TZ00001912WES", "Priscilla Silva")</f>
        <v/>
      </c>
      <c r="B2482" s="1">
        <f>HYPERLINK("https://eurofarma-latam-crm.veevavault.com/#object/account__v/V4TZ00001912WES", "Priscilla Groetaers Castro e Silva")</f>
        <v/>
      </c>
      <c r="C2482" t="inlineStr">
        <is>
          <t>RJ1108891</t>
        </is>
      </c>
      <c r="D2482" t="inlineStr">
        <is>
          <t>CLG / END</t>
        </is>
      </c>
      <c r="E2482" t="inlineStr">
        <is>
          <t>Estrada Pedro Borges de Freitas, 90</t>
        </is>
      </c>
      <c r="F2482" t="inlineStr">
        <is>
          <t>Irajá</t>
        </is>
      </c>
      <c r="G2482" t="inlineStr">
        <is>
          <t>Rio de Janeiro</t>
        </is>
      </c>
      <c r="H2482" t="inlineStr">
        <is>
          <t>RJ</t>
        </is>
      </c>
      <c r="I2482" t="n">
        <v>7748</v>
      </c>
      <c r="J2482" t="inlineStr">
        <is>
          <t>CAT 5</t>
        </is>
      </c>
      <c r="K2482" t="inlineStr">
        <is>
          <t>Sim</t>
        </is>
      </c>
    </row>
    <row r="2483">
      <c r="A2483" s="1">
        <f>HYPERLINK("https://eurofarma-latam-crm.veevavault.com/#object/account__v/V4TZ04ASGLLMSO4", "Rafael Alves")</f>
        <v/>
      </c>
      <c r="B2483" s="1">
        <f>HYPERLINK("https://eurofarma-latam-crm.veevavault.com/#object/account__v/V4TZ04ASGLLMSO4", "Rafael Brito Alves")</f>
        <v/>
      </c>
      <c r="C2483" t="inlineStr">
        <is>
          <t>RJ1356240</t>
        </is>
      </c>
      <c r="D2483" t="inlineStr">
        <is>
          <t>PED</t>
        </is>
      </c>
      <c r="E2483" t="inlineStr">
        <is>
          <t>Rua Evaristo de Morais, S/N</t>
        </is>
      </c>
      <c r="F2483" t="inlineStr">
        <is>
          <t>Vila Bernadete</t>
        </is>
      </c>
      <c r="G2483" t="inlineStr">
        <is>
          <t>Duque de Caxias</t>
        </is>
      </c>
      <c r="H2483" t="inlineStr">
        <is>
          <t>RJ</t>
        </is>
      </c>
      <c r="I2483" t="n">
        <v>7748</v>
      </c>
      <c r="J2483" t="inlineStr">
        <is>
          <t>CAT 5</t>
        </is>
      </c>
      <c r="K2483" t="inlineStr">
        <is>
          <t>N�o</t>
        </is>
      </c>
    </row>
    <row r="2484">
      <c r="A2484" s="1">
        <f>HYPERLINK("https://eurofarma-latam-crm.veevavault.com/#object/account__v/V4TZ000018NXUV3", "Rafael Bispo")</f>
        <v/>
      </c>
      <c r="B2484" s="1">
        <f>HYPERLINK("https://eurofarma-latam-crm.veevavault.com/#object/account__v/V4TZ000018NXUV3", "Rafael de Sousa Bispo")</f>
        <v/>
      </c>
      <c r="C2484" t="inlineStr">
        <is>
          <t>RJ0839043</t>
        </is>
      </c>
      <c r="D2484" t="inlineStr">
        <is>
          <t>CLG</t>
        </is>
      </c>
      <c r="E2484" t="inlineStr">
        <is>
          <t>Avenida Ministro Fernando Costa, 12 - Casa  Quadra 4 Lote 4</t>
        </is>
      </c>
      <c r="F2484" t="inlineStr">
        <is>
          <t>Boa Esperança</t>
        </is>
      </c>
      <c r="G2484" t="inlineStr">
        <is>
          <t>Seropédica</t>
        </is>
      </c>
      <c r="H2484" t="inlineStr">
        <is>
          <t>RJ</t>
        </is>
      </c>
      <c r="I2484" t="n">
        <v>7748</v>
      </c>
      <c r="J2484" t="inlineStr">
        <is>
          <t>CAT 4</t>
        </is>
      </c>
      <c r="K2484" t="inlineStr">
        <is>
          <t>Sim</t>
        </is>
      </c>
    </row>
    <row r="2485">
      <c r="A2485" s="1">
        <f>HYPERLINK("https://eurofarma-latam-crm.veevavault.com/#object/account__v/V4TZ025E88YCX1T", "Rafael Hindi")</f>
        <v/>
      </c>
      <c r="B2485" s="1">
        <f>HYPERLINK("https://eurofarma-latam-crm.veevavault.com/#object/account__v/V4TZ025E88YCX1T", "Rafael El Hindi")</f>
        <v/>
      </c>
      <c r="C2485" t="inlineStr">
        <is>
          <t>RJ1315129</t>
        </is>
      </c>
      <c r="D2485" t="inlineStr">
        <is>
          <t>CLG / PA</t>
        </is>
      </c>
      <c r="E2485" t="inlineStr">
        <is>
          <t>Avenida Monsenhor Félix, 380</t>
        </is>
      </c>
      <c r="F2485" t="inlineStr">
        <is>
          <t>Vaz Lobo</t>
        </is>
      </c>
      <c r="G2485" t="inlineStr">
        <is>
          <t>Rio de Janeiro</t>
        </is>
      </c>
      <c r="H2485" t="inlineStr">
        <is>
          <t>RJ</t>
        </is>
      </c>
      <c r="I2485" t="n">
        <v>7748</v>
      </c>
      <c r="J2485" t="inlineStr">
        <is>
          <t>CAT 5</t>
        </is>
      </c>
      <c r="K2485" t="inlineStr">
        <is>
          <t>Sim</t>
        </is>
      </c>
    </row>
    <row r="2486">
      <c r="A2486" s="1">
        <f>HYPERLINK("https://eurofarma-latam-crm.veevavault.com/#object/account__v/V4TZ00001914HPP", "Rafael Miranda")</f>
        <v/>
      </c>
      <c r="B2486" s="1">
        <f>HYPERLINK("https://eurofarma-latam-crm.veevavault.com/#object/account__v/V4TZ00001914HPP", "Rafael de Oliveira Miranda")</f>
        <v/>
      </c>
      <c r="C2486" t="inlineStr">
        <is>
          <t>RJ1043528</t>
        </is>
      </c>
      <c r="D2486" t="inlineStr">
        <is>
          <t>CLG / END</t>
        </is>
      </c>
      <c r="E2486" t="inlineStr">
        <is>
          <t>Rua Plínio Casado, 580</t>
        </is>
      </c>
      <c r="F2486" t="inlineStr">
        <is>
          <t>Campo do Prado</t>
        </is>
      </c>
      <c r="G2486" t="inlineStr">
        <is>
          <t>Cachoeiras de Macacu</t>
        </is>
      </c>
      <c r="H2486" t="inlineStr">
        <is>
          <t>RJ</t>
        </is>
      </c>
      <c r="I2486" t="n">
        <v>7748</v>
      </c>
      <c r="J2486" t="inlineStr">
        <is>
          <t>CAT 5</t>
        </is>
      </c>
      <c r="K2486" t="inlineStr">
        <is>
          <t>Sim</t>
        </is>
      </c>
    </row>
    <row r="2487">
      <c r="A2487" s="1">
        <f>HYPERLINK("https://eurofarma-latam-crm.veevavault.com/#object/account__v/V4TZ000018NYC22", "Rafael Palatnic")</f>
        <v/>
      </c>
      <c r="B2487" s="1">
        <f>HYPERLINK("https://eurofarma-latam-crm.veevavault.com/#object/account__v/V4TZ000018NYC22", "Rafael Palatnic")</f>
        <v/>
      </c>
      <c r="C2487" t="inlineStr">
        <is>
          <t>RJ0253489</t>
        </is>
      </c>
      <c r="D2487" t="inlineStr">
        <is>
          <t>CLG</t>
        </is>
      </c>
      <c r="E2487" t="inlineStr">
        <is>
          <t>Rua Rui Barbosa, 278</t>
        </is>
      </c>
      <c r="F2487" t="inlineStr">
        <is>
          <t>Várzea</t>
        </is>
      </c>
      <c r="G2487" t="inlineStr">
        <is>
          <t>Teresópolis</t>
        </is>
      </c>
      <c r="H2487" t="inlineStr">
        <is>
          <t>RJ</t>
        </is>
      </c>
      <c r="I2487" t="n">
        <v>7748</v>
      </c>
      <c r="J2487" t="inlineStr">
        <is>
          <t>CAT 3</t>
        </is>
      </c>
      <c r="K2487" t="inlineStr">
        <is>
          <t>Sim</t>
        </is>
      </c>
    </row>
    <row r="2488">
      <c r="A2488" s="1">
        <f>HYPERLINK("https://eurofarma-latam-crm.veevavault.com/#object/account__v/V4TZ000018NXHJ0", "Rafael Silva")</f>
        <v/>
      </c>
      <c r="B2488" s="1">
        <f>HYPERLINK("https://eurofarma-latam-crm.veevavault.com/#object/account__v/V4TZ000018NXHJ0", "Rafael Evangelista de Araujo Silva")</f>
        <v/>
      </c>
      <c r="C2488" t="inlineStr">
        <is>
          <t>RJ0980935</t>
        </is>
      </c>
      <c r="D2488" t="inlineStr">
        <is>
          <t>URO</t>
        </is>
      </c>
      <c r="E2488" t="inlineStr">
        <is>
          <t>Rua Lauro Muller, 116 - Salas 1302 à 1304</t>
        </is>
      </c>
      <c r="F2488" t="inlineStr">
        <is>
          <t>Botafogo</t>
        </is>
      </c>
      <c r="G2488" t="inlineStr">
        <is>
          <t>Rio de Janeiro</t>
        </is>
      </c>
      <c r="H2488" t="inlineStr">
        <is>
          <t>RJ</t>
        </is>
      </c>
      <c r="I2488" t="n">
        <v>7748</v>
      </c>
      <c r="J2488" t="inlineStr">
        <is>
          <t>CAT 4</t>
        </is>
      </c>
      <c r="K2488" t="inlineStr">
        <is>
          <t>Sim</t>
        </is>
      </c>
    </row>
    <row r="2489">
      <c r="A2489" s="1">
        <f>HYPERLINK("https://eurofarma-latam-crm.veevavault.com/#object/account__v/V4TZ025E8DY4VBP", "Rafael Silva")</f>
        <v/>
      </c>
      <c r="B2489" s="1">
        <f>HYPERLINK("https://eurofarma-latam-crm.veevavault.com/#object/account__v/V4TZ025E8DY4VBP", "Rafael Orige Silva")</f>
        <v/>
      </c>
      <c r="C2489" t="inlineStr">
        <is>
          <t>RJ1356305</t>
        </is>
      </c>
      <c r="D2489" t="inlineStr">
        <is>
          <t>PED</t>
        </is>
      </c>
      <c r="E2489" t="inlineStr">
        <is>
          <t>Avenida Santos Dumont, 207</t>
        </is>
      </c>
      <c r="F2489" t="inlineStr">
        <is>
          <t>Piabetá (Inhomirim)</t>
        </is>
      </c>
      <c r="G2489" t="inlineStr">
        <is>
          <t>Magé</t>
        </is>
      </c>
      <c r="H2489" t="inlineStr">
        <is>
          <t>RJ</t>
        </is>
      </c>
      <c r="I2489" t="n">
        <v>7748</v>
      </c>
      <c r="J2489" t="inlineStr">
        <is>
          <t>CAT 5</t>
        </is>
      </c>
      <c r="K2489" t="inlineStr">
        <is>
          <t>N�o</t>
        </is>
      </c>
    </row>
    <row r="2490">
      <c r="A2490" s="1">
        <f>HYPERLINK("https://eurofarma-latam-crm.veevavault.com/#object/account__v/V4TZ025E87ECNHS", "Rafael Stein")</f>
        <v/>
      </c>
      <c r="B2490" s="1">
        <f>HYPERLINK("https://eurofarma-latam-crm.veevavault.com/#object/account__v/V4TZ025E87ECNHS", "Rafael Diniz Stein")</f>
        <v/>
      </c>
      <c r="C2490" t="inlineStr">
        <is>
          <t>RJ1321412</t>
        </is>
      </c>
      <c r="D2490" t="inlineStr">
        <is>
          <t>CLG / PA</t>
        </is>
      </c>
      <c r="E2490" t="inlineStr">
        <is>
          <t>Rua Tenente Luiz Meirelles, S/N</t>
        </is>
      </c>
      <c r="F2490" t="inlineStr">
        <is>
          <t>Várzea</t>
        </is>
      </c>
      <c r="G2490" t="inlineStr">
        <is>
          <t>Teresópolis</t>
        </is>
      </c>
      <c r="H2490" t="inlineStr">
        <is>
          <t>RJ</t>
        </is>
      </c>
      <c r="I2490" t="n">
        <v>7748</v>
      </c>
      <c r="J2490" t="inlineStr">
        <is>
          <t>CAT 5</t>
        </is>
      </c>
      <c r="K2490" t="inlineStr">
        <is>
          <t>N�o</t>
        </is>
      </c>
    </row>
    <row r="2491">
      <c r="A2491" s="1">
        <f>HYPERLINK("https://eurofarma-latam-crm.veevavault.com/#object/account__v/V4TZ00001913GKH", "Raphael Caldas")</f>
        <v/>
      </c>
      <c r="B2491" s="1">
        <f>HYPERLINK("https://eurofarma-latam-crm.veevavault.com/#object/account__v/V4TZ00001913GKH", "Raphael de Moraes Gomes Caldas")</f>
        <v/>
      </c>
      <c r="C2491" t="inlineStr">
        <is>
          <t>RJ1232290</t>
        </is>
      </c>
      <c r="D2491" t="inlineStr">
        <is>
          <t>END</t>
        </is>
      </c>
      <c r="E2491" t="inlineStr">
        <is>
          <t>Rodovia Washington Luiz, 17960</t>
        </is>
      </c>
      <c r="F2491" t="inlineStr">
        <is>
          <t>Santa Cruz da Serra</t>
        </is>
      </c>
      <c r="G2491" t="inlineStr">
        <is>
          <t>Duque de Caxias</t>
        </is>
      </c>
      <c r="H2491" t="inlineStr">
        <is>
          <t>RJ</t>
        </is>
      </c>
      <c r="I2491" t="n">
        <v>7748</v>
      </c>
      <c r="J2491" t="inlineStr">
        <is>
          <t>CAT 4</t>
        </is>
      </c>
      <c r="K2491" t="inlineStr">
        <is>
          <t>Sim</t>
        </is>
      </c>
    </row>
    <row r="2492">
      <c r="A2492" s="1">
        <f>HYPERLINK("https://eurofarma-latam-crm.veevavault.com/#object/account__v/V4TZ00001915AC8", "Raquel Silva")</f>
        <v/>
      </c>
      <c r="B2492" s="1">
        <f>HYPERLINK("https://eurofarma-latam-crm.veevavault.com/#object/account__v/V4TZ00001915AC8", "Raquel Maria Baltar Leite Silva")</f>
        <v/>
      </c>
      <c r="C2492" t="inlineStr">
        <is>
          <t>RJ0504911</t>
        </is>
      </c>
      <c r="D2492" t="inlineStr">
        <is>
          <t>NEU</t>
        </is>
      </c>
      <c r="E2492" t="inlineStr">
        <is>
          <t>Rua Carlos Alvear, S/N</t>
        </is>
      </c>
      <c r="F2492" t="inlineStr">
        <is>
          <t>Santo Antônio</t>
        </is>
      </c>
      <c r="G2492" t="inlineStr">
        <is>
          <t>Duque de Caxias</t>
        </is>
      </c>
      <c r="H2492" t="inlineStr">
        <is>
          <t>RJ</t>
        </is>
      </c>
      <c r="I2492" t="n">
        <v>7748</v>
      </c>
      <c r="J2492" t="inlineStr">
        <is>
          <t>CAT 1</t>
        </is>
      </c>
      <c r="K2492" t="inlineStr">
        <is>
          <t>Sim</t>
        </is>
      </c>
    </row>
    <row r="2493">
      <c r="A2493" s="1">
        <f>HYPERLINK("https://eurofarma-latam-crm.veevavault.com/#object/account__v/V4TZ025E8FBBK8D", "Regina Aguiar")</f>
        <v/>
      </c>
      <c r="B2493" s="1">
        <f>HYPERLINK("https://eurofarma-latam-crm.veevavault.com/#object/account__v/V4TZ025E8FBBK8D", "Regina Alves Aguiar")</f>
        <v/>
      </c>
      <c r="C2493" t="inlineStr">
        <is>
          <t>RJ1385084</t>
        </is>
      </c>
      <c r="D2493" t="inlineStr">
        <is>
          <t>CLG / PA</t>
        </is>
      </c>
      <c r="E2493" t="inlineStr">
        <is>
          <t>Rua São Clemente, S/N</t>
        </is>
      </c>
      <c r="F2493" t="inlineStr">
        <is>
          <t>Botafogo</t>
        </is>
      </c>
      <c r="G2493" t="inlineStr">
        <is>
          <t>Rio de Janeiro</t>
        </is>
      </c>
      <c r="H2493" t="inlineStr">
        <is>
          <t>RJ</t>
        </is>
      </c>
      <c r="I2493" t="n">
        <v>7748</v>
      </c>
      <c r="J2493" t="inlineStr">
        <is>
          <t>CAT 5</t>
        </is>
      </c>
      <c r="K2493" t="inlineStr">
        <is>
          <t>N�o</t>
        </is>
      </c>
    </row>
    <row r="2494">
      <c r="A2494" s="1">
        <f>HYPERLINK("https://eurofarma-latam-crm.veevavault.com/#object/account__v/V4TZ00001915LO0", "Renato Ferreira Neto")</f>
        <v/>
      </c>
      <c r="B2494" s="1">
        <f>HYPERLINK("https://eurofarma-latam-crm.veevavault.com/#object/account__v/V4TZ00001915LO0", "Renato Acacio Ferreira Neto")</f>
        <v/>
      </c>
      <c r="C2494" t="inlineStr">
        <is>
          <t>RJ1217216</t>
        </is>
      </c>
      <c r="D2494" t="inlineStr">
        <is>
          <t>PSQ</t>
        </is>
      </c>
      <c r="E2494" t="inlineStr">
        <is>
          <t>Rua Expedicionário Eliaquim Batista, 292</t>
        </is>
      </c>
      <c r="F2494" t="inlineStr">
        <is>
          <t>Santo Antônio da Prata</t>
        </is>
      </c>
      <c r="G2494" t="inlineStr">
        <is>
          <t>Belford Roxo</t>
        </is>
      </c>
      <c r="H2494" t="inlineStr">
        <is>
          <t>RJ</t>
        </is>
      </c>
      <c r="I2494" t="n">
        <v>7748</v>
      </c>
      <c r="J2494" t="inlineStr">
        <is>
          <t>CAT 4</t>
        </is>
      </c>
      <c r="K2494" t="inlineStr">
        <is>
          <t>Sim</t>
        </is>
      </c>
    </row>
    <row r="2495">
      <c r="A2495" s="1">
        <f>HYPERLINK("https://eurofarma-latam-crm.veevavault.com/#object/account__v/V4TZ000019145GL", "Renato Martins")</f>
        <v/>
      </c>
      <c r="B2495" s="1">
        <f>HYPERLINK("https://eurofarma-latam-crm.veevavault.com/#object/account__v/V4TZ000019145GL", "Renato Ferreira Martins")</f>
        <v/>
      </c>
      <c r="C2495" t="inlineStr">
        <is>
          <t>RJ0815470</t>
        </is>
      </c>
      <c r="D2495" t="inlineStr">
        <is>
          <t>URO</t>
        </is>
      </c>
      <c r="E2495" t="inlineStr">
        <is>
          <t>Rua Eduardo Garcia, S/N</t>
        </is>
      </c>
      <c r="F2495" t="inlineStr">
        <is>
          <t>Centro</t>
        </is>
      </c>
      <c r="G2495" t="inlineStr">
        <is>
          <t>Guapimirim</t>
        </is>
      </c>
      <c r="H2495" t="inlineStr">
        <is>
          <t>RJ</t>
        </is>
      </c>
      <c r="I2495" t="n">
        <v>7748</v>
      </c>
      <c r="J2495" t="inlineStr">
        <is>
          <t>CAT 5</t>
        </is>
      </c>
      <c r="K2495" t="inlineStr">
        <is>
          <t>N�o</t>
        </is>
      </c>
    </row>
    <row r="2496">
      <c r="A2496" s="1">
        <f>HYPERLINK("https://eurofarma-latam-crm.veevavault.com/#object/account__v/V4TZ0000191348Z", "Ricardo Augusto de Souza")</f>
        <v/>
      </c>
      <c r="B2496" s="1">
        <f>HYPERLINK("https://eurofarma-latam-crm.veevavault.com/#object/account__v/V4TZ0000191348Z", "Ricardo Augusto de Souza")</f>
        <v/>
      </c>
      <c r="C2496" t="inlineStr">
        <is>
          <t>ES0009544,RJ0741817</t>
        </is>
      </c>
      <c r="D2496" t="inlineStr">
        <is>
          <t>GER</t>
        </is>
      </c>
      <c r="E2496" t="inlineStr">
        <is>
          <t>Rua Glória Maria, S/n - Lote 13 Quadra 2 Parte</t>
        </is>
      </c>
      <c r="F2496" t="inlineStr">
        <is>
          <t>Santa Cruz da Serra</t>
        </is>
      </c>
      <c r="G2496" t="inlineStr">
        <is>
          <t>Duque de Caxias</t>
        </is>
      </c>
      <c r="H2496" t="inlineStr">
        <is>
          <t>RJ</t>
        </is>
      </c>
      <c r="I2496" t="n">
        <v>7748</v>
      </c>
      <c r="J2496" t="inlineStr">
        <is>
          <t>CAT 4</t>
        </is>
      </c>
      <c r="K2496" t="inlineStr">
        <is>
          <t>Sim</t>
        </is>
      </c>
    </row>
    <row r="2497">
      <c r="A2497" s="1">
        <f>HYPERLINK("https://eurofarma-latam-crm.veevavault.com/#object/account__v/V4TZ000019166T9", "Ricardo Cesar Kozuch")</f>
        <v/>
      </c>
      <c r="B2497" s="1">
        <f>HYPERLINK("https://eurofarma-latam-crm.veevavault.com/#object/account__v/V4TZ000019166T9", "Ricardo Cesar Kozuch")</f>
        <v/>
      </c>
      <c r="C2497" t="inlineStr">
        <is>
          <t>RJ0415021</t>
        </is>
      </c>
      <c r="D2497" t="inlineStr">
        <is>
          <t>CLG / END</t>
        </is>
      </c>
      <c r="E2497" t="inlineStr">
        <is>
          <t>Avenida Joaquim da Costa Lima, 15100 - Sala 104</t>
        </is>
      </c>
      <c r="F2497" t="inlineStr">
        <is>
          <t>Lote XV</t>
        </is>
      </c>
      <c r="G2497" t="inlineStr">
        <is>
          <t>Belford Roxo</t>
        </is>
      </c>
      <c r="H2497" t="inlineStr">
        <is>
          <t>RJ</t>
        </is>
      </c>
      <c r="I2497" t="n">
        <v>7748</v>
      </c>
      <c r="J2497" t="inlineStr">
        <is>
          <t>CAT 5</t>
        </is>
      </c>
      <c r="K2497" t="inlineStr">
        <is>
          <t>Sim</t>
        </is>
      </c>
    </row>
    <row r="2498">
      <c r="A2498" s="1">
        <f>HYPERLINK("https://eurofarma-latam-crm.veevavault.com/#object/account__v/V4TZ000018NYUML", "Ricardo Cidade")</f>
        <v/>
      </c>
      <c r="B2498" s="1">
        <f>HYPERLINK("https://eurofarma-latam-crm.veevavault.com/#object/account__v/V4TZ000018NYUML", "Ricardo Baeta Cidade")</f>
        <v/>
      </c>
      <c r="C2498" t="inlineStr">
        <is>
          <t>RJ0623296</t>
        </is>
      </c>
      <c r="D2498" t="inlineStr">
        <is>
          <t>NEU</t>
        </is>
      </c>
      <c r="E2498" t="inlineStr">
        <is>
          <t>Avenida Marta Vidal, 29 - Loja 02</t>
        </is>
      </c>
      <c r="F2498" t="inlineStr">
        <is>
          <t>Parque Sayonara (Vila Inhomirim)</t>
        </is>
      </c>
      <c r="G2498" t="inlineStr">
        <is>
          <t>Magé</t>
        </is>
      </c>
      <c r="H2498" t="inlineStr">
        <is>
          <t>RJ</t>
        </is>
      </c>
      <c r="I2498" t="n">
        <v>7748</v>
      </c>
      <c r="J2498" t="inlineStr">
        <is>
          <t>CAT 2</t>
        </is>
      </c>
      <c r="K2498" t="inlineStr">
        <is>
          <t>Sim</t>
        </is>
      </c>
    </row>
    <row r="2499">
      <c r="A2499" s="1">
        <f>HYPERLINK("https://eurofarma-latam-crm.veevavault.com/#object/account__v/V4TZ00001914V5M", "Roberta Ribeiro")</f>
        <v/>
      </c>
      <c r="B2499" s="1">
        <f>HYPERLINK("https://eurofarma-latam-crm.veevavault.com/#object/account__v/V4TZ00001914V5M", "Roberta de Luna Freire Ribeiro")</f>
        <v/>
      </c>
      <c r="C2499" t="inlineStr">
        <is>
          <t>RJ0809535</t>
        </is>
      </c>
      <c r="D2499" t="inlineStr">
        <is>
          <t>PED</t>
        </is>
      </c>
      <c r="E2499" t="inlineStr">
        <is>
          <t>Avenida Ita, 30 - Loja 01</t>
        </is>
      </c>
      <c r="F2499" t="inlineStr">
        <is>
          <t>Centro</t>
        </is>
      </c>
      <c r="G2499" t="inlineStr">
        <is>
          <t>Guapimirim</t>
        </is>
      </c>
      <c r="H2499" t="inlineStr">
        <is>
          <t>RJ</t>
        </is>
      </c>
      <c r="I2499" t="n">
        <v>7748</v>
      </c>
      <c r="J2499" t="inlineStr">
        <is>
          <t>CAT 5</t>
        </is>
      </c>
      <c r="K2499" t="inlineStr">
        <is>
          <t>Sim</t>
        </is>
      </c>
    </row>
    <row r="2500">
      <c r="A2500" s="1">
        <f>HYPERLINK("https://eurofarma-latam-crm.veevavault.com/#object/account__v/V4TZ000018NYOI9", "Roberto Alexandre")</f>
        <v/>
      </c>
      <c r="B2500" s="1">
        <f>HYPERLINK("https://eurofarma-latam-crm.veevavault.com/#object/account__v/V4TZ000018NYOI9", "Roberto Daiub Alexandre")</f>
        <v/>
      </c>
      <c r="C2500" t="inlineStr">
        <is>
          <t>RJ0621196</t>
        </is>
      </c>
      <c r="D2500" t="inlineStr">
        <is>
          <t>CLG / SNC</t>
        </is>
      </c>
      <c r="E2500" t="inlineStr">
        <is>
          <t>Avenida Presidente Roosevelt, S/N</t>
        </is>
      </c>
      <c r="F2500" t="inlineStr">
        <is>
          <t>Jardim Rosário</t>
        </is>
      </c>
      <c r="G2500" t="inlineStr">
        <is>
          <t>Duque de Caxias</t>
        </is>
      </c>
      <c r="H2500" t="inlineStr">
        <is>
          <t>RJ</t>
        </is>
      </c>
      <c r="I2500" t="n">
        <v>7748</v>
      </c>
      <c r="J2500" t="inlineStr">
        <is>
          <t>CAT 4</t>
        </is>
      </c>
      <c r="K2500" t="inlineStr">
        <is>
          <t>Sim</t>
        </is>
      </c>
    </row>
    <row r="2501">
      <c r="A2501" s="1">
        <f>HYPERLINK("https://eurofarma-latam-crm.veevavault.com/#object/account__v/V4TZ000018NZ3O1", "Rodolfo Wanderson de Vasconcelos")</f>
        <v/>
      </c>
      <c r="B2501" s="1">
        <f>HYPERLINK("https://eurofarma-latam-crm.veevavault.com/#object/account__v/V4TZ000018NZ3O1", "Rodolfo Wanderson Torres de Vasconcelos")</f>
        <v/>
      </c>
      <c r="C2501" t="inlineStr">
        <is>
          <t>RJ0601994</t>
        </is>
      </c>
      <c r="D2501" t="inlineStr">
        <is>
          <t>CLG</t>
        </is>
      </c>
      <c r="E2501" t="inlineStr">
        <is>
          <t>Avenida Marquês de Baependi, S/N</t>
        </is>
      </c>
      <c r="F2501" t="inlineStr">
        <is>
          <t>Parque Chuno</t>
        </is>
      </c>
      <c r="G2501" t="inlineStr">
        <is>
          <t>Duque de Caxias</t>
        </is>
      </c>
      <c r="H2501" t="inlineStr">
        <is>
          <t>RJ</t>
        </is>
      </c>
      <c r="I2501" t="n">
        <v>7748</v>
      </c>
      <c r="J2501" t="inlineStr">
        <is>
          <t>CAT 5</t>
        </is>
      </c>
      <c r="K2501" t="inlineStr">
        <is>
          <t>Sim</t>
        </is>
      </c>
    </row>
    <row r="2502">
      <c r="A2502" s="1">
        <f>HYPERLINK("https://eurofarma-latam-crm.veevavault.com/#object/account__v/V4TZ025E83TGBBK", "Rodrigo Carvalho")</f>
        <v/>
      </c>
      <c r="B2502" s="1">
        <f>HYPERLINK("https://eurofarma-latam-crm.veevavault.com/#object/account__v/V4TZ025E83TGBBK", "Rodrigo Campanella Carvalho")</f>
        <v/>
      </c>
      <c r="C2502" t="inlineStr">
        <is>
          <t>RJ1285807</t>
        </is>
      </c>
      <c r="D2502" t="inlineStr">
        <is>
          <t>PED</t>
        </is>
      </c>
      <c r="E2502" t="inlineStr">
        <is>
          <t>Avenida Actura, 333</t>
        </is>
      </c>
      <c r="F2502" t="inlineStr">
        <is>
          <t>Campos Elíseos</t>
        </is>
      </c>
      <c r="G2502" t="inlineStr">
        <is>
          <t>Duque de Caxias</t>
        </is>
      </c>
      <c r="H2502" t="inlineStr">
        <is>
          <t>RJ</t>
        </is>
      </c>
      <c r="I2502" t="n">
        <v>7748</v>
      </c>
      <c r="J2502" t="inlineStr">
        <is>
          <t>CAT 5</t>
        </is>
      </c>
      <c r="K2502" t="inlineStr">
        <is>
          <t>Sim</t>
        </is>
      </c>
    </row>
    <row r="2503">
      <c r="A2503" s="1">
        <f>HYPERLINK("https://eurofarma-latam-crm.veevavault.com/#object/account__v/V4TZ000018NXJ6A", "Rodrigo de Andrade")</f>
        <v/>
      </c>
      <c r="B2503" s="1">
        <f>HYPERLINK("https://eurofarma-latam-crm.veevavault.com/#object/account__v/V4TZ000018NXJ6A", "Rodrigo Correa de Andrade")</f>
        <v/>
      </c>
      <c r="C2503" t="inlineStr">
        <is>
          <t>RJ0630381</t>
        </is>
      </c>
      <c r="D2503" t="inlineStr">
        <is>
          <t>ORL</t>
        </is>
      </c>
      <c r="E2503" t="inlineStr">
        <is>
          <t>Rua Mariz e Barros, 302</t>
        </is>
      </c>
      <c r="F2503" t="inlineStr">
        <is>
          <t>Icaraí</t>
        </is>
      </c>
      <c r="G2503" t="inlineStr">
        <is>
          <t>Niterói</t>
        </is>
      </c>
      <c r="H2503" t="inlineStr">
        <is>
          <t>RJ</t>
        </is>
      </c>
      <c r="I2503" t="n">
        <v>7748</v>
      </c>
      <c r="J2503" t="inlineStr">
        <is>
          <t>CAT 3</t>
        </is>
      </c>
      <c r="K2503" t="inlineStr">
        <is>
          <t>Sim</t>
        </is>
      </c>
    </row>
    <row r="2504">
      <c r="A2504" s="1">
        <f>HYPERLINK("https://eurofarma-latam-crm.veevavault.com/#object/account__v/V4TZ00001915FAD", "Ronan Santos")</f>
        <v/>
      </c>
      <c r="B2504" s="1">
        <f>HYPERLINK("https://eurofarma-latam-crm.veevavault.com/#object/account__v/V4TZ00001915FAD", "Ronan de Oliveira Santos")</f>
        <v/>
      </c>
      <c r="C2504" t="inlineStr">
        <is>
          <t>RJ0527639</t>
        </is>
      </c>
      <c r="D2504" t="inlineStr">
        <is>
          <t>GAS</t>
        </is>
      </c>
      <c r="E2504" t="inlineStr">
        <is>
          <t>Rua Paulino Afonso, 455</t>
        </is>
      </c>
      <c r="F2504" t="inlineStr">
        <is>
          <t>Centro</t>
        </is>
      </c>
      <c r="G2504" t="inlineStr">
        <is>
          <t>Petrópolis</t>
        </is>
      </c>
      <c r="H2504" t="inlineStr">
        <is>
          <t>RJ</t>
        </is>
      </c>
      <c r="I2504" t="n">
        <v>7748</v>
      </c>
      <c r="J2504" t="inlineStr">
        <is>
          <t>CAT 5</t>
        </is>
      </c>
      <c r="K2504" t="inlineStr">
        <is>
          <t>N�o</t>
        </is>
      </c>
    </row>
    <row r="2505">
      <c r="A2505" s="1">
        <f>HYPERLINK("https://eurofarma-latam-crm.veevavault.com/#object/account__v/V4TZ000018NY23W", "Rosalda de Moura")</f>
        <v/>
      </c>
      <c r="B2505" s="1">
        <f>HYPERLINK("https://eurofarma-latam-crm.veevavault.com/#object/account__v/V4TZ000018NY23W", "Rosalda Motta Diniz de Moura")</f>
        <v/>
      </c>
      <c r="C2505" t="inlineStr">
        <is>
          <t>RJ0407725</t>
        </is>
      </c>
      <c r="D2505" t="inlineStr">
        <is>
          <t>PED</t>
        </is>
      </c>
      <c r="E2505" t="inlineStr">
        <is>
          <t>Avenida Simão da Mota, 578 - Sala 302</t>
        </is>
      </c>
      <c r="F2505" t="inlineStr">
        <is>
          <t>Centro</t>
        </is>
      </c>
      <c r="G2505" t="inlineStr">
        <is>
          <t>Magé</t>
        </is>
      </c>
      <c r="H2505" t="inlineStr">
        <is>
          <t>RJ</t>
        </is>
      </c>
      <c r="I2505" t="n">
        <v>7748</v>
      </c>
      <c r="J2505" t="inlineStr">
        <is>
          <t>CAT 5</t>
        </is>
      </c>
      <c r="K2505" t="inlineStr">
        <is>
          <t>Sim</t>
        </is>
      </c>
    </row>
    <row r="2506">
      <c r="A2506" s="1">
        <f>HYPERLINK("https://eurofarma-latam-crm.veevavault.com/#object/account__v/V4TZ00001916091", "Roseli Vidal")</f>
        <v/>
      </c>
      <c r="B2506" s="1">
        <f>HYPERLINK("https://eurofarma-latam-crm.veevavault.com/#object/account__v/V4TZ00001916091", "Roseli Aparecida Vidal")</f>
        <v/>
      </c>
      <c r="C2506" t="inlineStr">
        <is>
          <t>RJ0521246</t>
        </is>
      </c>
      <c r="D2506" t="inlineStr">
        <is>
          <t>PED</t>
        </is>
      </c>
      <c r="E2506" t="inlineStr">
        <is>
          <t>Rua Alagoas, 36</t>
        </is>
      </c>
      <c r="F2506" t="inlineStr">
        <is>
          <t>Santa Cruz Da Serra</t>
        </is>
      </c>
      <c r="G2506" t="inlineStr">
        <is>
          <t>Duque de Caxias</t>
        </is>
      </c>
      <c r="H2506" t="inlineStr">
        <is>
          <t>RJ</t>
        </is>
      </c>
      <c r="I2506" t="n">
        <v>7748</v>
      </c>
      <c r="J2506" t="inlineStr">
        <is>
          <t>CAT 5</t>
        </is>
      </c>
      <c r="K2506" t="inlineStr">
        <is>
          <t>Sim</t>
        </is>
      </c>
    </row>
    <row r="2507">
      <c r="A2507" s="1">
        <f>HYPERLINK("https://eurofarma-latam-crm.veevavault.com/#object/account__v/V4TZ000018NYEHP", "Rozei Maria dos Santos")</f>
        <v/>
      </c>
      <c r="B2507" s="1">
        <f>HYPERLINK("https://eurofarma-latam-crm.veevavault.com/#object/account__v/V4TZ000018NYEHP", "Rozei Maria Alves dos Santos")</f>
        <v/>
      </c>
      <c r="C2507" t="inlineStr">
        <is>
          <t>RJ0561866</t>
        </is>
      </c>
      <c r="D2507" t="inlineStr">
        <is>
          <t>NEU</t>
        </is>
      </c>
      <c r="E2507" t="inlineStr">
        <is>
          <t>Rua Cardoso de Morais, 218</t>
        </is>
      </c>
      <c r="F2507" t="inlineStr">
        <is>
          <t>Bonsucesso</t>
        </is>
      </c>
      <c r="G2507" t="inlineStr">
        <is>
          <t>Rio de Janeiro</t>
        </is>
      </c>
      <c r="H2507" t="inlineStr">
        <is>
          <t>RJ</t>
        </is>
      </c>
      <c r="I2507" t="n">
        <v>7748</v>
      </c>
      <c r="J2507" t="inlineStr">
        <is>
          <t>CAT 2</t>
        </is>
      </c>
      <c r="K2507" t="inlineStr">
        <is>
          <t>Sim</t>
        </is>
      </c>
    </row>
    <row r="2508">
      <c r="A2508" s="1">
        <f>HYPERLINK("https://eurofarma-latam-crm.veevavault.com/#object/account__v/V4TZ000018NYYMW", "Salomao Goncalves")</f>
        <v/>
      </c>
      <c r="B2508" s="1">
        <f>HYPERLINK("https://eurofarma-latam-crm.veevavault.com/#object/account__v/V4TZ000018NYYMW", "Salomao Lemos Goncalves")</f>
        <v/>
      </c>
      <c r="C2508" t="inlineStr">
        <is>
          <t>RJ0665843</t>
        </is>
      </c>
      <c r="D2508" t="inlineStr">
        <is>
          <t>CLG / PA</t>
        </is>
      </c>
      <c r="E2508" t="inlineStr">
        <is>
          <t>Rua Abel Ventura Ribeiro de Moraes, 361</t>
        </is>
      </c>
      <c r="F2508" t="inlineStr">
        <is>
          <t>Centro</t>
        </is>
      </c>
      <c r="G2508" t="inlineStr">
        <is>
          <t>Cordeiro</t>
        </is>
      </c>
      <c r="H2508" t="inlineStr">
        <is>
          <t>RJ</t>
        </is>
      </c>
      <c r="I2508" t="n">
        <v>7748</v>
      </c>
      <c r="J2508" t="inlineStr">
        <is>
          <t>CAT 5</t>
        </is>
      </c>
      <c r="K2508" t="inlineStr">
        <is>
          <t>Sim</t>
        </is>
      </c>
    </row>
    <row r="2509">
      <c r="A2509" s="1">
        <f>HYPERLINK("https://eurofarma-latam-crm.veevavault.com/#object/account__v/V4TZ000019139KD", "Samara Furtado")</f>
        <v/>
      </c>
      <c r="B2509" s="1">
        <f>HYPERLINK("https://eurofarma-latam-crm.veevavault.com/#object/account__v/V4TZ000019139KD", "Samara Caddah Furtado")</f>
        <v/>
      </c>
      <c r="C2509" t="inlineStr">
        <is>
          <t>RJ0933554</t>
        </is>
      </c>
      <c r="D2509" t="inlineStr">
        <is>
          <t>CLG / END</t>
        </is>
      </c>
      <c r="E2509" t="inlineStr">
        <is>
          <t>Rua Visconde de Ouro Preto, 5 - 5 Andar</t>
        </is>
      </c>
      <c r="F2509" t="inlineStr">
        <is>
          <t>Botafogo</t>
        </is>
      </c>
      <c r="G2509" t="inlineStr">
        <is>
          <t>Rio de Janeiro</t>
        </is>
      </c>
      <c r="H2509" t="inlineStr">
        <is>
          <t>RJ</t>
        </is>
      </c>
      <c r="I2509" t="n">
        <v>7748</v>
      </c>
      <c r="J2509" t="inlineStr">
        <is>
          <t>CAT 3</t>
        </is>
      </c>
      <c r="K2509" t="inlineStr">
        <is>
          <t>Sim</t>
        </is>
      </c>
    </row>
    <row r="2510">
      <c r="A2510" s="1">
        <f>HYPERLINK("https://eurofarma-latam-crm.veevavault.com/#object/account__v/V4TZ000018NXUHE", "Samia da Silva")</f>
        <v/>
      </c>
      <c r="B2510" s="1">
        <f>HYPERLINK("https://eurofarma-latam-crm.veevavault.com/#object/account__v/V4TZ000018NXUHE", "Samia Teixeira da Silva")</f>
        <v/>
      </c>
      <c r="C2510" t="inlineStr">
        <is>
          <t>RJ1043226</t>
        </is>
      </c>
      <c r="D2510" t="inlineStr">
        <is>
          <t>CLG / END</t>
        </is>
      </c>
      <c r="E2510" t="inlineStr">
        <is>
          <t>Avenida das Américas, 13967 - 301 302</t>
        </is>
      </c>
      <c r="F2510" t="inlineStr">
        <is>
          <t>Recreio dos Bandeirantes</t>
        </is>
      </c>
      <c r="G2510" t="inlineStr">
        <is>
          <t>Rio de Janeiro</t>
        </is>
      </c>
      <c r="H2510" t="inlineStr">
        <is>
          <t>RJ</t>
        </is>
      </c>
      <c r="I2510" t="n">
        <v>7748</v>
      </c>
      <c r="J2510" t="inlineStr">
        <is>
          <t>CAT 4</t>
        </is>
      </c>
      <c r="K2510" t="inlineStr">
        <is>
          <t>Sim</t>
        </is>
      </c>
    </row>
    <row r="2511">
      <c r="A2511" s="1">
        <f>HYPERLINK("https://eurofarma-latam-crm.veevavault.com/#object/account__v/V4TZ0000191NAC2", "Samira Rodrigues")</f>
        <v/>
      </c>
      <c r="B2511" s="1">
        <f>HYPERLINK("https://eurofarma-latam-crm.veevavault.com/#object/account__v/V4TZ0000191NAC2", "Samira Guedes Rodrigues")</f>
        <v/>
      </c>
      <c r="C2511" t="inlineStr">
        <is>
          <t>RJ1268813</t>
        </is>
      </c>
      <c r="D2511" t="inlineStr">
        <is>
          <t>CLG / PA</t>
        </is>
      </c>
      <c r="E2511" t="inlineStr">
        <is>
          <t>Rua Tenente Luiz Meirelles, S/N</t>
        </is>
      </c>
      <c r="F2511" t="inlineStr">
        <is>
          <t>Várzea</t>
        </is>
      </c>
      <c r="G2511" t="inlineStr">
        <is>
          <t>Teresópolis</t>
        </is>
      </c>
      <c r="H2511" t="inlineStr">
        <is>
          <t>RJ</t>
        </is>
      </c>
      <c r="I2511" t="n">
        <v>7748</v>
      </c>
      <c r="J2511" t="inlineStr">
        <is>
          <t>CAT 5</t>
        </is>
      </c>
      <c r="K2511" t="inlineStr">
        <is>
          <t>Sim</t>
        </is>
      </c>
    </row>
    <row r="2512">
      <c r="A2512" s="1">
        <f>HYPERLINK("https://eurofarma-latam-crm.veevavault.com/#object/account__v/V4TZ00001913PAJ", "Sandra de Oliveira")</f>
        <v/>
      </c>
      <c r="B2512" s="1">
        <f>HYPERLINK("https://eurofarma-latam-crm.veevavault.com/#object/account__v/V4TZ00001913PAJ", "Sandra Magalhães de Oliveira")</f>
        <v/>
      </c>
      <c r="C2512" t="inlineStr">
        <is>
          <t>RJ0344453</t>
        </is>
      </c>
      <c r="D2512" t="inlineStr">
        <is>
          <t>PSQ</t>
        </is>
      </c>
      <c r="E2512" t="inlineStr">
        <is>
          <t>Rua Marcionílio Ignácio, 41 - 0</t>
        </is>
      </c>
      <c r="F2512" t="inlineStr">
        <is>
          <t>Parada Modelo</t>
        </is>
      </c>
      <c r="G2512" t="inlineStr">
        <is>
          <t>Guapimirim</t>
        </is>
      </c>
      <c r="H2512" t="inlineStr">
        <is>
          <t>RJ</t>
        </is>
      </c>
      <c r="I2512" t="n">
        <v>7748</v>
      </c>
      <c r="J2512" t="inlineStr">
        <is>
          <t>CAT 2</t>
        </is>
      </c>
      <c r="K2512" t="inlineStr">
        <is>
          <t>Sim</t>
        </is>
      </c>
    </row>
    <row r="2513">
      <c r="A2513" s="1">
        <f>HYPERLINK("https://eurofarma-latam-crm.veevavault.com/#object/account__v/V4TZ00001915D36", "Sandra de Souza")</f>
        <v/>
      </c>
      <c r="B2513" s="1">
        <f>HYPERLINK("https://eurofarma-latam-crm.veevavault.com/#object/account__v/V4TZ00001915D36", "Sandra Helena de Abreu de Souza")</f>
        <v/>
      </c>
      <c r="C2513" t="inlineStr">
        <is>
          <t>MG0062334,RJ0697095</t>
        </is>
      </c>
      <c r="D2513" t="inlineStr">
        <is>
          <t>PED</t>
        </is>
      </c>
      <c r="E2513" t="inlineStr">
        <is>
          <t>Rua Profa Emilia Esteves, 617</t>
        </is>
      </c>
      <c r="F2513" t="inlineStr">
        <is>
          <t>Centro</t>
        </is>
      </c>
      <c r="G2513" t="inlineStr">
        <is>
          <t>São José do Vale do Rio Preto</t>
        </is>
      </c>
      <c r="H2513" t="inlineStr">
        <is>
          <t>RJ</t>
        </is>
      </c>
      <c r="I2513" t="n">
        <v>7748</v>
      </c>
      <c r="J2513" t="inlineStr">
        <is>
          <t>CAT 5</t>
        </is>
      </c>
      <c r="K2513" t="inlineStr">
        <is>
          <t>Sim</t>
        </is>
      </c>
    </row>
    <row r="2514">
      <c r="A2514" s="1">
        <f>HYPERLINK("https://eurofarma-latam-crm.veevavault.com/#object/account__v/V4TZ00001913ZFC", "Sandra Maria Pereira")</f>
        <v/>
      </c>
      <c r="B2514" s="1">
        <f>HYPERLINK("https://eurofarma-latam-crm.veevavault.com/#object/account__v/V4TZ00001913ZFC", "Sandra Maria de Souza Pereira")</f>
        <v/>
      </c>
      <c r="C2514" t="inlineStr">
        <is>
          <t>RJ0319478</t>
        </is>
      </c>
      <c r="D2514" t="inlineStr">
        <is>
          <t>PED</t>
        </is>
      </c>
      <c r="E2514" t="inlineStr">
        <is>
          <t>Rua Nossa Senhora Aparecida, S/N - Sn</t>
        </is>
      </c>
      <c r="F2514" t="inlineStr">
        <is>
          <t>Pilar</t>
        </is>
      </c>
      <c r="G2514" t="inlineStr">
        <is>
          <t>Duque de Caxias</t>
        </is>
      </c>
      <c r="H2514" t="inlineStr">
        <is>
          <t>RJ</t>
        </is>
      </c>
      <c r="I2514" t="n">
        <v>7748</v>
      </c>
      <c r="J2514" t="inlineStr">
        <is>
          <t>CAT 4</t>
        </is>
      </c>
      <c r="K2514" t="inlineStr">
        <is>
          <t>Sim</t>
        </is>
      </c>
    </row>
    <row r="2515">
      <c r="A2515" s="1">
        <f>HYPERLINK("https://eurofarma-latam-crm.veevavault.com/#object/account__v/V4TZ000019135ZZ", "Sandra Silva")</f>
        <v/>
      </c>
      <c r="B2515" s="1">
        <f>HYPERLINK("https://eurofarma-latam-crm.veevavault.com/#object/account__v/V4TZ000019135ZZ", "Sandra Amelia Kaipper da Silva")</f>
        <v/>
      </c>
      <c r="C2515" t="inlineStr">
        <is>
          <t>RJ0592789</t>
        </is>
      </c>
      <c r="D2515" t="inlineStr">
        <is>
          <t>CLG / END</t>
        </is>
      </c>
      <c r="E2515" t="inlineStr">
        <is>
          <t>Praça Doutor Alcindo Sodré, 6 - Sala 208</t>
        </is>
      </c>
      <c r="F2515" t="inlineStr">
        <is>
          <t>Centro</t>
        </is>
      </c>
      <c r="G2515" t="inlineStr">
        <is>
          <t>Petrópolis</t>
        </is>
      </c>
      <c r="H2515" t="inlineStr">
        <is>
          <t>RJ</t>
        </is>
      </c>
      <c r="I2515" t="n">
        <v>7748</v>
      </c>
      <c r="J2515" t="inlineStr">
        <is>
          <t>CAT 4</t>
        </is>
      </c>
      <c r="K2515" t="inlineStr">
        <is>
          <t>Sim</t>
        </is>
      </c>
    </row>
    <row r="2516">
      <c r="A2516" s="1">
        <f>HYPERLINK("https://eurofarma-latam-crm.veevavault.com/#object/account__v/V4TZ000018NXOK5", "Sergio Luis Teixeira")</f>
        <v/>
      </c>
      <c r="B2516" s="1">
        <f>HYPERLINK("https://eurofarma-latam-crm.veevavault.com/#object/account__v/V4TZ000018NXOK5", "Sergio Luis Gomes Teixeira")</f>
        <v/>
      </c>
      <c r="C2516" t="inlineStr">
        <is>
          <t>RJ0399572</t>
        </is>
      </c>
      <c r="D2516" t="inlineStr">
        <is>
          <t>CLG / PA</t>
        </is>
      </c>
      <c r="E2516" t="inlineStr">
        <is>
          <t>Rua Arthur Rodrigues Loivos, 278 - Centro</t>
        </is>
      </c>
      <c r="F2516" t="inlineStr">
        <is>
          <t>Piabetá (Inhomirim)</t>
        </is>
      </c>
      <c r="G2516" t="inlineStr">
        <is>
          <t>Magé</t>
        </is>
      </c>
      <c r="H2516" t="inlineStr">
        <is>
          <t>RJ</t>
        </is>
      </c>
      <c r="I2516" t="n">
        <v>7748</v>
      </c>
      <c r="J2516" t="inlineStr">
        <is>
          <t>CAT 5</t>
        </is>
      </c>
      <c r="K2516" t="inlineStr">
        <is>
          <t>Sim</t>
        </is>
      </c>
    </row>
    <row r="2517">
      <c r="A2517" s="1">
        <f>HYPERLINK("https://eurofarma-latam-crm.veevavault.com/#object/account__v/V4TZ000018NXU9V", "Sergio Perez")</f>
        <v/>
      </c>
      <c r="B2517" s="1">
        <f>HYPERLINK("https://eurofarma-latam-crm.veevavault.com/#object/account__v/V4TZ000018NXU9V", "Sergio Lage Perez")</f>
        <v/>
      </c>
      <c r="C2517" t="inlineStr">
        <is>
          <t>RJ0479280</t>
        </is>
      </c>
      <c r="D2517" t="inlineStr">
        <is>
          <t>CLG / END</t>
        </is>
      </c>
      <c r="E2517" t="inlineStr">
        <is>
          <t>Rua Prefeito Olívio de Matos, 104</t>
        </is>
      </c>
      <c r="F2517" t="inlineStr">
        <is>
          <t>Vila Carvalho (Vila Inhomirim)</t>
        </is>
      </c>
      <c r="G2517" t="inlineStr">
        <is>
          <t>Magé</t>
        </is>
      </c>
      <c r="H2517" t="inlineStr">
        <is>
          <t>RJ</t>
        </is>
      </c>
      <c r="I2517" t="n">
        <v>7748</v>
      </c>
      <c r="J2517" t="inlineStr">
        <is>
          <t>CAT 5</t>
        </is>
      </c>
      <c r="K2517" t="inlineStr">
        <is>
          <t>Sim</t>
        </is>
      </c>
    </row>
    <row r="2518">
      <c r="A2518" s="1">
        <f>HYPERLINK("https://eurofarma-latam-crm.veevavault.com/#object/account__v/V4TZ000018NXXSL", "Sidney Couto")</f>
        <v/>
      </c>
      <c r="B2518" s="1">
        <f>HYPERLINK("https://eurofarma-latam-crm.veevavault.com/#object/account__v/V4TZ000018NXXSL", "Sidney Cerqueira Couto")</f>
        <v/>
      </c>
      <c r="C2518" t="inlineStr">
        <is>
          <t>RJ0814741</t>
        </is>
      </c>
      <c r="D2518" t="inlineStr">
        <is>
          <t>PED</t>
        </is>
      </c>
      <c r="E2518" t="inlineStr">
        <is>
          <t>Rodovia Washington Luiz, S/N</t>
        </is>
      </c>
      <c r="F2518" t="inlineStr">
        <is>
          <t>Santa Cruz da Serra</t>
        </is>
      </c>
      <c r="G2518" t="inlineStr">
        <is>
          <t>Duque de Caxias</t>
        </is>
      </c>
      <c r="H2518" t="inlineStr">
        <is>
          <t>RJ</t>
        </is>
      </c>
      <c r="I2518" t="n">
        <v>7748</v>
      </c>
      <c r="J2518" t="inlineStr">
        <is>
          <t>CAT 5</t>
        </is>
      </c>
      <c r="K2518" t="inlineStr">
        <is>
          <t>Sim</t>
        </is>
      </c>
    </row>
    <row r="2519">
      <c r="A2519" s="1">
        <f>HYPERLINK("https://eurofarma-latam-crm.veevavault.com/#object/account__v/V4TZ0000191403T", "Solange Silva")</f>
        <v/>
      </c>
      <c r="B2519" s="1">
        <f>HYPERLINK("https://eurofarma-latam-crm.veevavault.com/#object/account__v/V4TZ0000191403T", "Solange Goudart da Silva")</f>
        <v/>
      </c>
      <c r="C2519" t="inlineStr">
        <is>
          <t>RJ0499590</t>
        </is>
      </c>
      <c r="D2519" t="inlineStr">
        <is>
          <t>CLG / PA</t>
        </is>
      </c>
      <c r="E2519" t="inlineStr">
        <is>
          <t>Rua Seis, S/N</t>
        </is>
      </c>
      <c r="F2519" t="inlineStr">
        <is>
          <t>Vila Santo Antônio</t>
        </is>
      </c>
      <c r="G2519" t="inlineStr">
        <is>
          <t>Duque de Caxias</t>
        </is>
      </c>
      <c r="H2519" t="inlineStr">
        <is>
          <t>RJ</t>
        </is>
      </c>
      <c r="I2519" t="n">
        <v>7748</v>
      </c>
      <c r="J2519" t="inlineStr">
        <is>
          <t>CAT 5</t>
        </is>
      </c>
      <c r="K2519" t="inlineStr">
        <is>
          <t>Sim</t>
        </is>
      </c>
    </row>
    <row r="2520">
      <c r="A2520" s="1">
        <f>HYPERLINK("https://eurofarma-latam-crm.veevavault.com/#object/account__v/V4TZ0000191389W", "Spencer de Oliveira")</f>
        <v/>
      </c>
      <c r="B2520" s="1">
        <f>HYPERLINK("https://eurofarma-latam-crm.veevavault.com/#object/account__v/V4TZ0000191389W", "Spencer Almeida de Oliveira")</f>
        <v/>
      </c>
      <c r="C2520" t="inlineStr">
        <is>
          <t>RJ1174991</t>
        </is>
      </c>
      <c r="D2520" t="inlineStr">
        <is>
          <t>END</t>
        </is>
      </c>
      <c r="E2520" t="inlineStr">
        <is>
          <t>Rua Waldemar Lima Teixeira, 80 - Sala 104</t>
        </is>
      </c>
      <c r="F2520" t="inlineStr">
        <is>
          <t>Vila Carvalho (Vila Inhomirim)</t>
        </is>
      </c>
      <c r="G2520" t="inlineStr">
        <is>
          <t>Magé</t>
        </is>
      </c>
      <c r="H2520" t="inlineStr">
        <is>
          <t>RJ</t>
        </is>
      </c>
      <c r="I2520" t="n">
        <v>7748</v>
      </c>
      <c r="J2520" t="inlineStr">
        <is>
          <t>CAT 4</t>
        </is>
      </c>
      <c r="K2520" t="inlineStr">
        <is>
          <t>Sim</t>
        </is>
      </c>
    </row>
    <row r="2521">
      <c r="A2521" s="1">
        <f>HYPERLINK("https://eurofarma-latam-crm.veevavault.com/#object/account__v/V4TZ025E85A4A3L", "Taís Letícia Blatt")</f>
        <v/>
      </c>
      <c r="B2521" s="1">
        <f>HYPERLINK("https://eurofarma-latam-crm.veevavault.com/#object/account__v/V4TZ025E85A4A3L", "Taís Letícia Blatt")</f>
        <v/>
      </c>
      <c r="C2521" t="inlineStr">
        <is>
          <t>RJ1312332</t>
        </is>
      </c>
      <c r="D2521" t="inlineStr">
        <is>
          <t>CLG / PA</t>
        </is>
      </c>
      <c r="E2521" t="inlineStr">
        <is>
          <t>Avenida Presidente Roosevelt, S/N</t>
        </is>
      </c>
      <c r="F2521" t="inlineStr">
        <is>
          <t>Jardim Rosário</t>
        </is>
      </c>
      <c r="G2521" t="inlineStr">
        <is>
          <t>Duque de Caxias</t>
        </is>
      </c>
      <c r="H2521" t="inlineStr">
        <is>
          <t>RJ</t>
        </is>
      </c>
      <c r="I2521" t="n">
        <v>7748</v>
      </c>
      <c r="J2521" t="inlineStr">
        <is>
          <t>CAT 5</t>
        </is>
      </c>
      <c r="K2521" t="inlineStr">
        <is>
          <t>N�o</t>
        </is>
      </c>
    </row>
    <row r="2522">
      <c r="A2522" s="1">
        <f>HYPERLINK("https://eurofarma-latam-crm.veevavault.com/#object/account__v/V4TZ025E88NERUW", "Taissa Bezerra")</f>
        <v/>
      </c>
      <c r="B2522" s="1">
        <f>HYPERLINK("https://eurofarma-latam-crm.veevavault.com/#object/account__v/V4TZ025E88NERUW", "Taissa dos Santos Silva Miranda Bezerra")</f>
        <v/>
      </c>
      <c r="C2522" t="inlineStr">
        <is>
          <t>RJ1324853</t>
        </is>
      </c>
      <c r="D2522" t="inlineStr">
        <is>
          <t>CLG / PA</t>
        </is>
      </c>
      <c r="E2522" t="inlineStr">
        <is>
          <t>Avenida Automóvel Clube, S/N</t>
        </is>
      </c>
      <c r="F2522" t="inlineStr">
        <is>
          <t>Chácaras Arcampo</t>
        </is>
      </c>
      <c r="G2522" t="inlineStr">
        <is>
          <t>Duque de Caxias</t>
        </is>
      </c>
      <c r="H2522" t="inlineStr">
        <is>
          <t>RJ</t>
        </is>
      </c>
      <c r="I2522" t="n">
        <v>7748</v>
      </c>
      <c r="J2522" t="inlineStr"/>
      <c r="K2522" t="inlineStr"/>
    </row>
    <row r="2523">
      <c r="A2523" s="1">
        <f>HYPERLINK("https://eurofarma-latam-crm.veevavault.com/#object/account__v/V4TZ000018NXH1H", "Tales Ferreira")</f>
        <v/>
      </c>
      <c r="B2523" s="1">
        <f>HYPERLINK("https://eurofarma-latam-crm.veevavault.com/#object/account__v/V4TZ000018NXH1H", "Tales Henrique de Souza Ferreira")</f>
        <v/>
      </c>
      <c r="C2523" t="inlineStr">
        <is>
          <t>RJ0590460</t>
        </is>
      </c>
      <c r="D2523" t="inlineStr">
        <is>
          <t>GAS</t>
        </is>
      </c>
      <c r="E2523" t="inlineStr">
        <is>
          <t>Rua Coronel João Valério, 262 - Sobreloja 101 e 103</t>
        </is>
      </c>
      <c r="F2523" t="inlineStr">
        <is>
          <t>Centro</t>
        </is>
      </c>
      <c r="G2523" t="inlineStr">
        <is>
          <t>Magé</t>
        </is>
      </c>
      <c r="H2523" t="inlineStr">
        <is>
          <t>RJ</t>
        </is>
      </c>
      <c r="I2523" t="n">
        <v>7748</v>
      </c>
      <c r="J2523" t="inlineStr"/>
      <c r="K2523" t="inlineStr"/>
    </row>
    <row r="2524">
      <c r="A2524" s="1">
        <f>HYPERLINK("https://eurofarma-latam-crm.veevavault.com/#object/account__v/V4TZ025E88MJYZ8", "Tânia Menezes")</f>
        <v/>
      </c>
      <c r="B2524" s="1">
        <f>HYPERLINK("https://eurofarma-latam-crm.veevavault.com/#object/account__v/V4TZ025E88MJYZ8", "Tânia Ribeiro Pinto de Menezes")</f>
        <v/>
      </c>
      <c r="C2524" t="inlineStr">
        <is>
          <t>RJ1328204</t>
        </is>
      </c>
      <c r="D2524" t="inlineStr">
        <is>
          <t>PED</t>
        </is>
      </c>
      <c r="E2524" t="inlineStr">
        <is>
          <t>Rua Profa Maria Emilia Esteves, 617</t>
        </is>
      </c>
      <c r="F2524" t="inlineStr">
        <is>
          <t>Centro</t>
        </is>
      </c>
      <c r="G2524" t="inlineStr">
        <is>
          <t>São José do Vale do Rio Preto</t>
        </is>
      </c>
      <c r="H2524" t="inlineStr">
        <is>
          <t>RJ</t>
        </is>
      </c>
      <c r="I2524" t="n">
        <v>7748</v>
      </c>
      <c r="J2524" t="inlineStr">
        <is>
          <t>CAT 5</t>
        </is>
      </c>
      <c r="K2524" t="inlineStr">
        <is>
          <t>N�o</t>
        </is>
      </c>
    </row>
    <row r="2525">
      <c r="A2525" s="1">
        <f>HYPERLINK("https://eurofarma-latam-crm.veevavault.com/#object/account__v/V4TZ000018NXL6G", "Tara Sicalo")</f>
        <v/>
      </c>
      <c r="B2525" s="1">
        <f>HYPERLINK("https://eurofarma-latam-crm.veevavault.com/#object/account__v/V4TZ000018NXL6G", "Tara Michalle Sicalo")</f>
        <v/>
      </c>
      <c r="C2525" t="inlineStr">
        <is>
          <t>RJ0572924</t>
        </is>
      </c>
      <c r="D2525" t="inlineStr">
        <is>
          <t>PED</t>
        </is>
      </c>
      <c r="E2525" t="inlineStr">
        <is>
          <t>Rua Oswaldo Cruz, S/N</t>
        </is>
      </c>
      <c r="F2525" t="inlineStr">
        <is>
          <t>Bananal</t>
        </is>
      </c>
      <c r="G2525" t="inlineStr">
        <is>
          <t>Guapimirim</t>
        </is>
      </c>
      <c r="H2525" t="inlineStr">
        <is>
          <t>RJ</t>
        </is>
      </c>
      <c r="I2525" t="n">
        <v>7748</v>
      </c>
      <c r="J2525" t="inlineStr">
        <is>
          <t>CAT 5</t>
        </is>
      </c>
      <c r="K2525" t="inlineStr">
        <is>
          <t>Sim</t>
        </is>
      </c>
    </row>
    <row r="2526">
      <c r="A2526" s="1">
        <f>HYPERLINK("https://eurofarma-latam-crm.veevavault.com/#object/account__v/V4TZ00001914EID", "Tatiana Costa")</f>
        <v/>
      </c>
      <c r="B2526" s="1">
        <f>HYPERLINK("https://eurofarma-latam-crm.veevavault.com/#object/account__v/V4TZ00001914EID", "Tatiana Camara dos Santos Costa")</f>
        <v/>
      </c>
      <c r="C2526" t="inlineStr">
        <is>
          <t>RJ0950300</t>
        </is>
      </c>
      <c r="D2526" t="inlineStr">
        <is>
          <t>CLG</t>
        </is>
      </c>
      <c r="E2526" t="inlineStr">
        <is>
          <t>Rua Almirante Tamandaré, 66</t>
        </is>
      </c>
      <c r="F2526" t="inlineStr">
        <is>
          <t>Flamengo</t>
        </is>
      </c>
      <c r="G2526" t="inlineStr">
        <is>
          <t>Rio de Janeiro</t>
        </is>
      </c>
      <c r="H2526" t="inlineStr">
        <is>
          <t>RJ</t>
        </is>
      </c>
      <c r="I2526" t="n">
        <v>7748</v>
      </c>
      <c r="J2526" t="inlineStr">
        <is>
          <t>CAT 4</t>
        </is>
      </c>
      <c r="K2526" t="inlineStr">
        <is>
          <t>Sim</t>
        </is>
      </c>
    </row>
    <row r="2527">
      <c r="A2527" s="1">
        <f>HYPERLINK("https://eurofarma-latam-crm.veevavault.com/#object/account__v/V4TZ00001916I4K", "Tatiana Ribeiro")</f>
        <v/>
      </c>
      <c r="B2527" s="1">
        <f>HYPERLINK("https://eurofarma-latam-crm.veevavault.com/#object/account__v/V4TZ00001916I4K", "Tatiana Peixoto Ribeiro")</f>
        <v/>
      </c>
      <c r="C2527" t="inlineStr">
        <is>
          <t>RJ0899054</t>
        </is>
      </c>
      <c r="D2527" t="inlineStr">
        <is>
          <t>PED</t>
        </is>
      </c>
      <c r="E2527" t="inlineStr">
        <is>
          <t>Rua Waldemar Lima Teixeira, 80 - Sala 104</t>
        </is>
      </c>
      <c r="F2527" t="inlineStr">
        <is>
          <t>Vila Carvalho (Vila Inhomirim)</t>
        </is>
      </c>
      <c r="G2527" t="inlineStr">
        <is>
          <t>Magé</t>
        </is>
      </c>
      <c r="H2527" t="inlineStr">
        <is>
          <t>RJ</t>
        </is>
      </c>
      <c r="I2527" t="n">
        <v>7748</v>
      </c>
      <c r="J2527" t="inlineStr">
        <is>
          <t>CAT 5</t>
        </is>
      </c>
      <c r="K2527" t="inlineStr">
        <is>
          <t>Sim</t>
        </is>
      </c>
    </row>
    <row r="2528">
      <c r="A2528" s="1">
        <f>HYPERLINK("https://eurofarma-latam-crm.veevavault.com/#object/account__v/V4TZ000018NZA72", "Tatiane Perez")</f>
        <v/>
      </c>
      <c r="B2528" s="1">
        <f>HYPERLINK("https://eurofarma-latam-crm.veevavault.com/#object/account__v/V4TZ000018NZA72", "Tatiane Macedo Perez")</f>
        <v/>
      </c>
      <c r="C2528" t="inlineStr">
        <is>
          <t>RJ1078267,SP0207564</t>
        </is>
      </c>
      <c r="D2528" t="inlineStr">
        <is>
          <t>PED</t>
        </is>
      </c>
      <c r="E2528" t="inlineStr">
        <is>
          <t>Avenida Delfim Moreira, 2211</t>
        </is>
      </c>
      <c r="F2528" t="inlineStr">
        <is>
          <t>Vale do Paraíso</t>
        </is>
      </c>
      <c r="G2528" t="inlineStr">
        <is>
          <t>Teresópolis</t>
        </is>
      </c>
      <c r="H2528" t="inlineStr">
        <is>
          <t>RJ</t>
        </is>
      </c>
      <c r="I2528" t="n">
        <v>7748</v>
      </c>
      <c r="J2528" t="inlineStr">
        <is>
          <t>CAT 5</t>
        </is>
      </c>
      <c r="K2528" t="inlineStr">
        <is>
          <t>Sim</t>
        </is>
      </c>
    </row>
    <row r="2529">
      <c r="A2529" s="1">
        <f>HYPERLINK("https://eurofarma-latam-crm.veevavault.com/#object/account__v/V4TZ00001914S08", "Tereza Cristina dos Santos")</f>
        <v/>
      </c>
      <c r="B2529" s="1">
        <f>HYPERLINK("https://eurofarma-latam-crm.veevavault.com/#object/account__v/V4TZ00001914S08", "Tereza Cristina Conceição dos Santos")</f>
        <v/>
      </c>
      <c r="C2529" t="inlineStr">
        <is>
          <t>RJ0493624</t>
        </is>
      </c>
      <c r="D2529" t="inlineStr">
        <is>
          <t>PED</t>
        </is>
      </c>
      <c r="E2529" t="inlineStr">
        <is>
          <t>Rua Jaci, 29</t>
        </is>
      </c>
      <c r="F2529" t="inlineStr">
        <is>
          <t>Piabetá (Inhomirim)</t>
        </is>
      </c>
      <c r="G2529" t="inlineStr">
        <is>
          <t>Magé</t>
        </is>
      </c>
      <c r="H2529" t="inlineStr">
        <is>
          <t>RJ</t>
        </is>
      </c>
      <c r="I2529" t="n">
        <v>7748</v>
      </c>
      <c r="J2529" t="inlineStr">
        <is>
          <t>CAT 5</t>
        </is>
      </c>
      <c r="K2529" t="inlineStr">
        <is>
          <t>Sim</t>
        </is>
      </c>
    </row>
    <row r="2530">
      <c r="A2530" s="1">
        <f>HYPERLINK("https://eurofarma-latam-crm.veevavault.com/#object/account__v/V4TZ00001913VEF", "Tereza Vance")</f>
        <v/>
      </c>
      <c r="B2530" s="1">
        <f>HYPERLINK("https://eurofarma-latam-crm.veevavault.com/#object/account__v/V4TZ00001913VEF", "Tereza Cristina Vance")</f>
        <v/>
      </c>
      <c r="C2530" t="inlineStr">
        <is>
          <t>RJ0770027</t>
        </is>
      </c>
      <c r="D2530" t="inlineStr">
        <is>
          <t>ORT</t>
        </is>
      </c>
      <c r="E2530" t="inlineStr">
        <is>
          <t>Avenida Prefeito José Amorim, 40</t>
        </is>
      </c>
      <c r="F2530" t="inlineStr">
        <is>
          <t>Jardim Meriti</t>
        </is>
      </c>
      <c r="G2530" t="inlineStr">
        <is>
          <t>São João de Meriti</t>
        </is>
      </c>
      <c r="H2530" t="inlineStr">
        <is>
          <t>RJ</t>
        </is>
      </c>
      <c r="I2530" t="n">
        <v>7748</v>
      </c>
      <c r="J2530" t="inlineStr">
        <is>
          <t>CAT 3</t>
        </is>
      </c>
      <c r="K2530" t="inlineStr">
        <is>
          <t>Sim</t>
        </is>
      </c>
    </row>
    <row r="2531">
      <c r="A2531" s="1">
        <f>HYPERLINK("https://eurofarma-latam-crm.veevavault.com/#object/account__v/V4TZ00001913PMC", "Thiago Carvalho")</f>
        <v/>
      </c>
      <c r="B2531" s="1">
        <f>HYPERLINK("https://eurofarma-latam-crm.veevavault.com/#object/account__v/V4TZ00001913PMC", "Thiago de Moura Motta Carvalho")</f>
        <v/>
      </c>
      <c r="C2531" t="inlineStr">
        <is>
          <t>RJ1107526</t>
        </is>
      </c>
      <c r="D2531" t="inlineStr">
        <is>
          <t>END</t>
        </is>
      </c>
      <c r="E2531" t="inlineStr">
        <is>
          <t>Rua Altin de Carvalho, 9999 - Lt 06 Qd 13</t>
        </is>
      </c>
      <c r="F2531" t="inlineStr">
        <is>
          <t>Guaratiba</t>
        </is>
      </c>
      <c r="G2531" t="inlineStr">
        <is>
          <t>Rio de Janeiro</t>
        </is>
      </c>
      <c r="H2531" t="inlineStr">
        <is>
          <t>RJ</t>
        </is>
      </c>
      <c r="I2531" t="n">
        <v>7748</v>
      </c>
      <c r="J2531" t="inlineStr">
        <is>
          <t>CAT 2</t>
        </is>
      </c>
      <c r="K2531" t="inlineStr">
        <is>
          <t>Sim</t>
        </is>
      </c>
    </row>
    <row r="2532">
      <c r="A2532" s="1">
        <f>HYPERLINK("https://eurofarma-latam-crm.veevavault.com/#object/account__v/V4TZ00001914S5O", "Thiago Sampaio")</f>
        <v/>
      </c>
      <c r="B2532" s="1">
        <f>HYPERLINK("https://eurofarma-latam-crm.veevavault.com/#object/account__v/V4TZ00001914S5O", "Thiago Schutte Sampaio")</f>
        <v/>
      </c>
      <c r="C2532" t="inlineStr">
        <is>
          <t>RJ0964409</t>
        </is>
      </c>
      <c r="D2532" t="inlineStr">
        <is>
          <t>CLG / PA</t>
        </is>
      </c>
      <c r="E2532" t="inlineStr">
        <is>
          <t>Rua Tenente Luiz Meirelles, S/N</t>
        </is>
      </c>
      <c r="F2532" t="inlineStr">
        <is>
          <t>Várzea</t>
        </is>
      </c>
      <c r="G2532" t="inlineStr">
        <is>
          <t>Teresópolis</t>
        </is>
      </c>
      <c r="H2532" t="inlineStr">
        <is>
          <t>RJ</t>
        </is>
      </c>
      <c r="I2532" t="n">
        <v>7748</v>
      </c>
      <c r="J2532" t="inlineStr">
        <is>
          <t>CAT 5</t>
        </is>
      </c>
      <c r="K2532" t="inlineStr">
        <is>
          <t>N�o</t>
        </is>
      </c>
    </row>
    <row r="2533">
      <c r="A2533" s="1">
        <f>HYPERLINK("https://eurofarma-latam-crm.veevavault.com/#object/account__v/V4TZ025E8EOKYY4", "Tiago Saleis")</f>
        <v/>
      </c>
      <c r="B2533" s="1">
        <f>HYPERLINK("https://eurofarma-latam-crm.veevavault.com/#object/account__v/V4TZ025E8EOKYY4", "Tiago Tessaro Saleis")</f>
        <v/>
      </c>
      <c r="C2533" t="inlineStr">
        <is>
          <t>MG0044377,RJ1074601</t>
        </is>
      </c>
      <c r="D2533" t="inlineStr"/>
      <c r="E2533" t="inlineStr">
        <is>
          <t>Rua Milton Campos, 286 - Apt 401</t>
        </is>
      </c>
      <c r="F2533" t="inlineStr">
        <is>
          <t>Cidade Nobre</t>
        </is>
      </c>
      <c r="G2533" t="inlineStr">
        <is>
          <t>Ipatinga</t>
        </is>
      </c>
      <c r="H2533" t="inlineStr">
        <is>
          <t>MG</t>
        </is>
      </c>
      <c r="I2533" t="n">
        <v>7748</v>
      </c>
      <c r="J2533" t="inlineStr">
        <is>
          <t>CAT 5</t>
        </is>
      </c>
      <c r="K2533" t="inlineStr">
        <is>
          <t>N�o</t>
        </is>
      </c>
    </row>
    <row r="2534">
      <c r="A2534" s="1">
        <f>HYPERLINK("https://eurofarma-latam-crm.veevavault.com/#object/account__v/V4TZ00001914E10", "Umberto Nocito Neto")</f>
        <v/>
      </c>
      <c r="B2534" s="1">
        <f>HYPERLINK("https://eurofarma-latam-crm.veevavault.com/#object/account__v/V4TZ00001914E10", "Umberto Nocito Neto")</f>
        <v/>
      </c>
      <c r="C2534" t="inlineStr">
        <is>
          <t>RJ1067630</t>
        </is>
      </c>
      <c r="D2534" t="inlineStr">
        <is>
          <t>PED</t>
        </is>
      </c>
      <c r="E2534" t="inlineStr">
        <is>
          <t>Rua Zezinho, 111</t>
        </is>
      </c>
      <c r="F2534" t="inlineStr">
        <is>
          <t>Centro</t>
        </is>
      </c>
      <c r="G2534" t="inlineStr">
        <is>
          <t>Nilópolis</t>
        </is>
      </c>
      <c r="H2534" t="inlineStr">
        <is>
          <t>RJ</t>
        </is>
      </c>
      <c r="I2534" t="n">
        <v>7748</v>
      </c>
      <c r="J2534" t="inlineStr">
        <is>
          <t>CAT 4</t>
        </is>
      </c>
      <c r="K2534" t="inlineStr">
        <is>
          <t>Sim</t>
        </is>
      </c>
    </row>
    <row r="2535">
      <c r="A2535" s="1">
        <f>HYPERLINK("https://eurofarma-latam-crm.veevavault.com/#object/account__v/V4T000000015195", "Vanessa da Silva")</f>
        <v/>
      </c>
      <c r="B2535" s="1">
        <f>HYPERLINK("https://eurofarma-latam-crm.veevavault.com/#object/account__v/V4T000000015195", "Vanessa Mazim Obermuller Carvalho da Silva")</f>
        <v/>
      </c>
      <c r="C2535" t="inlineStr">
        <is>
          <t>RJ1413212</t>
        </is>
      </c>
      <c r="D2535" t="inlineStr">
        <is>
          <t>CLG / SNC</t>
        </is>
      </c>
      <c r="E2535" t="inlineStr">
        <is>
          <t>Rodovia Rio-Friburgo, S/N</t>
        </is>
      </c>
      <c r="F2535" t="inlineStr">
        <is>
          <t>Parada Modelo</t>
        </is>
      </c>
      <c r="G2535" t="inlineStr">
        <is>
          <t>Guapimirim</t>
        </is>
      </c>
      <c r="H2535" t="inlineStr">
        <is>
          <t>RJ</t>
        </is>
      </c>
      <c r="I2535" t="n">
        <v>7748</v>
      </c>
      <c r="J2535" t="inlineStr"/>
      <c r="K2535" t="inlineStr"/>
    </row>
    <row r="2536">
      <c r="A2536" s="1">
        <f>HYPERLINK("https://eurofarma-latam-crm.veevavault.com/#object/account__v/V4TZ000018NXPZ4", "Vanessa Debastiani")</f>
        <v/>
      </c>
      <c r="B2536" s="1">
        <f>HYPERLINK("https://eurofarma-latam-crm.veevavault.com/#object/account__v/V4TZ000018NXPZ4", "Vanessa Abrahão Debastiani")</f>
        <v/>
      </c>
      <c r="C2536" t="inlineStr">
        <is>
          <t>RJ0734748</t>
        </is>
      </c>
      <c r="D2536" t="inlineStr">
        <is>
          <t>END</t>
        </is>
      </c>
      <c r="E2536" t="inlineStr">
        <is>
          <t>Avenida Automóvel Clube, S/N - Lote 19 Quadra 26</t>
        </is>
      </c>
      <c r="F2536" t="inlineStr">
        <is>
          <t>Vila Santa Cruz</t>
        </is>
      </c>
      <c r="G2536" t="inlineStr">
        <is>
          <t>Duque de Caxias</t>
        </is>
      </c>
      <c r="H2536" t="inlineStr">
        <is>
          <t>RJ</t>
        </is>
      </c>
      <c r="I2536" t="n">
        <v>7748</v>
      </c>
      <c r="J2536" t="inlineStr">
        <is>
          <t>CAT 3</t>
        </is>
      </c>
      <c r="K2536" t="inlineStr">
        <is>
          <t>Sim</t>
        </is>
      </c>
    </row>
    <row r="2537">
      <c r="A2537" s="1">
        <f>HYPERLINK("https://eurofarma-latam-crm.veevavault.com/#object/account__v/V4TZ025E88P6TSO", "Vasti dos Santos Silva")</f>
        <v/>
      </c>
      <c r="B2537" s="1">
        <f>HYPERLINK("https://eurofarma-latam-crm.veevavault.com/#object/account__v/V4TZ025E88P6TSO", "Vasti Moura dos Santos Silva")</f>
        <v/>
      </c>
      <c r="C2537" t="inlineStr">
        <is>
          <t>RJ1334379</t>
        </is>
      </c>
      <c r="D2537" t="inlineStr">
        <is>
          <t>CLG / PA</t>
        </is>
      </c>
      <c r="E2537" t="inlineStr">
        <is>
          <t>Rua Papa Pio XII, 90</t>
        </is>
      </c>
      <c r="F2537" t="inlineStr">
        <is>
          <t>Figueira</t>
        </is>
      </c>
      <c r="G2537" t="inlineStr">
        <is>
          <t>Magé</t>
        </is>
      </c>
      <c r="H2537" t="inlineStr">
        <is>
          <t>RJ</t>
        </is>
      </c>
      <c r="I2537" t="n">
        <v>7748</v>
      </c>
      <c r="J2537" t="inlineStr">
        <is>
          <t>CAT 5</t>
        </is>
      </c>
      <c r="K2537" t="inlineStr">
        <is>
          <t>Sim</t>
        </is>
      </c>
    </row>
    <row r="2538">
      <c r="A2538" s="1">
        <f>HYPERLINK("https://eurofarma-latam-crm.veevavault.com/#object/account__v/V4TZ0000191603B", "Vicente Guimaraes")</f>
        <v/>
      </c>
      <c r="B2538" s="1">
        <f>HYPERLINK("https://eurofarma-latam-crm.veevavault.com/#object/account__v/V4TZ0000191603B", "Vicente de Souza Guimaraes")</f>
        <v/>
      </c>
      <c r="C2538" t="inlineStr">
        <is>
          <t>RJ0879649</t>
        </is>
      </c>
      <c r="D2538" t="inlineStr">
        <is>
          <t>GER</t>
        </is>
      </c>
      <c r="E2538" t="inlineStr">
        <is>
          <t>Rua 19 De Novembro, S/N - Quadra7 Lote 29</t>
        </is>
      </c>
      <c r="F2538" t="inlineStr">
        <is>
          <t>Centro</t>
        </is>
      </c>
      <c r="G2538" t="inlineStr">
        <is>
          <t>Tanguá</t>
        </is>
      </c>
      <c r="H2538" t="inlineStr">
        <is>
          <t>RJ</t>
        </is>
      </c>
      <c r="I2538" t="n">
        <v>7748</v>
      </c>
      <c r="J2538" t="inlineStr">
        <is>
          <t>CAT 4</t>
        </is>
      </c>
      <c r="K2538" t="inlineStr">
        <is>
          <t>Sim</t>
        </is>
      </c>
    </row>
    <row r="2539">
      <c r="A2539" s="1">
        <f>HYPERLINK("https://eurofarma-latam-crm.veevavault.com/#object/account__v/V4TZ000018NZA8U", "Victor Enne")</f>
        <v/>
      </c>
      <c r="B2539" s="1">
        <f>HYPERLINK("https://eurofarma-latam-crm.veevavault.com/#object/account__v/V4TZ000018NZA8U", "Victor Macedo Enne")</f>
        <v/>
      </c>
      <c r="C2539" t="inlineStr">
        <is>
          <t>RJ0918342,SP0149527</t>
        </is>
      </c>
      <c r="D2539" t="inlineStr">
        <is>
          <t>ORT</t>
        </is>
      </c>
      <c r="E2539" t="inlineStr">
        <is>
          <t>Rua Ministro Plínio Casado, S/N</t>
        </is>
      </c>
      <c r="F2539" t="inlineStr">
        <is>
          <t>Centro</t>
        </is>
      </c>
      <c r="G2539" t="inlineStr">
        <is>
          <t>Nova Friburgo</t>
        </is>
      </c>
      <c r="H2539" t="inlineStr">
        <is>
          <t>RJ</t>
        </is>
      </c>
      <c r="I2539" t="n">
        <v>7748</v>
      </c>
      <c r="J2539" t="inlineStr">
        <is>
          <t>CAT 5</t>
        </is>
      </c>
      <c r="K2539" t="inlineStr">
        <is>
          <t>Sim</t>
        </is>
      </c>
    </row>
    <row r="2540">
      <c r="A2540" s="1">
        <f>HYPERLINK("https://eurofarma-latam-crm.veevavault.com/#object/account__v/V4TZ00001913QIZ", "Victor Hugo Palatnic")</f>
        <v/>
      </c>
      <c r="B2540" s="1">
        <f>HYPERLINK("https://eurofarma-latam-crm.veevavault.com/#object/account__v/V4TZ00001913QIZ", "Victor Hugo da Costa Palatnic")</f>
        <v/>
      </c>
      <c r="C2540" t="inlineStr">
        <is>
          <t>RJ1126300</t>
        </is>
      </c>
      <c r="D2540" t="inlineStr">
        <is>
          <t>END</t>
        </is>
      </c>
      <c r="E2540" t="inlineStr">
        <is>
          <t>Rua Nicomédio Anselmo de Oliveira, 50</t>
        </is>
      </c>
      <c r="F2540" t="inlineStr">
        <is>
          <t>Centro</t>
        </is>
      </c>
      <c r="G2540" t="inlineStr">
        <is>
          <t>Guapimirim</t>
        </is>
      </c>
      <c r="H2540" t="inlineStr">
        <is>
          <t>RJ</t>
        </is>
      </c>
      <c r="I2540" t="n">
        <v>7748</v>
      </c>
      <c r="J2540" t="inlineStr">
        <is>
          <t>CAT 4</t>
        </is>
      </c>
      <c r="K2540" t="inlineStr">
        <is>
          <t>Sim</t>
        </is>
      </c>
    </row>
    <row r="2541">
      <c r="A2541" s="1">
        <f>HYPERLINK("https://eurofarma-latam-crm.veevavault.com/#object/account__v/V4TZ04ASGN99BFF", "Victor Pinheiro")</f>
        <v/>
      </c>
      <c r="B2541" s="1">
        <f>HYPERLINK("https://eurofarma-latam-crm.veevavault.com/#object/account__v/V4TZ04ASGN99BFF", "Victor Viana Pinheiro")</f>
        <v/>
      </c>
      <c r="C2541" t="inlineStr">
        <is>
          <t>RJ1388983</t>
        </is>
      </c>
      <c r="D2541" t="inlineStr">
        <is>
          <t>CLG / PA</t>
        </is>
      </c>
      <c r="E2541" t="inlineStr">
        <is>
          <t>Avenida Nóbrega Ribeiro, S/N</t>
        </is>
      </c>
      <c r="F2541" t="inlineStr">
        <is>
          <t>Vila Operária</t>
        </is>
      </c>
      <c r="G2541" t="inlineStr">
        <is>
          <t>Duque de Caxias</t>
        </is>
      </c>
      <c r="H2541" t="inlineStr">
        <is>
          <t>RJ</t>
        </is>
      </c>
      <c r="I2541" t="n">
        <v>7748</v>
      </c>
      <c r="J2541" t="inlineStr"/>
      <c r="K2541" t="inlineStr"/>
    </row>
    <row r="2542">
      <c r="A2542" s="1">
        <f>HYPERLINK("https://eurofarma-latam-crm.veevavault.com/#object/account__v/V4TZ025E83W3HBJ", "Victor Santos")</f>
        <v/>
      </c>
      <c r="B2542" s="1">
        <f>HYPERLINK("https://eurofarma-latam-crm.veevavault.com/#object/account__v/V4TZ025E83W3HBJ", "Victor Pereira Santos")</f>
        <v/>
      </c>
      <c r="C2542" t="inlineStr">
        <is>
          <t>RJ1236652</t>
        </is>
      </c>
      <c r="D2542" t="inlineStr">
        <is>
          <t>CLG / END</t>
        </is>
      </c>
      <c r="E2542" t="inlineStr">
        <is>
          <t>Rua Pastor Manuel Avelino de Souza, S/N</t>
        </is>
      </c>
      <c r="F2542" t="inlineStr">
        <is>
          <t>Vila Santa Alice</t>
        </is>
      </c>
      <c r="G2542" t="inlineStr">
        <is>
          <t>Duque de Caxias</t>
        </is>
      </c>
      <c r="H2542" t="inlineStr">
        <is>
          <t>RJ</t>
        </is>
      </c>
      <c r="I2542" t="n">
        <v>7748</v>
      </c>
      <c r="J2542" t="inlineStr">
        <is>
          <t>CAT 4</t>
        </is>
      </c>
      <c r="K2542" t="inlineStr">
        <is>
          <t>Sim</t>
        </is>
      </c>
    </row>
    <row r="2543">
      <c r="A2543" s="1">
        <f>HYPERLINK("https://eurofarma-latam-crm.veevavault.com/#object/account__v/V4T00000000K178", "Vinicius Pinheiro")</f>
        <v/>
      </c>
      <c r="B2543" s="1">
        <f>HYPERLINK("https://eurofarma-latam-crm.veevavault.com/#object/account__v/V4T00000000K178", "Vinicius Viana Pinheiro")</f>
        <v/>
      </c>
      <c r="C2543" t="inlineStr">
        <is>
          <t>RJ1375802</t>
        </is>
      </c>
      <c r="D2543" t="inlineStr">
        <is>
          <t>CLG / PA</t>
        </is>
      </c>
      <c r="E2543" t="inlineStr">
        <is>
          <t>Rodovia Washington Luiz, 3200</t>
        </is>
      </c>
      <c r="F2543" t="inlineStr">
        <is>
          <t>Vila São Luís</t>
        </is>
      </c>
      <c r="G2543" t="inlineStr">
        <is>
          <t>Duque de Caxias</t>
        </is>
      </c>
      <c r="H2543" t="inlineStr">
        <is>
          <t>RJ</t>
        </is>
      </c>
      <c r="I2543" t="n">
        <v>7748</v>
      </c>
      <c r="J2543" t="inlineStr"/>
      <c r="K2543" t="inlineStr"/>
    </row>
    <row r="2544">
      <c r="A2544" s="1">
        <f>HYPERLINK("https://eurofarma-latam-crm.veevavault.com/#object/account__v/V4TZ000018NXJXJ", "Walterine Castro")</f>
        <v/>
      </c>
      <c r="B2544" s="1">
        <f>HYPERLINK("https://eurofarma-latam-crm.veevavault.com/#object/account__v/V4TZ000018NXJXJ", "Walterine Dourado Castro")</f>
        <v/>
      </c>
      <c r="C2544" t="inlineStr">
        <is>
          <t>RJ0353417</t>
        </is>
      </c>
      <c r="D2544" t="inlineStr">
        <is>
          <t>GER</t>
        </is>
      </c>
      <c r="E2544" t="inlineStr">
        <is>
          <t>Rua Abel Graça Júnior, 119</t>
        </is>
      </c>
      <c r="F2544" t="inlineStr">
        <is>
          <t>Centro</t>
        </is>
      </c>
      <c r="G2544" t="inlineStr">
        <is>
          <t>Magé</t>
        </is>
      </c>
      <c r="H2544" t="inlineStr">
        <is>
          <t>RJ</t>
        </is>
      </c>
      <c r="I2544" t="n">
        <v>7748</v>
      </c>
      <c r="J2544" t="inlineStr">
        <is>
          <t>CAT 4</t>
        </is>
      </c>
      <c r="K2544" t="inlineStr">
        <is>
          <t>Sim</t>
        </is>
      </c>
    </row>
    <row r="2545">
      <c r="A2545" s="1">
        <f>HYPERLINK("https://eurofarma-latam-crm.veevavault.com/#object/account__v/V4TZ00001915OSK", "Wanda Ullmann")</f>
        <v/>
      </c>
      <c r="B2545" s="1">
        <f>HYPERLINK("https://eurofarma-latam-crm.veevavault.com/#object/account__v/V4TZ00001915OSK", "Wanda Lucia dos Santos Ullmann")</f>
        <v/>
      </c>
      <c r="C2545" t="inlineStr">
        <is>
          <t>RJ0625051</t>
        </is>
      </c>
      <c r="D2545" t="inlineStr">
        <is>
          <t>GER</t>
        </is>
      </c>
      <c r="E2545" t="inlineStr">
        <is>
          <t>Rua Oswaldo Cruz, S/N</t>
        </is>
      </c>
      <c r="F2545" t="inlineStr">
        <is>
          <t>Bananal</t>
        </is>
      </c>
      <c r="G2545" t="inlineStr">
        <is>
          <t>Guapimirim</t>
        </is>
      </c>
      <c r="H2545" t="inlineStr">
        <is>
          <t>RJ</t>
        </is>
      </c>
      <c r="I2545" t="n">
        <v>7748</v>
      </c>
      <c r="J2545" t="inlineStr">
        <is>
          <t>CAT 4</t>
        </is>
      </c>
      <c r="K2545" t="inlineStr">
        <is>
          <t>Sim</t>
        </is>
      </c>
    </row>
    <row r="2546">
      <c r="A2546" s="1">
        <f>HYPERLINK("https://eurofarma-latam-crm.veevavault.com/#object/account__v/V4TZ00001913FSJ", "Wellington Jorge")</f>
        <v/>
      </c>
      <c r="B2546" s="1">
        <f>HYPERLINK("https://eurofarma-latam-crm.veevavault.com/#object/account__v/V4TZ00001913FSJ", "Wellington Poletti Jorge")</f>
        <v/>
      </c>
      <c r="C2546" t="inlineStr">
        <is>
          <t>RJ0524687</t>
        </is>
      </c>
      <c r="D2546" t="inlineStr">
        <is>
          <t>END</t>
        </is>
      </c>
      <c r="E2546" t="inlineStr">
        <is>
          <t>Rua Nelson Silva, 379</t>
        </is>
      </c>
      <c r="F2546" t="inlineStr">
        <is>
          <t>Centro</t>
        </is>
      </c>
      <c r="G2546" t="inlineStr">
        <is>
          <t>Itaboraí</t>
        </is>
      </c>
      <c r="H2546" t="inlineStr">
        <is>
          <t>RJ</t>
        </is>
      </c>
      <c r="I2546" t="n">
        <v>7748</v>
      </c>
      <c r="J2546" t="inlineStr">
        <is>
          <t>CAT 2</t>
        </is>
      </c>
      <c r="K2546" t="inlineStr">
        <is>
          <t>Sim</t>
        </is>
      </c>
    </row>
    <row r="2547">
      <c r="A2547" s="1">
        <f>HYPERLINK("https://eurofarma-latam-crm.veevavault.com/#object/account__v/V4TZ00001914YG8", "Weslley Muniz")</f>
        <v/>
      </c>
      <c r="B2547" s="1">
        <f>HYPERLINK("https://eurofarma-latam-crm.veevavault.com/#object/account__v/V4TZ00001914YG8", "Weslley Viveiros Muniz")</f>
        <v/>
      </c>
      <c r="C2547" t="inlineStr">
        <is>
          <t>RJ0699446</t>
        </is>
      </c>
      <c r="D2547" t="inlineStr">
        <is>
          <t>CLG</t>
        </is>
      </c>
      <c r="E2547" t="inlineStr">
        <is>
          <t>Rua Oswaldo Cruz, S/N</t>
        </is>
      </c>
      <c r="F2547" t="inlineStr">
        <is>
          <t>Bananal</t>
        </is>
      </c>
      <c r="G2547" t="inlineStr">
        <is>
          <t>Guapimirim</t>
        </is>
      </c>
      <c r="H2547" t="inlineStr">
        <is>
          <t>RJ</t>
        </is>
      </c>
      <c r="I2547" t="n">
        <v>7748</v>
      </c>
      <c r="J2547" t="inlineStr">
        <is>
          <t>CAT 5</t>
        </is>
      </c>
      <c r="K2547" t="inlineStr">
        <is>
          <t>N�o</t>
        </is>
      </c>
    </row>
    <row r="2548">
      <c r="A2548" s="1">
        <f>HYPERLINK("https://eurofarma-latam-crm.veevavault.com/#object/account__v/V4TZ000018NY5O9", "Wilson Pecanha Filho")</f>
        <v/>
      </c>
      <c r="B2548" s="1">
        <f>HYPERLINK("https://eurofarma-latam-crm.veevavault.com/#object/account__v/V4TZ000018NY5O9", "Wilson Pecanha Filho")</f>
        <v/>
      </c>
      <c r="C2548" t="inlineStr">
        <is>
          <t>RJ0278578</t>
        </is>
      </c>
      <c r="D2548" t="inlineStr">
        <is>
          <t>URO</t>
        </is>
      </c>
      <c r="E2548" t="inlineStr">
        <is>
          <t>Praça Doutor Nilo Peçanha, 42</t>
        </is>
      </c>
      <c r="F2548" t="inlineStr">
        <is>
          <t>Centro</t>
        </is>
      </c>
      <c r="G2548" t="inlineStr">
        <is>
          <t>Magé</t>
        </is>
      </c>
      <c r="H2548" t="inlineStr">
        <is>
          <t>RJ</t>
        </is>
      </c>
      <c r="I2548" t="n">
        <v>7748</v>
      </c>
      <c r="J2548" t="inlineStr">
        <is>
          <t>CAT 5</t>
        </is>
      </c>
      <c r="K2548" t="inlineStr">
        <is>
          <t>Sim</t>
        </is>
      </c>
    </row>
    <row r="2549">
      <c r="A2549" s="1">
        <f>HYPERLINK("https://eurofarma-latam-crm.veevavault.com/#object/account__v/V4TZ00001915QZW", "Xenia Borges")</f>
        <v/>
      </c>
      <c r="B2549" s="1">
        <f>HYPERLINK("https://eurofarma-latam-crm.veevavault.com/#object/account__v/V4TZ00001915QZW", "Xenia Lopes Borges")</f>
        <v/>
      </c>
      <c r="C2549" t="inlineStr">
        <is>
          <t>RJ1243527</t>
        </is>
      </c>
      <c r="D2549" t="inlineStr">
        <is>
          <t>PSQ</t>
        </is>
      </c>
      <c r="E2549" t="inlineStr">
        <is>
          <t>Rua Eduardo Garcia, 325</t>
        </is>
      </c>
      <c r="F2549" t="inlineStr">
        <is>
          <t>Centro</t>
        </is>
      </c>
      <c r="G2549" t="inlineStr">
        <is>
          <t>Guapimirim</t>
        </is>
      </c>
      <c r="H2549" t="inlineStr">
        <is>
          <t>RJ</t>
        </is>
      </c>
      <c r="I2549" t="n">
        <v>7748</v>
      </c>
      <c r="J2549" t="inlineStr">
        <is>
          <t>CAT 3</t>
        </is>
      </c>
      <c r="K2549" t="inlineStr">
        <is>
          <t>Sim</t>
        </is>
      </c>
    </row>
    <row r="2550">
      <c r="A2550" s="1">
        <f>HYPERLINK("https://eurofarma-latam-crm.veevavault.com/#object/account__v/V4TZ0000191493Z", "Yuri Jussara")</f>
        <v/>
      </c>
      <c r="B2550" s="1">
        <f>HYPERLINK("https://eurofarma-latam-crm.veevavault.com/#object/account__v/V4TZ0000191493Z", "Yuri Marques Jussara")</f>
        <v/>
      </c>
      <c r="C2550" t="inlineStr">
        <is>
          <t>RJ0585016</t>
        </is>
      </c>
      <c r="D2550" t="inlineStr">
        <is>
          <t>ORT</t>
        </is>
      </c>
      <c r="E2550" t="inlineStr">
        <is>
          <t>Rua Agostinho de Oliveira, 322</t>
        </is>
      </c>
      <c r="F2550" t="inlineStr">
        <is>
          <t>Jardim Santana do Pilar</t>
        </is>
      </c>
      <c r="G2550" t="inlineStr">
        <is>
          <t>Duque de Caxias</t>
        </is>
      </c>
      <c r="H2550" t="inlineStr">
        <is>
          <t>RJ</t>
        </is>
      </c>
      <c r="I2550" t="n">
        <v>7748</v>
      </c>
      <c r="J2550" t="inlineStr">
        <is>
          <t>CAT 3</t>
        </is>
      </c>
      <c r="K2550" t="inlineStr">
        <is>
          <t>Sim</t>
        </is>
      </c>
    </row>
    <row r="2551">
      <c r="A2551" s="1">
        <f>HYPERLINK("https://eurofarma-latam-crm.veevavault.com/#object/account__v/V4TZ025E82WB1D9", "Zaqueu Duarte")</f>
        <v/>
      </c>
      <c r="B2551" s="1">
        <f>HYPERLINK("https://eurofarma-latam-crm.veevavault.com/#object/account__v/V4TZ025E82WB1D9", "Zaqueu Vieira Silva Duarte")</f>
        <v/>
      </c>
      <c r="C2551" t="inlineStr">
        <is>
          <t>RJ1283499</t>
        </is>
      </c>
      <c r="D2551" t="inlineStr">
        <is>
          <t>CLG / PA</t>
        </is>
      </c>
      <c r="E2551" t="inlineStr">
        <is>
          <t>Rua Papa Pio XII, 90</t>
        </is>
      </c>
      <c r="F2551" t="inlineStr">
        <is>
          <t>Figueira</t>
        </is>
      </c>
      <c r="G2551" t="inlineStr">
        <is>
          <t>Magé</t>
        </is>
      </c>
      <c r="H2551" t="inlineStr">
        <is>
          <t>RJ</t>
        </is>
      </c>
      <c r="I2551" t="n">
        <v>7748</v>
      </c>
      <c r="J2551" t="inlineStr">
        <is>
          <t>CAT 5</t>
        </is>
      </c>
      <c r="K2551" t="inlineStr">
        <is>
          <t>Sim</t>
        </is>
      </c>
    </row>
    <row r="2552">
      <c r="A2552" s="1">
        <f>HYPERLINK("https://eurofarma-latam-crm.veevavault.com/#object/account__v/V4TZ00001914VO7", "Ziyad Hamad")</f>
        <v/>
      </c>
      <c r="B2552" s="1">
        <f>HYPERLINK("https://eurofarma-latam-crm.veevavault.com/#object/account__v/V4TZ00001914VO7", "Ziyad Abdallah Hamad")</f>
        <v/>
      </c>
      <c r="C2552" t="inlineStr">
        <is>
          <t>RJ0952796</t>
        </is>
      </c>
      <c r="D2552" t="inlineStr">
        <is>
          <t>CLG / END</t>
        </is>
      </c>
      <c r="E2552" t="inlineStr">
        <is>
          <t>Rua Jaci , 29</t>
        </is>
      </c>
      <c r="F2552" t="inlineStr">
        <is>
          <t>Piabetá (Inhomirim)</t>
        </is>
      </c>
      <c r="G2552" t="inlineStr">
        <is>
          <t>Magé</t>
        </is>
      </c>
      <c r="H2552" t="inlineStr">
        <is>
          <t>RJ</t>
        </is>
      </c>
      <c r="I2552" t="n">
        <v>7748</v>
      </c>
      <c r="J2552" t="inlineStr">
        <is>
          <t>CAT 4</t>
        </is>
      </c>
      <c r="K2552" t="inlineStr">
        <is>
          <t>Sim</t>
        </is>
      </c>
    </row>
  </sheetData>
  <autoFilter ref="A1:K255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 Grid</dc:creator>
  <dc:title xmlns:dc="http://purl.org/dc/elements/1.1/">Workbook</dc:title>
  <dcterms:created xmlns:dcterms="http://purl.org/dc/terms/" xmlns:xsi="http://www.w3.org/2001/XMLSchema-instance" xsi:type="dcterms:W3CDTF">2026-08-31T12:49:29Z</dcterms:created>
  <dcterms:modified xmlns:dcterms="http://purl.org/dc/terms/" xmlns:xsi="http://www.w3.org/2001/XMLSchema-instance" xsi:type="dcterms:W3CDTF">2026-08-31T18:40:48Z</dcterms:modified>
  <cp:lastModifiedBy>Rodrigo Abrante Garcia</cp:lastModifiedBy>
</cp:coreProperties>
</file>